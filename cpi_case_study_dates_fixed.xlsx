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defaultThemeVersion="166925"/>
  <xr:revisionPtr revIDLastSave="0" documentId="8_{32CC349D-C80C-4786-A638-E72163B7130C}" xr6:coauthVersionLast="47" xr6:coauthVersionMax="47" xr10:uidLastSave="{00000000-0000-0000-0000-000000000000}"/>
  <bookViews>
    <workbookView xWindow="240" yWindow="105" windowWidth="14805" windowHeight="8010" firstSheet="11" activeTab="11" xr2:uid="{00000000-000D-0000-FFFF-FFFF00000000}"/>
  </bookViews>
  <sheets>
    <sheet name="objective" sheetId="3" r:id="rId1"/>
    <sheet name="data dictonary" sheetId="4" r:id="rId2"/>
    <sheet name=" buckets mapping" sheetId="9" r:id="rId3"/>
    <sheet name="raw_data" sheetId="1" r:id="rId4"/>
    <sheet name="data" sheetId="2" r:id="rId5"/>
    <sheet name=" pattern for missing values" sheetId="8" r:id="rId6"/>
    <sheet name="sample data" sheetId="14" r:id="rId7"/>
    <sheet name="objective 1" sheetId="10" r:id="rId8"/>
    <sheet name="objective 2 " sheetId="11" r:id="rId9"/>
    <sheet name="objective 3" sheetId="12" r:id="rId10"/>
    <sheet name="objective 4" sheetId="13" r:id="rId11"/>
    <sheet name="objective 5" sheetId="15" r:id="rId12"/>
    <sheet name="problems in data cleaning" sheetId="5" r:id="rId13"/>
    <sheet name="notes" sheetId="6" r:id="rId14"/>
  </sheets>
  <calcPr calcId="191028"/>
  <pivotCaches>
    <pivotCache cacheId="675" r:id="rId15"/>
    <pivotCache cacheId="676" r:id="rId16"/>
    <pivotCache cacheId="677" r:id="rId17"/>
    <pivotCache cacheId="678" r:id="rId18"/>
    <pivotCache cacheId="679"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3" i="15" l="1"/>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4" i="15"/>
  <c r="AE5" i="15"/>
  <c r="AE6" i="15"/>
  <c r="AE7" i="15"/>
  <c r="AE8" i="15"/>
  <c r="AE9" i="15"/>
  <c r="AE10" i="15"/>
  <c r="AE11" i="15"/>
  <c r="AE12" i="15"/>
  <c r="AE13" i="15"/>
  <c r="AE14" i="15"/>
  <c r="AE15" i="15"/>
  <c r="AE16" i="15"/>
  <c r="AE17" i="15"/>
  <c r="AE18" i="15"/>
  <c r="AE19" i="15"/>
  <c r="AE20" i="15"/>
  <c r="AE21" i="15"/>
  <c r="AE22" i="15"/>
  <c r="AE23" i="15"/>
  <c r="AE24" i="15"/>
  <c r="AE25" i="15"/>
  <c r="AE26" i="15"/>
  <c r="AE27" i="15"/>
  <c r="AE28" i="15"/>
  <c r="AE29" i="15"/>
  <c r="AE30" i="15"/>
  <c r="AE31" i="15"/>
  <c r="AE32" i="15"/>
  <c r="AE4" i="15"/>
  <c r="AC5" i="15"/>
  <c r="AC6" i="15"/>
  <c r="AC7" i="15"/>
  <c r="AC8" i="15"/>
  <c r="AC9" i="15"/>
  <c r="AC10" i="15"/>
  <c r="AC11" i="15"/>
  <c r="AC12" i="15"/>
  <c r="AC13" i="15"/>
  <c r="AC14" i="15"/>
  <c r="AC15" i="15"/>
  <c r="AC16" i="15"/>
  <c r="AC17" i="15"/>
  <c r="AC18" i="15"/>
  <c r="AC19" i="15"/>
  <c r="AC20" i="15"/>
  <c r="AC21" i="15"/>
  <c r="AC22" i="15"/>
  <c r="AC23" i="15"/>
  <c r="AC24" i="15"/>
  <c r="AC25" i="15"/>
  <c r="AC26" i="15"/>
  <c r="AC27" i="15"/>
  <c r="AC28" i="15"/>
  <c r="AC29" i="15"/>
  <c r="AC30" i="15"/>
  <c r="AC31" i="15"/>
  <c r="AC32" i="15"/>
  <c r="AC4" i="15"/>
  <c r="AA5" i="15"/>
  <c r="AA6" i="15"/>
  <c r="AA7" i="15"/>
  <c r="AA8" i="15"/>
  <c r="AA9" i="15"/>
  <c r="AA10" i="15"/>
  <c r="AA11" i="15"/>
  <c r="AA12" i="15"/>
  <c r="AA13" i="15"/>
  <c r="AA14" i="15"/>
  <c r="AA15" i="15"/>
  <c r="AA16" i="15"/>
  <c r="AA17" i="15"/>
  <c r="AA18" i="15"/>
  <c r="AA19" i="15"/>
  <c r="AA20" i="15"/>
  <c r="AA21" i="15"/>
  <c r="AA22" i="15"/>
  <c r="AA23" i="15"/>
  <c r="AA24" i="15"/>
  <c r="AA25" i="15"/>
  <c r="AA26" i="15"/>
  <c r="AA27" i="15"/>
  <c r="AA28" i="15"/>
  <c r="AA29" i="15"/>
  <c r="AA30" i="15"/>
  <c r="AA31" i="15"/>
  <c r="AA32" i="15"/>
  <c r="AA4" i="15"/>
  <c r="Y5" i="15"/>
  <c r="Y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4" i="15"/>
  <c r="W5" i="15"/>
  <c r="W6" i="15"/>
  <c r="W7" i="15"/>
  <c r="W8" i="15"/>
  <c r="W9" i="15"/>
  <c r="W10" i="15"/>
  <c r="W11" i="15"/>
  <c r="W12" i="15"/>
  <c r="W13" i="15"/>
  <c r="W14" i="15"/>
  <c r="W15" i="15"/>
  <c r="W16" i="15"/>
  <c r="W17" i="15"/>
  <c r="W18" i="15"/>
  <c r="W19" i="15"/>
  <c r="W20" i="15"/>
  <c r="W21" i="15"/>
  <c r="W22" i="15"/>
  <c r="W23" i="15"/>
  <c r="W24" i="15"/>
  <c r="W25" i="15"/>
  <c r="W26" i="15"/>
  <c r="W27" i="15"/>
  <c r="W28" i="15"/>
  <c r="W29" i="15"/>
  <c r="W30" i="15"/>
  <c r="W31" i="15"/>
  <c r="W32" i="15"/>
  <c r="W4" i="15"/>
  <c r="U5" i="15"/>
  <c r="U6" i="15"/>
  <c r="U7" i="15"/>
  <c r="U8" i="15"/>
  <c r="U9" i="15"/>
  <c r="U10" i="15"/>
  <c r="U11" i="15"/>
  <c r="U12" i="15"/>
  <c r="U13" i="15"/>
  <c r="U14" i="15"/>
  <c r="U15" i="15"/>
  <c r="U16" i="15"/>
  <c r="U17" i="15"/>
  <c r="U18" i="15"/>
  <c r="U19" i="15"/>
  <c r="U20" i="15"/>
  <c r="U21" i="15"/>
  <c r="U22" i="15"/>
  <c r="U23" i="15"/>
  <c r="U24" i="15"/>
  <c r="U25" i="15"/>
  <c r="U26" i="15"/>
  <c r="U27" i="15"/>
  <c r="U28" i="15"/>
  <c r="U29" i="15"/>
  <c r="U30" i="15"/>
  <c r="U31" i="15"/>
  <c r="U32" i="15"/>
  <c r="U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4" i="15"/>
  <c r="K5" i="15"/>
  <c r="K6"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4" i="15"/>
  <c r="BH17" i="15"/>
  <c r="BH18" i="15"/>
  <c r="BH19" i="15"/>
  <c r="BH20" i="15"/>
  <c r="BH21" i="15"/>
  <c r="BH22" i="15"/>
  <c r="BH23" i="15"/>
  <c r="BH24" i="15"/>
  <c r="BH25" i="15"/>
  <c r="BH26" i="15"/>
  <c r="BH27" i="15"/>
  <c r="BH28" i="15"/>
  <c r="BH29" i="15"/>
  <c r="BH30" i="15"/>
  <c r="BH31" i="15"/>
  <c r="BH32" i="15"/>
  <c r="BH33" i="15"/>
  <c r="BH34" i="15"/>
  <c r="BH35" i="15"/>
  <c r="BH36" i="15"/>
  <c r="BH37" i="15"/>
  <c r="BH38" i="15"/>
  <c r="BH39" i="15"/>
  <c r="BH16" i="15"/>
  <c r="BH5" i="15"/>
  <c r="BH6" i="15"/>
  <c r="BH7" i="15"/>
  <c r="BH8" i="15"/>
  <c r="BH9" i="15"/>
  <c r="BH10" i="15"/>
  <c r="BH11" i="15"/>
  <c r="BH12" i="15"/>
  <c r="BH13" i="15"/>
  <c r="BH14" i="15"/>
  <c r="BH15" i="15"/>
  <c r="BH4" i="15"/>
  <c r="E57" i="13"/>
  <c r="E58" i="13"/>
  <c r="E59" i="13"/>
  <c r="E60" i="13"/>
  <c r="E61" i="13"/>
  <c r="E62" i="13"/>
  <c r="E63" i="13"/>
  <c r="E64" i="13"/>
  <c r="E65" i="13"/>
  <c r="E66" i="13"/>
  <c r="E67" i="13"/>
  <c r="E56" i="13"/>
  <c r="AD63" i="13"/>
  <c r="AD64" i="13"/>
  <c r="AD65" i="13"/>
  <c r="AD66" i="13"/>
  <c r="AD67" i="13"/>
  <c r="AD68" i="13"/>
  <c r="AD69" i="13"/>
  <c r="AD70" i="13"/>
  <c r="AD71" i="13"/>
  <c r="AD72" i="13"/>
  <c r="AD73" i="13"/>
  <c r="AD62" i="13"/>
  <c r="AD51" i="13"/>
  <c r="AD52" i="13"/>
  <c r="AD53" i="13"/>
  <c r="AD54" i="13"/>
  <c r="AD55" i="13"/>
  <c r="AD56" i="13"/>
  <c r="AD57" i="13"/>
  <c r="AD58" i="13"/>
  <c r="AD59" i="13"/>
  <c r="AD60" i="13"/>
  <c r="AD50" i="13"/>
  <c r="M57" i="13"/>
  <c r="M58" i="13"/>
  <c r="M59" i="13"/>
  <c r="M60" i="13"/>
  <c r="M61" i="13"/>
  <c r="M62" i="13"/>
  <c r="M63" i="13"/>
  <c r="M64" i="13"/>
  <c r="M65" i="13"/>
  <c r="M66" i="13"/>
  <c r="M67" i="13"/>
  <c r="M56" i="13"/>
  <c r="I57" i="13"/>
  <c r="I58" i="13"/>
  <c r="I59" i="13"/>
  <c r="I60" i="13"/>
  <c r="I61" i="13"/>
  <c r="I62" i="13"/>
  <c r="I63" i="13"/>
  <c r="I64" i="13"/>
  <c r="I65" i="13"/>
  <c r="I66" i="13"/>
  <c r="I67" i="13"/>
  <c r="I56" i="13"/>
  <c r="AF33" i="13"/>
  <c r="AF34" i="13"/>
  <c r="AF35" i="13"/>
  <c r="AF36" i="13"/>
  <c r="AF37" i="13"/>
  <c r="AF38" i="13"/>
  <c r="AF39" i="13"/>
  <c r="AF40" i="13"/>
  <c r="AF41" i="13"/>
  <c r="AF42" i="13"/>
  <c r="AF43" i="13"/>
  <c r="AF32" i="13"/>
  <c r="AF21" i="13"/>
  <c r="AF22" i="13"/>
  <c r="AF23" i="13"/>
  <c r="AF24" i="13"/>
  <c r="AF25" i="13"/>
  <c r="AF26" i="13"/>
  <c r="AF27" i="13"/>
  <c r="AF28" i="13"/>
  <c r="AF29" i="13"/>
  <c r="AF30" i="13"/>
  <c r="AF20" i="13"/>
  <c r="F4" i="13"/>
  <c r="F5" i="13"/>
  <c r="F6" i="13"/>
  <c r="F7" i="13"/>
  <c r="F8" i="13"/>
  <c r="F9" i="13"/>
  <c r="F10" i="13"/>
  <c r="F11" i="13"/>
  <c r="F12" i="13"/>
  <c r="F13" i="13"/>
  <c r="F14" i="13"/>
  <c r="F15" i="13"/>
  <c r="F3" i="13"/>
  <c r="D5" i="13"/>
  <c r="D6" i="13"/>
  <c r="D7" i="13"/>
  <c r="D8" i="13"/>
  <c r="D9" i="13"/>
  <c r="D10" i="13"/>
  <c r="D11" i="13"/>
  <c r="D12" i="13"/>
  <c r="D13" i="13"/>
  <c r="D14" i="13"/>
  <c r="D15" i="13"/>
  <c r="D4" i="13"/>
  <c r="J3" i="13" a="1"/>
  <c r="J3" i="13"/>
  <c r="O42" i="12"/>
  <c r="O43" i="12"/>
  <c r="O44" i="12"/>
  <c r="O45" i="12"/>
  <c r="O46" i="12"/>
  <c r="O47" i="12"/>
  <c r="O48" i="12"/>
  <c r="O49" i="12"/>
  <c r="O50" i="12"/>
  <c r="O51" i="12"/>
  <c r="O52" i="12"/>
  <c r="O41" i="12"/>
  <c r="X22" i="12"/>
  <c r="X21" i="12"/>
  <c r="X20" i="12"/>
  <c r="X19" i="12"/>
  <c r="X18" i="12"/>
  <c r="X16" i="12"/>
  <c r="X15" i="12"/>
  <c r="X14" i="12"/>
  <c r="X13" i="12"/>
  <c r="X12" i="12"/>
  <c r="X11" i="12"/>
  <c r="X10" i="12"/>
  <c r="X9" i="12"/>
  <c r="G55" i="12"/>
  <c r="G54" i="12"/>
  <c r="G53" i="12"/>
  <c r="G52" i="12"/>
  <c r="G51" i="12"/>
  <c r="G50" i="12"/>
  <c r="G49" i="12"/>
  <c r="G48" i="12"/>
  <c r="G47" i="12"/>
  <c r="G46" i="12"/>
  <c r="G45" i="12"/>
  <c r="G44" i="12"/>
  <c r="E7" i="12"/>
  <c r="E8" i="12"/>
  <c r="E9" i="12"/>
  <c r="E10" i="12"/>
  <c r="E11" i="12"/>
  <c r="E12" i="12"/>
  <c r="E13" i="12"/>
  <c r="E14" i="12"/>
  <c r="E15" i="12"/>
  <c r="E16" i="12"/>
  <c r="E6" i="12"/>
  <c r="E5" i="12"/>
  <c r="H9" i="11"/>
  <c r="H10" i="11"/>
  <c r="H11" i="11"/>
  <c r="H12" i="11"/>
  <c r="H13" i="11"/>
  <c r="H8" i="11"/>
  <c r="G8" i="11"/>
  <c r="G9" i="11"/>
  <c r="G10" i="11"/>
  <c r="G11" i="11"/>
  <c r="G12" i="11"/>
  <c r="G13" i="11"/>
  <c r="I5" i="10" a="1"/>
  <c r="I5" i="10"/>
  <c r="U265" i="2"/>
  <c r="U264" i="2"/>
  <c r="AD264" i="2"/>
  <c r="AD265" i="2"/>
  <c r="AD263" i="2"/>
  <c r="AD261" i="2"/>
  <c r="AD262" i="2"/>
  <c r="AD260" i="2"/>
  <c r="AC264" i="2"/>
  <c r="AC265" i="2"/>
  <c r="AC263" i="2"/>
  <c r="AC261" i="2"/>
  <c r="AC262" i="2"/>
  <c r="AC260" i="2"/>
  <c r="AB264" i="2"/>
  <c r="AB265" i="2"/>
  <c r="AB263" i="2"/>
  <c r="AB261" i="2"/>
  <c r="AB262" i="2"/>
  <c r="AB260" i="2"/>
  <c r="AA264" i="2"/>
  <c r="AA265" i="2"/>
  <c r="AA263" i="2"/>
  <c r="AA261" i="2"/>
  <c r="AA262" i="2"/>
  <c r="AA260" i="2"/>
  <c r="AE379" i="2"/>
  <c r="AE378" i="2"/>
  <c r="AE377" i="2"/>
  <c r="AE376" i="2"/>
  <c r="AE375" i="2"/>
  <c r="AE374"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Z264" i="2"/>
  <c r="Z265" i="2"/>
  <c r="Z263" i="2"/>
  <c r="Z261" i="2"/>
  <c r="Z262" i="2"/>
  <c r="Z260" i="2"/>
  <c r="Y264" i="2"/>
  <c r="Y265" i="2"/>
  <c r="Y263" i="2"/>
  <c r="Y261" i="2"/>
  <c r="Y262" i="2"/>
  <c r="Y260" i="2"/>
  <c r="X264" i="2"/>
  <c r="X265" i="2"/>
  <c r="X263" i="2"/>
  <c r="W264" i="2"/>
  <c r="W265" i="2"/>
  <c r="W263" i="2"/>
  <c r="W261" i="2"/>
  <c r="W262" i="2"/>
  <c r="W260" i="2"/>
  <c r="V264" i="2"/>
  <c r="V265" i="2"/>
  <c r="V263" i="2"/>
  <c r="T264" i="2"/>
  <c r="T265" i="2"/>
  <c r="T263" i="2"/>
  <c r="T261" i="2"/>
  <c r="T262" i="2"/>
  <c r="T260" i="2"/>
  <c r="S264" i="2"/>
  <c r="S265" i="2"/>
  <c r="S263" i="2"/>
  <c r="S261" i="2"/>
  <c r="S262" i="2"/>
  <c r="S260" i="2"/>
  <c r="R260" i="2"/>
  <c r="R264" i="2"/>
  <c r="R265" i="2"/>
  <c r="R263" i="2"/>
  <c r="R262" i="2"/>
  <c r="R261" i="2"/>
  <c r="Q263" i="2"/>
  <c r="Q265" i="2"/>
  <c r="Q264" i="2"/>
  <c r="Q262" i="2"/>
  <c r="Q261" i="2"/>
  <c r="Q260" i="2"/>
  <c r="P265" i="2"/>
  <c r="P264" i="2"/>
  <c r="P263" i="2"/>
  <c r="O265" i="2"/>
  <c r="O264" i="2"/>
  <c r="O263" i="2"/>
  <c r="O262" i="2"/>
  <c r="O261" i="2"/>
  <c r="O260" i="2"/>
  <c r="N265" i="2"/>
  <c r="N264" i="2"/>
  <c r="N263" i="2"/>
  <c r="M265" i="2"/>
  <c r="M264" i="2"/>
  <c r="M263" i="2"/>
  <c r="L265" i="2"/>
  <c r="L264" i="2"/>
  <c r="L263" i="2"/>
  <c r="K265" i="2"/>
  <c r="K264" i="2"/>
  <c r="K263" i="2"/>
  <c r="J265" i="2"/>
  <c r="J264" i="2"/>
  <c r="J263" i="2"/>
  <c r="I265" i="2"/>
  <c r="I264" i="2"/>
  <c r="I263" i="2"/>
  <c r="H265" i="2"/>
  <c r="H264" i="2"/>
  <c r="H263" i="2"/>
  <c r="G265" i="2"/>
  <c r="G264" i="2"/>
  <c r="G263" i="2"/>
  <c r="F265" i="2"/>
  <c r="F264" i="2"/>
  <c r="F263" i="2"/>
  <c r="E265" i="2"/>
  <c r="E264" i="2"/>
  <c r="E263" i="2"/>
  <c r="E262" i="2"/>
  <c r="E261" i="2"/>
  <c r="E260" i="2"/>
  <c r="D265" i="2"/>
  <c r="D264" i="2"/>
  <c r="D263" i="2"/>
  <c r="H48" i="13" l="1"/>
  <c r="H47" i="13"/>
  <c r="H46" i="13"/>
  <c r="F13" i="11"/>
  <c r="F12" i="11"/>
  <c r="F11" i="11"/>
  <c r="F10" i="11"/>
  <c r="F9" i="11"/>
  <c r="F8" i="11"/>
  <c r="F8" i="10"/>
  <c r="F9" i="10"/>
  <c r="F20" i="10"/>
  <c r="I8" i="10" l="1"/>
  <c r="I9" i="10"/>
  <c r="I10" i="10"/>
  <c r="I11" i="10"/>
  <c r="I12" i="10"/>
  <c r="I13" i="10"/>
  <c r="I14" i="10"/>
  <c r="I15" i="10"/>
  <c r="I16" i="10"/>
  <c r="I17" i="10"/>
  <c r="I18" i="10"/>
  <c r="I19" i="10"/>
  <c r="L38" i="15"/>
  <c r="K38" i="15"/>
  <c r="J38" i="15"/>
  <c r="I38" i="15"/>
  <c r="H38" i="15"/>
  <c r="H41" i="15"/>
  <c r="S38" i="15"/>
  <c r="R38" i="15"/>
  <c r="Q38" i="15"/>
  <c r="P38" i="15"/>
  <c r="O38" i="15"/>
  <c r="N38" i="15"/>
  <c r="M38"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<sst xmlns="http://schemas.openxmlformats.org/spreadsheetml/2006/main" count="3459" uniqueCount="249">
  <si>
    <t>objective</t>
  </si>
  <si>
    <t xml:space="preserve">which broader category has the highest contribution in the cpi </t>
  </si>
  <si>
    <t>towards cpi inflation</t>
  </si>
  <si>
    <t xml:space="preserve">create a graph depicting the growth rate y-y  and identify the year with high inflation rate </t>
  </si>
  <si>
    <t>and highlight the reason why year has high inflation(based on research).</t>
  </si>
  <si>
    <t>investigate trends in the prices of broader food bucket category  and evaluate month on month changes highlight month with highest and lowest food inflation</t>
  </si>
  <si>
    <t>identify the absolute changes in inflation over the same 12 months period and identify the biggest individual category contributor(only with broader food category)towards inflation</t>
  </si>
  <si>
    <r>
      <t xml:space="preserve">Investigate how the onset and progression of COVID-19 affected inflation rates in India, especially around the </t>
    </r>
    <r>
      <rPr>
        <b/>
        <sz val="11"/>
        <color theme="1"/>
        <rFont val="Calibri"/>
        <family val="2"/>
        <scheme val="minor"/>
      </rPr>
      <t>first lockdown</t>
    </r>
    <r>
      <rPr>
        <sz val="11"/>
        <color theme="1"/>
        <rFont val="Calibri"/>
        <family val="2"/>
        <scheme val="minor"/>
      </rPr>
      <t>.</t>
    </r>
  </si>
  <si>
    <t>focus only on imported oil price fluctuations for years 2021 to 2023 (Month-on-month)</t>
  </si>
  <si>
    <t>Identify trends in oil price change with change in inflation prices of all the categories</t>
  </si>
  <si>
    <t>terms</t>
  </si>
  <si>
    <t>Recreation and Amusement</t>
  </si>
  <si>
    <r>
      <t xml:space="preserve">means spending on things people do for </t>
    </r>
    <r>
      <rPr>
        <b/>
        <sz val="11"/>
        <color theme="1"/>
        <rFont val="Calibri"/>
        <family val="2"/>
        <scheme val="minor"/>
      </rPr>
      <t>entertainment, leisure, and enjoyment</t>
    </r>
    <r>
      <rPr>
        <sz val="11"/>
        <color theme="1"/>
        <rFont val="Calibri"/>
        <family val="2"/>
        <scheme val="minor"/>
      </rPr>
      <t>.</t>
    </r>
  </si>
  <si>
    <t>buckets</t>
  </si>
  <si>
    <t>BOX 1: FOOD</t>
  </si>
  <si>
    <t>CLOTHING &amp; FOOTWEAR</t>
  </si>
  <si>
    <t>BOX 3: HOUSING</t>
  </si>
  <si>
    <t>BOX 4: ENERGY</t>
  </si>
  <si>
    <t>BOX 5: HEALTH</t>
  </si>
  <si>
    <t>BOX 6: TRANSPORT &amp; COMMUNICATION</t>
  </si>
  <si>
    <t>BOX 7: EDUCATION</t>
  </si>
  <si>
    <t>BOX 8: RECREATION</t>
  </si>
  <si>
    <t>BOX 9: PERSONAL CARE</t>
  </si>
  <si>
    <t>Cereals and products</t>
  </si>
  <si>
    <t>Clothing</t>
  </si>
  <si>
    <t>Housing</t>
  </si>
  <si>
    <t>Fuel and light</t>
  </si>
  <si>
    <t>Health</t>
  </si>
  <si>
    <t>Transport and communication</t>
  </si>
  <si>
    <t>Education</t>
  </si>
  <si>
    <t>Recreation and amusement</t>
  </si>
  <si>
    <t>Personal care and effects</t>
  </si>
  <si>
    <t>Meat and fish</t>
  </si>
  <si>
    <t>Footwear</t>
  </si>
  <si>
    <t>Egg</t>
  </si>
  <si>
    <t>Milk and products</t>
  </si>
  <si>
    <t>Oils and fats</t>
  </si>
  <si>
    <t>Original Category</t>
  </si>
  <si>
    <t>Bucket</t>
  </si>
  <si>
    <t>Fruits</t>
  </si>
  <si>
    <t>Food</t>
  </si>
  <si>
    <t>Vegetables</t>
  </si>
  <si>
    <t>Pulses and products</t>
  </si>
  <si>
    <t>Sugar and Confectionery</t>
  </si>
  <si>
    <t>Spices</t>
  </si>
  <si>
    <t>Prepared meals, snacks, sweets etc.</t>
  </si>
  <si>
    <t>Non-alcoholic beverages</t>
  </si>
  <si>
    <t>BOX 10: HOUSEHOLD</t>
  </si>
  <si>
    <t>BOX 11: PAN, TOBACCO &amp; INTOXICANTS</t>
  </si>
  <si>
    <t>Household goods and services</t>
  </si>
  <si>
    <t>Pan, tobacco and intoxicants</t>
  </si>
  <si>
    <t>Clothing &amp; Footwear</t>
  </si>
  <si>
    <t>Energy</t>
  </si>
  <si>
    <t>Household</t>
  </si>
  <si>
    <t>Transport &amp; Communication</t>
  </si>
  <si>
    <t>Recreation</t>
  </si>
  <si>
    <t>Personal Care</t>
  </si>
  <si>
    <t>Pan, Tobacco &amp; Intoxicants</t>
  </si>
  <si>
    <t>Miscellaneous</t>
  </si>
  <si>
    <t>Sector</t>
  </si>
  <si>
    <t>Year</t>
  </si>
  <si>
    <t>Month</t>
  </si>
  <si>
    <t>Food and beverages</t>
  </si>
  <si>
    <t>Clothing and footwear</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</si>
  <si>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</si>
  <si>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</si>
  <si>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</si>
  <si>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</si>
  <si>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</si>
  <si>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</si>
  <si>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</si>
  <si>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</si>
  <si>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</si>
  <si>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</si>
  <si>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</si>
  <si>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</si>
  <si>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</si>
  <si>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</si>
  <si>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</si>
  <si>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</si>
  <si>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</si>
  <si>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</si>
  <si>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</si>
  <si>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Food and beverages2</t>
  </si>
  <si>
    <t>Clothing and footwear2</t>
  </si>
  <si>
    <t>General index2</t>
  </si>
  <si>
    <t>duplicates check</t>
  </si>
  <si>
    <t>patterns for missing values</t>
  </si>
  <si>
    <t>count of missing value</t>
  </si>
  <si>
    <t>Column1</t>
  </si>
  <si>
    <t>Month2</t>
  </si>
  <si>
    <t>Count of Cereals and products</t>
  </si>
  <si>
    <t>cereals and products</t>
  </si>
  <si>
    <t>2020 Total</t>
  </si>
  <si>
    <t>Rural Total</t>
  </si>
  <si>
    <t>cpi variables</t>
  </si>
  <si>
    <t>count NA</t>
  </si>
  <si>
    <t>Rural+Urban Total</t>
  </si>
  <si>
    <t>Urban Total</t>
  </si>
  <si>
    <t>Grand Total</t>
  </si>
  <si>
    <t>MEAT AND FISH</t>
  </si>
  <si>
    <t>Count of Meat and fish</t>
  </si>
  <si>
    <t>meat and fish</t>
  </si>
  <si>
    <t>housing</t>
  </si>
  <si>
    <t>(Multiple Items)</t>
  </si>
  <si>
    <t>Count of Housing</t>
  </si>
  <si>
    <t>most of the missing values are from rural sector in housing</t>
  </si>
  <si>
    <t>objective 1</t>
  </si>
  <si>
    <r>
      <rPr>
        <sz val="11"/>
        <color rgb="FF000000"/>
        <rFont val="Calibri"/>
        <scheme val="minor"/>
      </rPr>
      <t>first we identify the latest month i.e</t>
    </r>
    <r>
      <rPr>
        <b/>
        <sz val="11"/>
        <color rgb="FF000000"/>
        <rFont val="Calibri"/>
        <scheme val="minor"/>
      </rPr>
      <t xml:space="preserve"> MAY</t>
    </r>
    <r>
      <rPr>
        <sz val="11"/>
        <color rgb="FF000000"/>
        <rFont val="Calibri"/>
        <scheme val="minor"/>
      </rPr>
      <t xml:space="preserve"> </t>
    </r>
    <r>
      <rPr>
        <b/>
        <sz val="11"/>
        <color rgb="FF000000"/>
        <rFont val="Calibri"/>
        <scheme val="minor"/>
      </rPr>
      <t xml:space="preserve">2023 </t>
    </r>
  </si>
  <si>
    <t>Food contribution = Food index ÷ Total of all bucket indices × 100</t>
  </si>
  <si>
    <t>Broader Category Index</t>
  </si>
  <si>
    <t>contribution</t>
  </si>
  <si>
    <t>Sum of contribution</t>
  </si>
  <si>
    <t>total</t>
  </si>
  <si>
    <t>The individual CPI categories were grouped into broader categories. The contribution of each broader category was calculated as its broader-category index relative to the sum of all broader-category indices. The contributions sum to 100%</t>
  </si>
  <si>
    <r>
      <t>average of the monthly General Index values for each year</t>
    </r>
    <r>
      <rPr>
        <sz val="11"/>
        <color theme="1"/>
        <rFont val="Calibri"/>
        <family val="2"/>
        <scheme val="minor"/>
      </rPr>
      <t>.</t>
    </r>
  </si>
  <si>
    <t>Sum of inflation</t>
  </si>
  <si>
    <t>inflation</t>
  </si>
  <si>
    <t>start cpi</t>
  </si>
  <si>
    <t>end cpi after 12 months</t>
  </si>
  <si>
    <t>as instructor information we are using january</t>
  </si>
  <si>
    <t>as staring month</t>
  </si>
  <si>
    <t xml:space="preserve">as we are choosing january as a starting month </t>
  </si>
  <si>
    <t xml:space="preserve">so we dont have the end year  for 2023 so we are </t>
  </si>
  <si>
    <t>discarding it</t>
  </si>
  <si>
    <t xml:space="preserve">                                                             MONTH OVER MONTH INFLATION</t>
  </si>
  <si>
    <t>MONTH</t>
  </si>
  <si>
    <t>FOOD INDEX</t>
  </si>
  <si>
    <t>FOOD MOM INFLATION</t>
  </si>
  <si>
    <t>Average of Meat and fish</t>
  </si>
  <si>
    <t>Average of Cereals and products</t>
  </si>
  <si>
    <t>Average of Oils and fats</t>
  </si>
  <si>
    <t>Average of Egg</t>
  </si>
  <si>
    <t>Average of Milk and products</t>
  </si>
  <si>
    <t>Average of Fruits</t>
  </si>
  <si>
    <t>Average of Pulses and products</t>
  </si>
  <si>
    <t>Average of Sugar and Confectionery</t>
  </si>
  <si>
    <t>Average of Spices</t>
  </si>
  <si>
    <t>Average of Non-alcoholic beverages</t>
  </si>
  <si>
    <t>Average of Vegetables</t>
  </si>
  <si>
    <t>Average of Prepared meals, snacks, sweets etc.</t>
  </si>
  <si>
    <t>food broader bucket</t>
  </si>
  <si>
    <t>2022 Total</t>
  </si>
  <si>
    <t>Sum of FOOD MOM INFLATION</t>
  </si>
  <si>
    <t>2023 Total</t>
  </si>
  <si>
    <t xml:space="preserve">                       The biggest individual category contributor</t>
  </si>
  <si>
    <t>now second part  absolute change in inflation over same 12 months</t>
  </si>
  <si>
    <t>Category</t>
  </si>
  <si>
    <t>22-Jun</t>
  </si>
  <si>
    <t>23-May</t>
  </si>
  <si>
    <t xml:space="preserve">         12-month change %</t>
  </si>
  <si>
    <t>absolute change inflation</t>
  </si>
  <si>
    <t>Inflation %</t>
  </si>
  <si>
    <t>General Index</t>
  </si>
  <si>
    <t>period</t>
  </si>
  <si>
    <t>average</t>
  </si>
  <si>
    <t>2019 Total</t>
  </si>
  <si>
    <t>Period</t>
  </si>
  <si>
    <t>Average</t>
  </si>
  <si>
    <t>Before COVID</t>
  </si>
  <si>
    <t>COVID onset</t>
  </si>
  <si>
    <t>(All)</t>
  </si>
  <si>
    <t>After COVID</t>
  </si>
  <si>
    <t>Average of Health</t>
  </si>
  <si>
    <t>Average of Clothing</t>
  </si>
  <si>
    <t>Average of Footwear</t>
  </si>
  <si>
    <t>Average of Fuel and light</t>
  </si>
  <si>
    <t>Average of Household goods and services</t>
  </si>
  <si>
    <t>Average of Transport and communication</t>
  </si>
  <si>
    <t>Average of Education</t>
  </si>
  <si>
    <t>average overall</t>
  </si>
  <si>
    <t>ESSENTIAL BUCKET INDEX</t>
  </si>
  <si>
    <t>INFLATION %</t>
  </si>
  <si>
    <t>Food Index</t>
  </si>
  <si>
    <t>Food Inflation %</t>
  </si>
  <si>
    <t>Health Index</t>
  </si>
  <si>
    <t>Health Inflation %</t>
  </si>
  <si>
    <t>Essential Inflation %</t>
  </si>
  <si>
    <t>THE DATASET WE ARE ONLY INCLUDE THE DATA FROM JAN-21- MAY-23</t>
  </si>
  <si>
    <t>Imported Oil Price</t>
  </si>
  <si>
    <t>Oil Price MoM %</t>
  </si>
  <si>
    <t xml:space="preserve">general index </t>
  </si>
  <si>
    <t>general index%</t>
  </si>
  <si>
    <t>Average  Food and beverages2</t>
  </si>
  <si>
    <t xml:space="preserve">  food and beverages</t>
  </si>
  <si>
    <t>Average  Pan, tobacco and intoxicants</t>
  </si>
  <si>
    <t xml:space="preserve">  pan tobacco</t>
  </si>
  <si>
    <t>Average  Clothing and footwear2</t>
  </si>
  <si>
    <t xml:space="preserve">  clothing and footwear</t>
  </si>
  <si>
    <t>Average  Housing</t>
  </si>
  <si>
    <t xml:space="preserve">  housing</t>
  </si>
  <si>
    <t>Average  Fuel and light</t>
  </si>
  <si>
    <t xml:space="preserve"> FUEL&amp;LIGHT</t>
  </si>
  <si>
    <t>Average  Household goods and services</t>
  </si>
  <si>
    <t xml:space="preserve">  HOSEHOLD GOODS</t>
  </si>
  <si>
    <t>Average  Health</t>
  </si>
  <si>
    <t xml:space="preserve">  HEALTH</t>
  </si>
  <si>
    <t>Average  Transport and communication</t>
  </si>
  <si>
    <t xml:space="preserve"> TRANSPORT AND COMMUNICATION</t>
  </si>
  <si>
    <t>Average  Recreation and amusement</t>
  </si>
  <si>
    <t xml:space="preserve"> RECREATION AND AMUSEMENT</t>
  </si>
  <si>
    <t>Average  Education</t>
  </si>
  <si>
    <t xml:space="preserve">  EDUCATION </t>
  </si>
  <si>
    <t>Average  Personal care and effects</t>
  </si>
  <si>
    <t xml:space="preserve">  health care</t>
  </si>
  <si>
    <t>Average  Miscellaneous</t>
  </si>
  <si>
    <t xml:space="preserve">  miscellaneous</t>
  </si>
  <si>
    <t>Average of General index2</t>
  </si>
  <si>
    <t>2021 Total</t>
  </si>
  <si>
    <t xml:space="preserve">COMPARING CORRELATIONS FOR IMPORTED OIL WITH OTHER CATEGORIES </t>
  </si>
  <si>
    <t>CORREL</t>
  </si>
  <si>
    <t>imported oil price</t>
  </si>
  <si>
    <t>categories</t>
  </si>
  <si>
    <t>imported oil price with correlation</t>
  </si>
  <si>
    <t>food and beverages</t>
  </si>
  <si>
    <t>general index</t>
  </si>
  <si>
    <t xml:space="preserve">data cleaning </t>
  </si>
  <si>
    <t>Check</t>
  </si>
  <si>
    <t>What we found</t>
  </si>
  <si>
    <t>Action</t>
  </si>
  <si>
    <t>Sector categories</t>
  </si>
  <si>
    <t>Rural, Urban, Rural+Urban</t>
  </si>
  <si>
    <t>✅ Keep</t>
  </si>
  <si>
    <t>Duplicate observations</t>
  </si>
  <si>
    <t>None detected</t>
  </si>
  <si>
    <t>Month spelling</t>
  </si>
  <si>
    <t>⚠️ Fix</t>
  </si>
  <si>
    <t>Missing values</t>
  </si>
  <si>
    <t>Several columns</t>
  </si>
  <si>
    <t>⚠️ Investigate</t>
  </si>
  <si>
    <t>Housing missing</t>
  </si>
  <si>
    <t>Very large number</t>
  </si>
  <si>
    <t>⚠️ Investigate before imputing</t>
  </si>
  <si>
    <t>Numeric columns</t>
  </si>
  <si>
    <t>Mostly numeric</t>
  </si>
  <si>
    <t>✅/⚠️ Verify</t>
  </si>
  <si>
    <t>assumption</t>
  </si>
  <si>
    <r>
      <rPr>
        <sz val="11"/>
        <color rgb="FF000000"/>
        <rFont val="Calibri"/>
        <scheme val="minor"/>
      </rPr>
      <t>in</t>
    </r>
    <r>
      <rPr>
        <b/>
        <sz val="11"/>
        <color rgb="FF000000"/>
        <rFont val="Calibri"/>
        <scheme val="minor"/>
      </rPr>
      <t xml:space="preserve"> months</t>
    </r>
    <r>
      <rPr>
        <sz val="11"/>
        <color rgb="FF000000"/>
        <rFont val="Calibri"/>
        <scheme val="minor"/>
      </rPr>
      <t xml:space="preserve"> column on entry is recognized as marcrh we convert it into march</t>
    </r>
  </si>
  <si>
    <t xml:space="preserve">we fill NA values with suitable imputation method i.e 2 pointed moving average and linear interpolation method as we are assuming </t>
  </si>
  <si>
    <t>“Linear interpolation was used to estimate consecutive missing values between two known observations, assuming a constant rate of change between the known values.”</t>
  </si>
  <si>
    <t>notes</t>
  </si>
  <si>
    <t>we also check for duplicates for sector+month+year and we find no duplicates all exactly present once</t>
  </si>
  <si>
    <t>In cereals and products there are 3 missing values for may 2020 and we imputed them using the neighbour value for each sector</t>
  </si>
  <si>
    <t>in meat and fish there are 6 missing values for 2 months each so we are using linear interpolation</t>
  </si>
  <si>
    <t xml:space="preserve">for eggs its same as cereals and products so we use 2 pointed moving average </t>
  </si>
  <si>
    <t>for filling NA</t>
  </si>
  <si>
    <t>from column G(milk and products) to column AD(general index) we apply linear interpolation and 2 pointed moving average as applicable</t>
  </si>
  <si>
    <t>in housing for rural and rural+urban in may 2020 we use linear interpolation method</t>
  </si>
  <si>
    <r>
      <t>Housing – Rural:</t>
    </r>
    <r>
      <rPr>
        <sz val="11"/>
        <color theme="1"/>
        <rFont val="Calibri"/>
        <family val="2"/>
        <scheme val="minor"/>
      </rPr>
      <t xml:space="preserve"> The Rural Housing series contains missing/non-numeric observations throughout the available period. Since sufficient surrounding numerical observations are not available, moving-average and linear-interpolation methods are not appropriate for these observations.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</si>
</sst>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font>
      <sz val="11"/>
      <color theme="1"/>
      <name val="Calibri"/>
      <family val="2"/>
      <scheme val="minor"/>
    </font>
    <font>
      <sz val="10"/>
      <color theme="1"/>
      <name val="Arial"/>
      <charset val="1"/>
    </font>
    <font>
      <b/>
      <sz val="11"/>
      <color theme="1"/>
      <name val="Calibri"/>
      <family val="2"/>
      <scheme val="minor"/>
    </font>
    <font>
      <sz val="11"/>
      <color rgb="FF000000"/>
      <name val="Calibri"/>
      <scheme val="minor"/>
    </font>
    <font>
      <b/>
      <sz val="11"/>
      <color rgb="FF000000"/>
      <name val="Calibri"/>
      <scheme val="minor"/>
    </font>
    <font>
      <b/>
      <sz val="11"/>
      <color rgb="FFFF0000"/>
      <name val="Calibri"/>
      <scheme val="minor"/>
    </font>
    <font>
      <b/>
      <sz val="13.5"/>
      <color theme="1"/>
      <name val="Calibri"/>
      <family val="2"/>
      <scheme val="minor"/>
    </font>
    <font>
      <b/>
      <sz val="10"/>
      <color theme="0"/>
      <name val="Arial"/>
      <charset val="1"/>
    </font>
    <font>
      <b/>
      <sz val="11"/>
      <color theme="0"/>
      <name val="Calibri"/>
      <family val="2"/>
      <scheme val="minor"/>
    </font>
    <font>
      <sz val="11"/>
      <color rgb="FF000000"/>
      <name val="Calibri"/>
      <charset val="1"/>
    </font>
    <font>
      <sz val="11"/>
      <color rgb="FFFF0000"/>
      <name val="Calibri"/>
      <family val="2"/>
      <scheme val="minor"/>
    </font>
    <font>
      <b/>
      <sz val="11"/>
      <color rgb="FFFFFFFF"/>
      <name val="Calibri"/>
      <scheme val="minor"/>
    </font>
    <font>
      <b/>
      <sz val="11"/>
      <color rgb="FFC65911"/>
      <name val="Calibri"/>
      <scheme val="minor"/>
    </font>
    <font>
      <sz val="11"/>
      <color theme="5" tint="-0.249977111117893"/>
      <name val="Calibri"/>
      <family val="2"/>
      <scheme val="minor"/>
    </font>
  </fonts>
  <fills count="6">
    <fill>
      <patternFill patternType="none"/>
    </fill>
    <fill>
      <patternFill patternType="gray125"/>
    </fill>
    <fill>
      <patternFill patternType="solid">
        <fgColor theme="4"/>
        <bgColor theme="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23">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top style="thin">
        <color rgb="FF000000"/>
      </top>
      <bottom style="thin">
        <color theme="4" tint="0.39997558519241921"/>
      </bottom>
      <diagonal/>
    </border>
    <border>
      <left style="thin">
        <color rgb="FFCCCCCC"/>
      </left>
      <right/>
      <top style="thin">
        <color rgb="FF000000"/>
      </top>
      <bottom style="thin">
        <color rgb="FFCCCCCC"/>
      </bottom>
      <diagonal/>
    </border>
    <border>
      <left/>
      <right/>
      <top style="medium">
        <color theme="4" tint="-0.249977111117893"/>
      </top>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bottom style="thin">
        <color theme="0"/>
      </bottom>
      <diagonal/>
    </border>
  </borders>
  <cellStyleXfs count="1">
    <xf numFmtId="0" fontId="0" fillId="0" borderId="0"/>
  </cellStyleXfs>
  <cellXfs count="74">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5" xfId="0" applyFont="1" applyBorder="1" applyAlignment="1">
      <alignment readingOrder="1"/>
    </xf>
    <xf numFmtId="0" fontId="1" fillId="0" borderId="6" xfId="0" applyFont="1" applyBorder="1" applyAlignment="1">
      <alignment readingOrder="1"/>
    </xf>
    <xf numFmtId="0" fontId="1" fillId="0" borderId="5" xfId="0" quotePrefix="1" applyFont="1" applyBorder="1" applyAlignment="1">
      <alignment readingOrder="1"/>
    </xf>
    <xf numFmtId="0" fontId="1" fillId="0" borderId="7" xfId="0" applyFont="1" applyBorder="1" applyAlignment="1">
      <alignment readingOrder="1"/>
    </xf>
    <xf numFmtId="0" fontId="1" fillId="0" borderId="8" xfId="0" applyFont="1" applyBorder="1" applyAlignment="1">
      <alignment readingOrder="1"/>
    </xf>
    <xf numFmtId="0" fontId="1" fillId="0" borderId="9" xfId="0" applyFont="1" applyBorder="1" applyAlignment="1">
      <alignment readingOrder="1"/>
    </xf>
    <xf numFmtId="0" fontId="1" fillId="0" borderId="10" xfId="0" applyFont="1" applyBorder="1" applyAlignment="1">
      <alignment readingOrder="1"/>
    </xf>
    <xf numFmtId="0" fontId="1" fillId="0" borderId="11" xfId="0" applyFont="1" applyBorder="1" applyAlignment="1">
      <alignment readingOrder="1"/>
    </xf>
    <xf numFmtId="0" fontId="1" fillId="0" borderId="12" xfId="0" applyFont="1" applyBorder="1" applyAlignment="1">
      <alignment readingOrder="1"/>
    </xf>
    <xf numFmtId="0" fontId="1" fillId="0" borderId="13" xfId="0" applyFont="1" applyBorder="1" applyAlignment="1">
      <alignment readingOrder="1"/>
    </xf>
    <xf numFmtId="0" fontId="1" fillId="0" borderId="14" xfId="0" applyFont="1" applyBorder="1" applyAlignment="1">
      <alignment readingOrder="1"/>
    </xf>
    <xf numFmtId="0" fontId="1" fillId="0" borderId="15" xfId="0" applyFont="1" applyBorder="1" applyAlignment="1">
      <alignment readingOrder="1"/>
    </xf>
    <xf numFmtId="0" fontId="1" fillId="0" borderId="16" xfId="0" applyFont="1" applyBorder="1" applyAlignment="1">
      <alignment readingOrder="1"/>
    </xf>
    <xf numFmtId="0" fontId="1" fillId="0" borderId="17" xfId="0" applyFont="1" applyBorder="1" applyAlignment="1">
      <alignment readingOrder="1"/>
    </xf>
    <xf numFmtId="0" fontId="2" fillId="0" borderId="0" xfId="0" applyFont="1"/>
    <xf numFmtId="0" fontId="3" fillId="0" borderId="0" xfId="0" applyFont="1"/>
    <xf numFmtId="0" fontId="4" fillId="0" borderId="0" xfId="0" applyFont="1"/>
    <xf numFmtId="0" fontId="5" fillId="0" borderId="0" xfId="0" applyFont="1"/>
    <xf numFmtId="0" fontId="0" fillId="0" borderId="0" xfId="0" pivotButton="1"/>
    <xf numFmtId="0" fontId="0" fillId="0" borderId="0" xfId="0" applyNumberFormat="1"/>
    <xf numFmtId="0" fontId="0" fillId="0" borderId="13" xfId="0" applyFont="1" applyBorder="1" applyAlignment="1">
      <alignment readingOrder="1"/>
    </xf>
    <xf numFmtId="0" fontId="0" fillId="0" borderId="5" xfId="0" applyFont="1" applyBorder="1" applyAlignment="1">
      <alignment readingOrder="1"/>
    </xf>
    <xf numFmtId="0" fontId="0" fillId="0" borderId="16" xfId="0" applyFont="1" applyBorder="1" applyAlignment="1">
      <alignment readingOrder="1"/>
    </xf>
    <xf numFmtId="0" fontId="1" fillId="0" borderId="5" xfId="0" applyNumberFormat="1" applyFont="1" applyBorder="1" applyAlignment="1">
      <alignment readingOrder="1"/>
    </xf>
    <xf numFmtId="0" fontId="0" fillId="0" borderId="5" xfId="0" applyNumberFormat="1" applyFont="1" applyBorder="1" applyAlignment="1">
      <alignment readingOrder="1"/>
    </xf>
    <xf numFmtId="164" fontId="1" fillId="0" borderId="5" xfId="0" applyNumberFormat="1" applyFont="1" applyBorder="1" applyAlignment="1">
      <alignment readingOrder="1"/>
    </xf>
    <xf numFmtId="164" fontId="1" fillId="0" borderId="11" xfId="0" applyNumberFormat="1" applyFont="1" applyBorder="1" applyAlignment="1">
      <alignment readingOrder="1"/>
    </xf>
    <xf numFmtId="0" fontId="6" fillId="0" borderId="0" xfId="0" applyFont="1"/>
    <xf numFmtId="0" fontId="7" fillId="2" borderId="1" xfId="0" applyFont="1" applyFill="1" applyBorder="1" applyAlignment="1">
      <alignment readingOrder="1"/>
    </xf>
    <xf numFmtId="0" fontId="7" fillId="2" borderId="2" xfId="0" applyFont="1" applyFill="1" applyBorder="1" applyAlignment="1">
      <alignment readingOrder="1"/>
    </xf>
    <xf numFmtId="0" fontId="8" fillId="2" borderId="18" xfId="0" applyFont="1" applyFill="1" applyBorder="1"/>
    <xf numFmtId="0" fontId="7" fillId="2" borderId="19" xfId="0" applyFont="1" applyFill="1" applyBorder="1" applyAlignment="1">
      <alignment readingOrder="1"/>
    </xf>
    <xf numFmtId="0" fontId="9" fillId="0" borderId="0" xfId="0" applyFont="1"/>
    <xf numFmtId="0" fontId="10" fillId="0" borderId="0" xfId="0" applyFont="1"/>
    <xf numFmtId="0" fontId="2" fillId="3" borderId="0" xfId="0" applyFont="1" applyFill="1"/>
    <xf numFmtId="0" fontId="4" fillId="3" borderId="0" xfId="0" applyFont="1" applyFill="1"/>
    <xf numFmtId="0" fontId="0" fillId="3" borderId="0" xfId="0" applyFill="1"/>
    <xf numFmtId="17" fontId="0" fillId="0" borderId="0" xfId="0" applyNumberFormat="1"/>
    <xf numFmtId="164" fontId="0" fillId="0" borderId="0" xfId="0" applyNumberFormat="1"/>
    <xf numFmtId="164" fontId="0" fillId="0" borderId="0" xfId="0" applyNumberFormat="1" applyFont="1"/>
    <xf numFmtId="0" fontId="11" fillId="0" borderId="0" xfId="0" applyFont="1"/>
    <xf numFmtId="16" fontId="2" fillId="0" borderId="0" xfId="0" applyNumberFormat="1" applyFont="1" applyAlignment="1">
      <alignment horizontal="center"/>
    </xf>
    <xf numFmtId="0" fontId="2" fillId="0" borderId="0" xfId="0" applyFont="1" applyAlignment="1">
      <alignment horizontal="center"/>
    </xf>
    <xf numFmtId="0" fontId="0" fillId="0" borderId="0" xfId="0" applyNumberFormat="1" applyFont="1"/>
    <xf numFmtId="0" fontId="8" fillId="2" borderId="20" xfId="0" applyFont="1" applyFill="1" applyBorder="1"/>
    <xf numFmtId="0" fontId="4" fillId="0" borderId="0" xfId="0" applyFont="1" applyAlignment="1">
      <alignment horizontal="center"/>
    </xf>
    <xf numFmtId="16" fontId="0" fillId="0" borderId="0" xfId="0" applyNumberFormat="1"/>
    <xf numFmtId="16" fontId="0" fillId="0" borderId="0" xfId="0" applyNumberFormat="1" applyFont="1"/>
    <xf numFmtId="2" fontId="0" fillId="0" borderId="0" xfId="0" applyNumberFormat="1" applyAlignment="1">
      <alignment horizontal="center"/>
    </xf>
    <xf numFmtId="0" fontId="0" fillId="0" borderId="0" xfId="0" applyAlignment="1">
      <alignment horizontal="center"/>
    </xf>
    <xf numFmtId="16" fontId="0" fillId="4" borderId="21" xfId="0" applyNumberFormat="1" applyFont="1" applyFill="1" applyBorder="1"/>
    <xf numFmtId="16" fontId="0" fillId="0" borderId="21" xfId="0" applyNumberFormat="1" applyFont="1" applyBorder="1"/>
    <xf numFmtId="2" fontId="0" fillId="0" borderId="0" xfId="0" applyNumberFormat="1"/>
    <xf numFmtId="0" fontId="0" fillId="0" borderId="0" xfId="0" applyBorder="1"/>
    <xf numFmtId="0" fontId="3" fillId="0" borderId="0" xfId="0" applyFont="1" applyBorder="1"/>
    <xf numFmtId="0" fontId="3" fillId="0" borderId="22" xfId="0" applyFont="1" applyBorder="1"/>
    <xf numFmtId="16" fontId="0" fillId="5" borderId="0" xfId="0" applyNumberFormat="1" applyFill="1"/>
    <xf numFmtId="0" fontId="0" fillId="5" borderId="0" xfId="0" applyFill="1"/>
    <xf numFmtId="0" fontId="0" fillId="0" borderId="0" xfId="0" applyNumberFormat="1" applyAlignment="1">
      <alignment horizontal="center"/>
    </xf>
    <xf numFmtId="165" fontId="0" fillId="0" borderId="0" xfId="0" applyNumberFormat="1"/>
    <xf numFmtId="0" fontId="12" fillId="0" borderId="0" xfId="0" applyFont="1"/>
    <xf numFmtId="0" fontId="13" fillId="0" borderId="0" xfId="0" applyFont="1"/>
    <xf numFmtId="165" fontId="13" fillId="0" borderId="0" xfId="0" applyNumberFormat="1" applyFont="1"/>
    <xf numFmtId="2" fontId="13" fillId="0" borderId="0" xfId="0" applyNumberFormat="1" applyFont="1"/>
    <xf numFmtId="17" fontId="0" fillId="0" borderId="0" xfId="0" applyNumberFormat="1" applyFont="1"/>
    <xf numFmtId="17" fontId="0" fillId="0" borderId="0" xfId="0" applyNumberFormat="1"/>
    <xf numFmtId="17" fontId="0" fillId="4" borderId="21" xfId="0" applyNumberFormat="1" applyFont="1" applyFill="1" applyBorder="1"/>
    <xf numFmtId="17" fontId="0" fillId="0" borderId="21" xfId="0" applyNumberFormat="1" applyFont="1" applyBorder="1"/>
    <xf numFmtId="17" fontId="0" fillId="5" borderId="0" xfId="0" applyNumberFormat="1" applyFill="1"/>
  </cellXfs>
  <cellStyles count="1">
    <cellStyle name="Normal" xfId="0" builtinId="0"/>
  </cellStyles>
  <dxfs count="93">
    <dxf>
      <numFmt numFmtId="2" formatCode="0.00"/>
      <alignment horizontal="center" vertical="bottom" textRotation="0" wrapText="0" indent="0" justifyLastLine="0" shrinkToFit="0" readingOrder="0"/>
    </dxf>
    <dxf>
      <numFmt numFmtId="21" formatCode="d\-mmm"/>
    </dxf>
    <dxf>
      <font>
        <b val="0"/>
        <i val="0"/>
        <strike val="0"/>
        <condense val="0"/>
        <extend val="0"/>
        <outline val="0"/>
        <shadow val="0"/>
        <u val="none"/>
        <vertAlign val="baseline"/>
        <sz val="11"/>
        <color theme="1"/>
        <name val="Calibri"/>
        <family val="2"/>
        <scheme val="minor"/>
      </font>
      <numFmt numFmtId="164" formatCode="0.0"/>
    </dxf>
    <dxf>
      <numFmt numFmtId="22" formatCode="mmm\-yy"/>
    </dxf>
    <dxf>
      <font>
        <b/>
        <i val="0"/>
        <strike val="0"/>
        <condense val="0"/>
        <extend val="0"/>
        <outline val="0"/>
        <shadow val="0"/>
        <u val="none"/>
        <vertAlign val="baseline"/>
        <sz val="11"/>
        <color rgb="FF000000"/>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left/>
        <right/>
        <top style="medium">
          <color theme="4" tint="-0.249977111117893"/>
        </top>
        <bottom/>
        <vertical/>
        <horizontal/>
      </border>
    </dxf>
    <dxf>
      <numFmt numFmtId="22" formatCode="mmm\-yy"/>
    </dxf>
    <dxf>
      <font>
        <b/>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0"/>
        <color theme="1"/>
        <name val="Arial"/>
        <charset val="1"/>
        <scheme val="none"/>
      </font>
      <numFmt numFmtId="0" formatCode="General"/>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
      <font>
        <b val="0"/>
        <i val="0"/>
        <strike val="0"/>
        <condense val="0"/>
        <extend val="0"/>
        <outline val="0"/>
        <shadow val="0"/>
        <u val="none"/>
        <vertAlign val="baseline"/>
        <sz val="10"/>
        <color theme="1"/>
        <name val="Arial"/>
        <charset val="1"/>
        <scheme val="none"/>
      </font>
      <numFmt numFmtId="0" formatCode="General"/>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
      <numFmt numFmtId="165" formatCode="0.000"/>
    </dxf>
    <dxf>
      <numFmt numFmtId="165" formatCode="0.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'objective 2 '!$F$7</c:f>
              <c:strCache>
                <c:ptCount val="1"/>
                <c:pt idx="0">
                  <c:v>inflation</c:v>
                </c:pt>
              </c:strCache>
            </c:strRef>
          </c:tx>
          <c:spPr>
            <a:ln w="25400" cap="rnd">
              <a:noFill/>
              <a:round/>
            </a:ln>
            <a:effectLst/>
          </c:spPr>
          <c:marker>
            <c:symbol val="circle"/>
            <c:size val="5"/>
            <c:spPr>
              <a:solidFill>
                <a:schemeClr val="accent1"/>
              </a:solidFill>
              <a:ln w="9525">
                <a:solidFill>
                  <a:schemeClr val="accent1"/>
                </a:solidFill>
              </a:ln>
              <a:effectLst/>
            </c:spPr>
          </c:marker>
          <c:xVal>
            <c:numRef>
              <c:f>'objective 2 '!$E$8:$E$13</c:f>
              <c:numCache>
                <c:formatCode>General</c:formatCode>
                <c:ptCount val="6"/>
                <c:pt idx="0">
                  <c:v>2017</c:v>
                </c:pt>
                <c:pt idx="1">
                  <c:v>2018</c:v>
                </c:pt>
                <c:pt idx="2">
                  <c:v>2019</c:v>
                </c:pt>
                <c:pt idx="3">
                  <c:v>2020</c:v>
                </c:pt>
                <c:pt idx="4">
                  <c:v>2021</c:v>
                </c:pt>
                <c:pt idx="5">
                  <c:v>2022</c:v>
                </c:pt>
              </c:numCache>
            </c:numRef>
          </c:xVal>
          <c:yVal>
            <c:numRef>
              <c:f>'objective 2 '!$F$8:$F$13</c:f>
              <c:numCache>
                <c:formatCode>General</c:formatCode>
                <c:ptCount val="6"/>
                <c:pt idx="0">
                  <c:v>5.0652340752110465</c:v>
                </c:pt>
                <c:pt idx="1">
                  <c:v>1.972242512783045</c:v>
                </c:pt>
                <c:pt idx="2">
                  <c:v>7.5931232091690504</c:v>
                </c:pt>
                <c:pt idx="3">
                  <c:v>4.7270306258322385</c:v>
                </c:pt>
                <c:pt idx="4">
                  <c:v>5.3401144310235074</c:v>
                </c:pt>
                <c:pt idx="5">
                  <c:v>6.5178032589016377</c:v>
                </c:pt>
              </c:numCache>
            </c:numRef>
          </c:yVal>
          <c:smooth val="0"/>
          <c:extLst>
            <c:ext xmlns:c16="http://schemas.microsoft.com/office/drawing/2014/chart" uri="{C3380CC4-5D6E-409C-BE32-E72D297353CC}">
              <c16:uniqueId val="{00000000-DD4F-425D-9AED-9FC4F40EA467}"/>
            </c:ext>
          </c:extLst>
        </c:ser>
        <c:dLbls>
          <c:showLegendKey val="0"/>
          <c:showVal val="0"/>
          <c:showCatName val="0"/>
          <c:showSerName val="0"/>
          <c:showPercent val="0"/>
          <c:showBubbleSize val="0"/>
        </c:dLbls>
        <c:axId val="1962791431"/>
        <c:axId val="1962793479"/>
      </c:scatterChart>
      <c:valAx>
        <c:axId val="1962791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93479"/>
        <c:crosses val="autoZero"/>
        <c:crossBetween val="midCat"/>
      </c:valAx>
      <c:valAx>
        <c:axId val="196279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7914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 Inflation Trend Before and After COVID-19 Onset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4'!$D$2</c:f>
              <c:strCache>
                <c:ptCount val="1"/>
                <c:pt idx="0">
                  <c:v>Inflation %</c:v>
                </c:pt>
              </c:strCache>
            </c:strRef>
          </c:tx>
          <c:spPr>
            <a:ln w="28575" cap="rnd">
              <a:solidFill>
                <a:schemeClr val="accent1"/>
              </a:solidFill>
              <a:round/>
            </a:ln>
            <a:effectLst/>
          </c:spPr>
          <c:marker>
            <c:symbol val="none"/>
          </c:marker>
          <c:cat>
            <c:numRef>
              <c:f>'objective 4'!$C$3:$C$15</c:f>
              <c:numCache>
                <c:formatCode>d\-mmm</c:formatCode>
                <c:ptCount val="13"/>
                <c:pt idx="0">
                  <c:v>46375</c:v>
                </c:pt>
                <c:pt idx="1">
                  <c:v>46042</c:v>
                </c:pt>
                <c:pt idx="2">
                  <c:v>46073</c:v>
                </c:pt>
                <c:pt idx="3">
                  <c:v>46101</c:v>
                </c:pt>
                <c:pt idx="4">
                  <c:v>46132</c:v>
                </c:pt>
                <c:pt idx="5">
                  <c:v>46162</c:v>
                </c:pt>
                <c:pt idx="6">
                  <c:v>46193</c:v>
                </c:pt>
                <c:pt idx="7">
                  <c:v>46223</c:v>
                </c:pt>
                <c:pt idx="8">
                  <c:v>46254</c:v>
                </c:pt>
                <c:pt idx="9">
                  <c:v>46285</c:v>
                </c:pt>
                <c:pt idx="10">
                  <c:v>46315</c:v>
                </c:pt>
                <c:pt idx="11">
                  <c:v>46346</c:v>
                </c:pt>
                <c:pt idx="12">
                  <c:v>46376</c:v>
                </c:pt>
              </c:numCache>
            </c:numRef>
          </c:cat>
          <c:val>
            <c:numRef>
              <c:f>'objective 4'!$D$3:$D$15</c:f>
              <c:numCache>
                <c:formatCode>0.00</c:formatCode>
                <c:ptCount val="13"/>
                <c:pt idx="1">
                  <c:v>-0.13297872340426667</c:v>
                </c:pt>
                <c:pt idx="2">
                  <c:v>-0.73235685752329849</c:v>
                </c:pt>
                <c:pt idx="3">
                  <c:v>-0.33534540576794097</c:v>
                </c:pt>
                <c:pt idx="4">
                  <c:v>0.71781067743382432</c:v>
                </c:pt>
                <c:pt idx="5">
                  <c:v>0.71269487750558447</c:v>
                </c:pt>
                <c:pt idx="6">
                  <c:v>0.70765148164528713</c:v>
                </c:pt>
                <c:pt idx="7">
                  <c:v>0</c:v>
                </c:pt>
                <c:pt idx="8">
                  <c:v>1.3833992094861622</c:v>
                </c:pt>
                <c:pt idx="9">
                  <c:v>0.51981806367770167</c:v>
                </c:pt>
                <c:pt idx="10">
                  <c:v>1.0989010989011101</c:v>
                </c:pt>
                <c:pt idx="11">
                  <c:v>1.2787723785166241</c:v>
                </c:pt>
                <c:pt idx="12">
                  <c:v>0.31565656565656564</c:v>
                </c:pt>
              </c:numCache>
            </c:numRef>
          </c:val>
          <c:smooth val="0"/>
          <c:extLst>
            <c:ext xmlns:c16="http://schemas.microsoft.com/office/drawing/2014/chart" uri="{C3380CC4-5D6E-409C-BE32-E72D297353CC}">
              <c16:uniqueId val="{00000000-6B89-4DA0-B32E-DE39827368F0}"/>
            </c:ext>
          </c:extLst>
        </c:ser>
        <c:dLbls>
          <c:showLegendKey val="0"/>
          <c:showVal val="0"/>
          <c:showCatName val="0"/>
          <c:showSerName val="0"/>
          <c:showPercent val="0"/>
          <c:showBubbleSize val="0"/>
        </c:dLbls>
        <c:smooth val="0"/>
        <c:axId val="2076027399"/>
        <c:axId val="1102266888"/>
      </c:lineChart>
      <c:dateAx>
        <c:axId val="2076027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8336738667643514"/>
              <c:y val="0.927553916624437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mmm"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66888"/>
        <c:crosses val="autoZero"/>
        <c:auto val="1"/>
        <c:lblOffset val="100"/>
        <c:baseTimeUnit val="days"/>
        <c:majorUnit val="1"/>
        <c:majorTimeUnit val="months"/>
        <c:minorUnit val="1"/>
        <c:minorTimeUnit val="months"/>
      </c:dateAx>
      <c:valAx>
        <c:axId val="1102266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2739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 Health and Essential Services Inflation During COVID  -19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4'!$G$73</c:f>
              <c:strCache>
                <c:ptCount val="1"/>
                <c:pt idx="0">
                  <c:v>Food Inflation %</c:v>
                </c:pt>
              </c:strCache>
            </c:strRef>
          </c:tx>
          <c:spPr>
            <a:ln w="28575" cap="rnd">
              <a:solidFill>
                <a:schemeClr val="accent1"/>
              </a:solidFill>
              <a:round/>
            </a:ln>
            <a:effectLst/>
          </c:spPr>
          <c:marker>
            <c:symbol val="none"/>
          </c:marker>
          <c:cat>
            <c:numRef>
              <c:f>'objective 4'!$F$74:$F$85</c:f>
              <c:numCache>
                <c:formatCode>d\-mmm</c:formatCode>
                <c:ptCount val="12"/>
                <c:pt idx="0">
                  <c:v>46042</c:v>
                </c:pt>
                <c:pt idx="1">
                  <c:v>46073</c:v>
                </c:pt>
                <c:pt idx="2">
                  <c:v>46101</c:v>
                </c:pt>
                <c:pt idx="3">
                  <c:v>46132</c:v>
                </c:pt>
                <c:pt idx="4">
                  <c:v>46162</c:v>
                </c:pt>
                <c:pt idx="5">
                  <c:v>46193</c:v>
                </c:pt>
                <c:pt idx="6">
                  <c:v>46223</c:v>
                </c:pt>
                <c:pt idx="7">
                  <c:v>46254</c:v>
                </c:pt>
                <c:pt idx="8">
                  <c:v>46285</c:v>
                </c:pt>
                <c:pt idx="9">
                  <c:v>46315</c:v>
                </c:pt>
                <c:pt idx="10">
                  <c:v>46346</c:v>
                </c:pt>
                <c:pt idx="11">
                  <c:v>46376</c:v>
                </c:pt>
              </c:numCache>
            </c:numRef>
          </c:cat>
          <c:val>
            <c:numRef>
              <c:f>'objective 4'!$G$74:$G$85</c:f>
              <c:numCache>
                <c:formatCode>General</c:formatCode>
                <c:ptCount val="12"/>
                <c:pt idx="0">
                  <c:v>-0.23560677118227222</c:v>
                </c:pt>
                <c:pt idx="1">
                  <c:v>-1.443841289383853</c:v>
                </c:pt>
                <c:pt idx="2">
                  <c:v>-0.82902731247515882</c:v>
                </c:pt>
                <c:pt idx="3">
                  <c:v>3.4755224735184687</c:v>
                </c:pt>
                <c:pt idx="4">
                  <c:v>0.15493581230634029</c:v>
                </c:pt>
                <c:pt idx="5">
                  <c:v>0.15469613259669512</c:v>
                </c:pt>
                <c:pt idx="6">
                  <c:v>0</c:v>
                </c:pt>
                <c:pt idx="7">
                  <c:v>1.4011473962929946</c:v>
                </c:pt>
                <c:pt idx="8">
                  <c:v>0.58753128060060988</c:v>
                </c:pt>
                <c:pt idx="9">
                  <c:v>2.0659816116819925</c:v>
                </c:pt>
                <c:pt idx="10">
                  <c:v>2.3155998304366157</c:v>
                </c:pt>
                <c:pt idx="11">
                  <c:v>0.66290330933761221</c:v>
                </c:pt>
              </c:numCache>
            </c:numRef>
          </c:val>
          <c:smooth val="0"/>
          <c:extLst>
            <c:ext xmlns:c16="http://schemas.microsoft.com/office/drawing/2014/chart" uri="{C3380CC4-5D6E-409C-BE32-E72D297353CC}">
              <c16:uniqueId val="{00000000-4CD1-4937-9F15-DD944DF33AD5}"/>
            </c:ext>
          </c:extLst>
        </c:ser>
        <c:ser>
          <c:idx val="1"/>
          <c:order val="1"/>
          <c:tx>
            <c:strRef>
              <c:f>'objective 4'!$H$73</c:f>
              <c:strCache>
                <c:ptCount val="1"/>
                <c:pt idx="0">
                  <c:v>Health Inflation %</c:v>
                </c:pt>
              </c:strCache>
            </c:strRef>
          </c:tx>
          <c:spPr>
            <a:ln w="28575" cap="rnd">
              <a:solidFill>
                <a:schemeClr val="accent2"/>
              </a:solidFill>
              <a:round/>
            </a:ln>
            <a:effectLst/>
          </c:spPr>
          <c:marker>
            <c:symbol val="none"/>
          </c:marker>
          <c:cat>
            <c:numRef>
              <c:f>'objective 4'!$F$74:$F$85</c:f>
              <c:numCache>
                <c:formatCode>d\-mmm</c:formatCode>
                <c:ptCount val="12"/>
                <c:pt idx="0">
                  <c:v>46042</c:v>
                </c:pt>
                <c:pt idx="1">
                  <c:v>46073</c:v>
                </c:pt>
                <c:pt idx="2">
                  <c:v>46101</c:v>
                </c:pt>
                <c:pt idx="3">
                  <c:v>46132</c:v>
                </c:pt>
                <c:pt idx="4">
                  <c:v>46162</c:v>
                </c:pt>
                <c:pt idx="5">
                  <c:v>46193</c:v>
                </c:pt>
                <c:pt idx="6">
                  <c:v>46223</c:v>
                </c:pt>
                <c:pt idx="7">
                  <c:v>46254</c:v>
                </c:pt>
                <c:pt idx="8">
                  <c:v>46285</c:v>
                </c:pt>
                <c:pt idx="9">
                  <c:v>46315</c:v>
                </c:pt>
                <c:pt idx="10">
                  <c:v>46346</c:v>
                </c:pt>
                <c:pt idx="11">
                  <c:v>46376</c:v>
                </c:pt>
              </c:numCache>
            </c:numRef>
          </c:cat>
          <c:val>
            <c:numRef>
              <c:f>'objective 4'!$H$74:$H$85</c:f>
              <c:numCache>
                <c:formatCode>General</c:formatCode>
                <c:ptCount val="12"/>
                <c:pt idx="0">
                  <c:v>0.53191489361700994</c:v>
                </c:pt>
                <c:pt idx="1">
                  <c:v>0.3306878306878307</c:v>
                </c:pt>
                <c:pt idx="2">
                  <c:v>0.39551746868821541</c:v>
                </c:pt>
                <c:pt idx="3">
                  <c:v>-1.0505581089954186</c:v>
                </c:pt>
                <c:pt idx="4">
                  <c:v>1.2276045122760604</c:v>
                </c:pt>
                <c:pt idx="5">
                  <c:v>1.2127171419206779</c:v>
                </c:pt>
                <c:pt idx="6">
                  <c:v>0</c:v>
                </c:pt>
                <c:pt idx="7">
                  <c:v>0.38860103626942638</c:v>
                </c:pt>
                <c:pt idx="8">
                  <c:v>0.38709677419354471</c:v>
                </c:pt>
                <c:pt idx="9">
                  <c:v>0.44987146529564076</c:v>
                </c:pt>
                <c:pt idx="10">
                  <c:v>0.57581573896351712</c:v>
                </c:pt>
                <c:pt idx="11">
                  <c:v>0.69974554707380587</c:v>
                </c:pt>
              </c:numCache>
            </c:numRef>
          </c:val>
          <c:smooth val="0"/>
          <c:extLst>
            <c:ext xmlns:c16="http://schemas.microsoft.com/office/drawing/2014/chart" uri="{C3380CC4-5D6E-409C-BE32-E72D297353CC}">
              <c16:uniqueId val="{00000002-4CD1-4937-9F15-DD944DF33AD5}"/>
            </c:ext>
          </c:extLst>
        </c:ser>
        <c:ser>
          <c:idx val="2"/>
          <c:order val="2"/>
          <c:tx>
            <c:strRef>
              <c:f>'objective 4'!$I$73</c:f>
              <c:strCache>
                <c:ptCount val="1"/>
                <c:pt idx="0">
                  <c:v>Essential Inflation %</c:v>
                </c:pt>
              </c:strCache>
            </c:strRef>
          </c:tx>
          <c:spPr>
            <a:ln w="28575" cap="rnd">
              <a:solidFill>
                <a:schemeClr val="accent3"/>
              </a:solidFill>
              <a:round/>
            </a:ln>
            <a:effectLst/>
          </c:spPr>
          <c:marker>
            <c:symbol val="none"/>
          </c:marker>
          <c:cat>
            <c:numRef>
              <c:f>'objective 4'!$F$74:$F$85</c:f>
              <c:numCache>
                <c:formatCode>d\-mmm</c:formatCode>
                <c:ptCount val="12"/>
                <c:pt idx="0">
                  <c:v>46042</c:v>
                </c:pt>
                <c:pt idx="1">
                  <c:v>46073</c:v>
                </c:pt>
                <c:pt idx="2">
                  <c:v>46101</c:v>
                </c:pt>
                <c:pt idx="3">
                  <c:v>46132</c:v>
                </c:pt>
                <c:pt idx="4">
                  <c:v>46162</c:v>
                </c:pt>
                <c:pt idx="5">
                  <c:v>46193</c:v>
                </c:pt>
                <c:pt idx="6">
                  <c:v>46223</c:v>
                </c:pt>
                <c:pt idx="7">
                  <c:v>46254</c:v>
                </c:pt>
                <c:pt idx="8">
                  <c:v>46285</c:v>
                </c:pt>
                <c:pt idx="9">
                  <c:v>46315</c:v>
                </c:pt>
                <c:pt idx="10">
                  <c:v>46346</c:v>
                </c:pt>
                <c:pt idx="11">
                  <c:v>46376</c:v>
                </c:pt>
              </c:numCache>
            </c:numRef>
          </c:cat>
          <c:val>
            <c:numRef>
              <c:f>'objective 4'!$I$74:$I$85</c:f>
              <c:numCache>
                <c:formatCode>General</c:formatCode>
                <c:ptCount val="12"/>
                <c:pt idx="0">
                  <c:v>0.38167938931298501</c:v>
                </c:pt>
                <c:pt idx="1">
                  <c:v>0.3418212543687798</c:v>
                </c:pt>
                <c:pt idx="2">
                  <c:v>0.21051825767435828</c:v>
                </c:pt>
                <c:pt idx="3">
                  <c:v>-0.18461225061432329</c:v>
                </c:pt>
                <c:pt idx="4">
                  <c:v>0.24554197811167636</c:v>
                </c:pt>
                <c:pt idx="5">
                  <c:v>0.24494054624921846</c:v>
                </c:pt>
                <c:pt idx="6">
                  <c:v>0</c:v>
                </c:pt>
                <c:pt idx="7">
                  <c:v>0.93675031415407417</c:v>
                </c:pt>
                <c:pt idx="8">
                  <c:v>0.14335835816955772</c:v>
                </c:pt>
                <c:pt idx="9">
                  <c:v>0.32397815031078098</c:v>
                </c:pt>
                <c:pt idx="10">
                  <c:v>0.17648605009200402</c:v>
                </c:pt>
                <c:pt idx="11">
                  <c:v>0.42731838968439817</c:v>
                </c:pt>
              </c:numCache>
            </c:numRef>
          </c:val>
          <c:smooth val="0"/>
          <c:extLst>
            <c:ext xmlns:c16="http://schemas.microsoft.com/office/drawing/2014/chart" uri="{C3380CC4-5D6E-409C-BE32-E72D297353CC}">
              <c16:uniqueId val="{00000004-4CD1-4937-9F15-DD944DF33AD5}"/>
            </c:ext>
          </c:extLst>
        </c:ser>
        <c:dLbls>
          <c:showLegendKey val="0"/>
          <c:showVal val="0"/>
          <c:showCatName val="0"/>
          <c:showSerName val="0"/>
          <c:showPercent val="0"/>
          <c:showBubbleSize val="0"/>
        </c:dLbls>
        <c:smooth val="0"/>
        <c:axId val="753615368"/>
        <c:axId val="753617416"/>
      </c:lineChart>
      <c:dateAx>
        <c:axId val="753615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17416"/>
        <c:crosses val="autoZero"/>
        <c:auto val="1"/>
        <c:lblOffset val="100"/>
        <c:baseTimeUnit val="months"/>
      </c:dateAx>
      <c:valAx>
        <c:axId val="753617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a:ea typeface="Arial"/>
                    <a:cs typeface="Arial"/>
                  </a:defRPr>
                </a:pPr>
                <a:r>
                  <a:rPr lang="en-US"/>
                  <a:t>Inflation (%)</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a:ea typeface="Arial"/>
                  <a:cs typeface="Arial"/>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15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'objective 5'!$H$40</c:f>
              <c:strCache>
                <c:ptCount val="1"/>
                <c:pt idx="0">
                  <c:v>imported oil price with correlation</c:v>
                </c:pt>
              </c:strCache>
            </c:strRef>
          </c:tx>
          <c:spPr>
            <a:solidFill>
              <a:schemeClr val="accent1"/>
            </a:solidFill>
            <a:ln>
              <a:noFill/>
            </a:ln>
            <a:effectLst/>
          </c:spPr>
          <c:invertIfNegative val="0"/>
          <c:cat>
            <c:strRef>
              <c:f>'objective 5'!$G$41:$G$53</c:f>
              <c:strCache>
                <c:ptCount val="13"/>
                <c:pt idx="0">
                  <c:v>food and beverages</c:v>
                </c:pt>
                <c:pt idx="1">
                  <c:v>  pan tobacco</c:v>
                </c:pt>
                <c:pt idx="2">
                  <c:v>  clothing and footwear</c:v>
                </c:pt>
                <c:pt idx="3">
                  <c:v>  housing</c:v>
                </c:pt>
                <c:pt idx="4">
                  <c:v> FUEL&amp;LIGHT</c:v>
                </c:pt>
                <c:pt idx="5">
                  <c:v>  HOSEHOLD GOODS</c:v>
                </c:pt>
                <c:pt idx="6">
                  <c:v>  HEALTH</c:v>
                </c:pt>
                <c:pt idx="7">
                  <c:v> TRANSPORT AND COMMUNICATION</c:v>
                </c:pt>
                <c:pt idx="8">
                  <c:v> RECREATION AND AMUSEMENT</c:v>
                </c:pt>
                <c:pt idx="9">
                  <c:v>  EDUCATION </c:v>
                </c:pt>
                <c:pt idx="10">
                  <c:v>  health care</c:v>
                </c:pt>
                <c:pt idx="11">
                  <c:v>  miscellaneous</c:v>
                </c:pt>
                <c:pt idx="12">
                  <c:v>general index</c:v>
                </c:pt>
              </c:strCache>
            </c:strRef>
          </c:cat>
          <c:val>
            <c:numRef>
              <c:f>'objective 5'!$H$41:$H$53</c:f>
              <c:numCache>
                <c:formatCode>0.000</c:formatCode>
                <c:ptCount val="13"/>
                <c:pt idx="0">
                  <c:v>-1.180693964565244E-2</c:v>
                </c:pt>
                <c:pt idx="1">
                  <c:v>0.18023981123903096</c:v>
                </c:pt>
                <c:pt idx="2">
                  <c:v>0.1035560063204025</c:v>
                </c:pt>
                <c:pt idx="3">
                  <c:v>6.7652047941903368E-2</c:v>
                </c:pt>
                <c:pt idx="4">
                  <c:v>0.16050341272579596</c:v>
                </c:pt>
                <c:pt idx="5">
                  <c:v>-2.663493667339828E-2</c:v>
                </c:pt>
                <c:pt idx="6">
                  <c:v>8.9469179812512359E-2</c:v>
                </c:pt>
                <c:pt idx="7">
                  <c:v>0.11791882570767949</c:v>
                </c:pt>
                <c:pt idx="8">
                  <c:v>0.1494933810017981</c:v>
                </c:pt>
                <c:pt idx="9">
                  <c:v>-0.16457890448361198</c:v>
                </c:pt>
                <c:pt idx="10">
                  <c:v>-1.0674755867788589E-2</c:v>
                </c:pt>
                <c:pt idx="11">
                  <c:v>8.6688155169247161E-2</c:v>
                </c:pt>
                <c:pt idx="12">
                  <c:v>1.7225173148298557E-2</c:v>
                </c:pt>
              </c:numCache>
            </c:numRef>
          </c:val>
          <c:extLst>
            <c:ext xmlns:c16="http://schemas.microsoft.com/office/drawing/2014/chart" uri="{C3380CC4-5D6E-409C-BE32-E72D297353CC}">
              <c16:uniqueId val="{00000000-F578-4139-9108-F76BE91526A0}"/>
            </c:ext>
          </c:extLst>
        </c:ser>
        <c:dLbls>
          <c:showLegendKey val="0"/>
          <c:showVal val="0"/>
          <c:showCatName val="0"/>
          <c:showSerName val="0"/>
          <c:showPercent val="0"/>
          <c:showBubbleSize val="0"/>
        </c:dLbls>
        <c:gapWidth val="182"/>
        <c:axId val="468304904"/>
        <c:axId val="468306952"/>
      </c:barChart>
      <c:catAx>
        <c:axId val="468304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06952"/>
        <c:crosses val="autoZero"/>
        <c:auto val="1"/>
        <c:lblAlgn val="ctr"/>
        <c:lblOffset val="100"/>
        <c:noMultiLvlLbl val="0"/>
      </c:catAx>
      <c:valAx>
        <c:axId val="46830695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304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400050</xdr:colOff>
      <xdr:row>8</xdr:row>
      <xdr:rowOff>161925</xdr:rowOff>
    </xdr:from>
    <xdr:to>
      <xdr:col>14</xdr:col>
      <xdr:colOff>1409700</xdr:colOff>
      <xdr:row>13</xdr:row>
      <xdr:rowOff>161925</xdr:rowOff>
    </xdr:to>
    <xdr:sp macro="" textlink="">
      <xdr:nvSpPr>
        <xdr:cNvPr id="2" name="Rectangle 1">
          <a:extLst>
            <a:ext uri="{FF2B5EF4-FFF2-40B4-BE49-F238E27FC236}">
              <a16:creationId xmlns:a16="http://schemas.microsoft.com/office/drawing/2014/main" id="{8DE4A3E1-E8B0-F909-3814-F74301C34B93}"/>
            </a:ext>
          </a:extLst>
        </xdr:cNvPr>
        <xdr:cNvSpPr/>
      </xdr:nvSpPr>
      <xdr:spPr>
        <a:xfrm>
          <a:off x="12534900" y="1685925"/>
          <a:ext cx="2524125" cy="9525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so after analyzing we can conclude that pan,tobacco &amp; intoxicants has the highest contribution in the cpi.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209550</xdr:colOff>
      <xdr:row>18</xdr:row>
      <xdr:rowOff>123825</xdr:rowOff>
    </xdr:from>
    <xdr:to>
      <xdr:col>18</xdr:col>
      <xdr:colOff>361950</xdr:colOff>
      <xdr:row>27</xdr:row>
      <xdr:rowOff>95250</xdr:rowOff>
    </xdr:to>
    <xdr:sp macro="" textlink="">
      <xdr:nvSpPr>
        <xdr:cNvPr id="2" name="5-Point Star 1">
          <a:extLst>
            <a:ext uri="{FF2B5EF4-FFF2-40B4-BE49-F238E27FC236}">
              <a16:creationId xmlns:a16="http://schemas.microsoft.com/office/drawing/2014/main" id="{CB55BA0F-C75F-46FA-BB32-7ABA50C96DE6}"/>
            </a:ext>
          </a:extLst>
        </xdr:cNvPr>
        <xdr:cNvSpPr/>
      </xdr:nvSpPr>
      <xdr:spPr>
        <a:xfrm>
          <a:off x="10963275" y="3552825"/>
          <a:ext cx="1981200" cy="1685925"/>
        </a:xfrm>
        <a:prstGeom prst="star5">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2000" b="1">
              <a:solidFill>
                <a:schemeClr val="tx1">
                  <a:lumMod val="75000"/>
                  <a:lumOff val="25000"/>
                </a:schemeClr>
              </a:solidFill>
              <a:latin typeface="+mn-lt"/>
              <a:ea typeface="+mn-lt"/>
              <a:cs typeface="+mn-lt"/>
            </a:rPr>
            <a:t>2019</a:t>
          </a:r>
        </a:p>
      </xdr:txBody>
    </xdr:sp>
    <xdr:clientData/>
  </xdr:twoCellAnchor>
  <xdr:twoCellAnchor>
    <xdr:from>
      <xdr:col>4</xdr:col>
      <xdr:colOff>676275</xdr:colOff>
      <xdr:row>13</xdr:row>
      <xdr:rowOff>104775</xdr:rowOff>
    </xdr:from>
    <xdr:to>
      <xdr:col>11</xdr:col>
      <xdr:colOff>285750</xdr:colOff>
      <xdr:row>27</xdr:row>
      <xdr:rowOff>180975</xdr:rowOff>
    </xdr:to>
    <xdr:graphicFrame macro="">
      <xdr:nvGraphicFramePr>
        <xdr:cNvPr id="4" name="Chart 3">
          <a:extLst>
            <a:ext uri="{FF2B5EF4-FFF2-40B4-BE49-F238E27FC236}">
              <a16:creationId xmlns:a16="http://schemas.microsoft.com/office/drawing/2014/main" id="{7982F7E6-9460-5A2E-FD6B-FAA68DE2BEC9}"/>
            </a:ext>
            <a:ext uri="{147F2762-F138-4A5C-976F-8EAC2B608ADB}">
              <a16:predDERef xmlns:a16="http://schemas.microsoft.com/office/drawing/2014/main" pred="{CB55BA0F-C75F-46FA-BB32-7ABA50C96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209550</xdr:colOff>
      <xdr:row>16</xdr:row>
      <xdr:rowOff>142875</xdr:rowOff>
    </xdr:from>
    <xdr:to>
      <xdr:col>15</xdr:col>
      <xdr:colOff>180975</xdr:colOff>
      <xdr:row>21</xdr:row>
      <xdr:rowOff>142875</xdr:rowOff>
    </xdr:to>
    <xdr:sp macro="" textlink="">
      <xdr:nvSpPr>
        <xdr:cNvPr id="5" name="Rounded Rectangle 4">
          <a:extLst>
            <a:ext uri="{FF2B5EF4-FFF2-40B4-BE49-F238E27FC236}">
              <a16:creationId xmlns:a16="http://schemas.microsoft.com/office/drawing/2014/main" id="{90BB009C-AB15-C518-1E8A-F93F41F6E1BA}"/>
            </a:ext>
            <a:ext uri="{147F2762-F138-4A5C-976F-8EAC2B608ADB}">
              <a16:predDERef xmlns:a16="http://schemas.microsoft.com/office/drawing/2014/main" pred="{7982F7E6-9460-5A2E-FD6B-FAA68DE2BEC9}"/>
            </a:ext>
          </a:extLst>
        </xdr:cNvPr>
        <xdr:cNvSpPr/>
      </xdr:nvSpPr>
      <xdr:spPr>
        <a:xfrm>
          <a:off x="8543925" y="3190875"/>
          <a:ext cx="2390775" cy="9525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From this scatter plot we can conclude that in year 2019 has high inflation rate</a:t>
          </a:r>
        </a:p>
      </xdr:txBody>
    </xdr:sp>
    <xdr:clientData/>
  </xdr:twoCellAnchor>
  <xdr:twoCellAnchor>
    <xdr:from>
      <xdr:col>4</xdr:col>
      <xdr:colOff>352425</xdr:colOff>
      <xdr:row>29</xdr:row>
      <xdr:rowOff>85725</xdr:rowOff>
    </xdr:from>
    <xdr:to>
      <xdr:col>12</xdr:col>
      <xdr:colOff>666750</xdr:colOff>
      <xdr:row>43</xdr:row>
      <xdr:rowOff>171450</xdr:rowOff>
    </xdr:to>
    <xdr:sp macro="" textlink="">
      <xdr:nvSpPr>
        <xdr:cNvPr id="7" name="Rectangle 6">
          <a:extLst>
            <a:ext uri="{FF2B5EF4-FFF2-40B4-BE49-F238E27FC236}">
              <a16:creationId xmlns:a16="http://schemas.microsoft.com/office/drawing/2014/main" id="{6110612F-0949-DF9D-3DE5-7E737446337F}"/>
            </a:ext>
            <a:ext uri="{147F2762-F138-4A5C-976F-8EAC2B608ADB}">
              <a16:predDERef xmlns:a16="http://schemas.microsoft.com/office/drawing/2014/main" pred="{90BB009C-AB15-C518-1E8A-F93F41F6E1BA}"/>
            </a:ext>
          </a:extLst>
        </xdr:cNvPr>
        <xdr:cNvSpPr/>
      </xdr:nvSpPr>
      <xdr:spPr>
        <a:xfrm>
          <a:off x="3114675" y="5610225"/>
          <a:ext cx="5886450" cy="2752725"/>
        </a:xfrm>
        <a:prstGeom prst="rect">
          <a:avLst/>
        </a:prstGeom>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key reasons for high inflation rate in 2019 according to research.</a:t>
          </a:r>
        </a:p>
        <a:p>
          <a:pPr marL="0" indent="0" algn="l"/>
          <a:r>
            <a:rPr lang="en-US" sz="1100">
              <a:solidFill>
                <a:schemeClr val="dk1"/>
              </a:solidFill>
              <a:latin typeface="+mn-lt"/>
              <a:ea typeface="+mn-lt"/>
              <a:cs typeface="+mn-lt"/>
            </a:rPr>
            <a:t>1.</a:t>
          </a:r>
          <a:r>
            <a:rPr lang="en-US" sz="1100">
              <a:solidFill>
                <a:srgbClr val="FF0000"/>
              </a:solidFill>
              <a:latin typeface="+mn-lt"/>
              <a:ea typeface="+mn-lt"/>
              <a:cs typeface="+mn-lt"/>
            </a:rPr>
            <a:t>Vegetable Price Shocks:</a:t>
          </a:r>
          <a:r>
            <a:rPr lang="en-US" sz="1100">
              <a:solidFill>
                <a:schemeClr val="dk1"/>
              </a:solidFill>
              <a:latin typeface="+mn-lt"/>
              <a:ea typeface="+mn-lt"/>
              <a:cs typeface="+mn-lt"/>
            </a:rPr>
            <a:t> Heavy unseasonal rainfall and delayed monsoons damaged crop yields, causing retail vegetable inflation to skyrocket (exceeding 60% by December 2019).</a:t>
          </a:r>
        </a:p>
        <a:p>
          <a:pPr marL="0" indent="0" algn="l"/>
          <a:r>
            <a:rPr lang="en-US" sz="1100">
              <a:solidFill>
                <a:schemeClr val="dk1"/>
              </a:solidFill>
              <a:latin typeface="+mn-lt"/>
              <a:ea typeface="+mn-lt"/>
              <a:cs typeface="+mn-lt"/>
            </a:rPr>
            <a:t>2.</a:t>
          </a:r>
          <a:r>
            <a:rPr lang="en-US" sz="1100">
              <a:solidFill>
                <a:srgbClr val="FF0000"/>
              </a:solidFill>
              <a:latin typeface="+mn-lt"/>
              <a:ea typeface="+mn-lt"/>
              <a:cs typeface="+mn-lt"/>
            </a:rPr>
            <a:t>Food Matters Most</a:t>
          </a:r>
          <a:r>
            <a:rPr lang="en-US" sz="1100">
              <a:solidFill>
                <a:schemeClr val="dk1"/>
              </a:solidFill>
              <a:latin typeface="+mn-lt"/>
              <a:ea typeface="+mn-lt"/>
              <a:cs typeface="+mn-lt"/>
            </a:rPr>
            <a:t>: In India, families spend a large part of their monthly budget on food. Because the "food basket" has a very high weight in how inflation is calculated, when food prices jump, total inflation jumps with it</a:t>
          </a:r>
        </a:p>
        <a:p>
          <a:pPr marL="0" indent="0" algn="l"/>
          <a:r>
            <a:rPr lang="en-US" sz="1100">
              <a:solidFill>
                <a:schemeClr val="dk1"/>
              </a:solidFill>
              <a:latin typeface="+mn-lt"/>
              <a:ea typeface="+mn-lt"/>
              <a:cs typeface="+mn-lt"/>
            </a:rPr>
            <a:t>3</a:t>
          </a:r>
          <a:r>
            <a:rPr lang="en-US" sz="1100">
              <a:solidFill>
                <a:srgbClr val="FF0000"/>
              </a:solidFill>
              <a:latin typeface="+mn-lt"/>
              <a:ea typeface="+mn-lt"/>
              <a:cs typeface="+mn-lt"/>
            </a:rPr>
            <a:t>.More Expensive Daily Meal</a:t>
          </a:r>
          <a:r>
            <a:rPr lang="en-US" sz="1100">
              <a:solidFill>
                <a:schemeClr val="dk1"/>
              </a:solidFill>
              <a:latin typeface="+mn-lt"/>
              <a:ea typeface="+mn-lt"/>
              <a:cs typeface="+mn-lt"/>
            </a:rPr>
            <a:t>s: It wasn’t just vegetables; items like meat, fish, eggs, and pulses also became costlier around the same time.</a:t>
          </a:r>
        </a:p>
        <a:p>
          <a:pPr marL="0" indent="0" algn="l"/>
          <a:r>
            <a:rPr lang="en-US" sz="1100">
              <a:solidFill>
                <a:schemeClr val="dk1"/>
              </a:solidFill>
              <a:latin typeface="+mn-lt"/>
              <a:ea typeface="+mn-lt"/>
              <a:cs typeface="+mn-lt"/>
            </a:rPr>
            <a:t>4.</a:t>
          </a:r>
          <a:r>
            <a:rPr lang="en-US" sz="1100">
              <a:solidFill>
                <a:srgbClr val="FF0000"/>
              </a:solidFill>
              <a:latin typeface="+mn-lt"/>
              <a:ea typeface="+mn-lt"/>
              <a:cs typeface="+mn-lt"/>
            </a:rPr>
            <a:t>The "Comparison" Effect</a:t>
          </a:r>
          <a:r>
            <a:rPr lang="en-US" sz="1100">
              <a:solidFill>
                <a:schemeClr val="dk1"/>
              </a:solidFill>
              <a:latin typeface="+mn-lt"/>
              <a:ea typeface="+mn-lt"/>
              <a:cs typeface="+mn-lt"/>
            </a:rPr>
            <a:t>: In late 2018, prices happened to be unusually low. When economists compared the prices of late 2019 to those low prices from the year before, the jump looked even bigger than usual.</a:t>
          </a:r>
        </a:p>
        <a:p>
          <a:pPr marL="0" indent="0" algn="l"/>
          <a:r>
            <a:rPr lang="en-US" sz="1100">
              <a:solidFill>
                <a:schemeClr val="dk1"/>
              </a:solidFill>
              <a:latin typeface="+mn-lt"/>
              <a:ea typeface="+mn-lt"/>
              <a:cs typeface="+mn-lt"/>
            </a:rPr>
            <a:t>5.</a:t>
          </a:r>
          <a:r>
            <a:rPr lang="en-US" sz="1100">
              <a:solidFill>
                <a:srgbClr val="0070C0"/>
              </a:solidFill>
              <a:latin typeface="+mn-lt"/>
              <a:ea typeface="+mn-lt"/>
              <a:cs typeface="+mn-lt"/>
            </a:rPr>
            <a:t>The Reserve Bank of India (RBI) noted that this wasn't a case of people suddenly spending too much money. It was simply a temporary shortage of food caused by bad weather.</a:t>
          </a:r>
        </a:p>
      </xdr:txBody>
    </xdr:sp>
    <xdr:clientData/>
  </xdr:twoCellAnchor>
  <xdr:twoCellAnchor>
    <xdr:from>
      <xdr:col>12</xdr:col>
      <xdr:colOff>695325</xdr:colOff>
      <xdr:row>41</xdr:row>
      <xdr:rowOff>123825</xdr:rowOff>
    </xdr:from>
    <xdr:to>
      <xdr:col>17</xdr:col>
      <xdr:colOff>85725</xdr:colOff>
      <xdr:row>51</xdr:row>
      <xdr:rowOff>161925</xdr:rowOff>
    </xdr:to>
    <xdr:sp macro="" textlink="">
      <xdr:nvSpPr>
        <xdr:cNvPr id="8" name="Oval 7">
          <a:extLst>
            <a:ext uri="{FF2B5EF4-FFF2-40B4-BE49-F238E27FC236}">
              <a16:creationId xmlns:a16="http://schemas.microsoft.com/office/drawing/2014/main" id="{4C6A8E21-B998-36AE-7DEA-2E303024D04F}"/>
            </a:ext>
            <a:ext uri="{147F2762-F138-4A5C-976F-8EAC2B608ADB}">
              <a16:predDERef xmlns:a16="http://schemas.microsoft.com/office/drawing/2014/main" pred="{6110612F-0949-DF9D-3DE5-7E737446337F}"/>
            </a:ext>
          </a:extLst>
        </xdr:cNvPr>
        <xdr:cNvSpPr/>
      </xdr:nvSpPr>
      <xdr:spPr>
        <a:xfrm rot="27068">
          <a:off x="9029700" y="7934325"/>
          <a:ext cx="3028950" cy="1943100"/>
        </a:xfrm>
        <a:prstGeom prst="ellipse">
          <a:avLst/>
        </a:prstGeom>
      </xdr:spPr>
      <xdr:style>
        <a:lnRef idx="1">
          <a:schemeClr val="accent5"/>
        </a:lnRef>
        <a:fillRef idx="2">
          <a:schemeClr val="accent5"/>
        </a:fillRef>
        <a:effectRef idx="1">
          <a:schemeClr val="accent5"/>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The high inflation in late 2019 was solely a food crisis. If fuel and energy prices had been high at that time, India’s total inflation would have been much worse. Instead, cheap fuel acted as a cushion that kept a bad situation from becoming even more painful for consumers.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36</xdr:row>
      <xdr:rowOff>142875</xdr:rowOff>
    </xdr:from>
    <xdr:to>
      <xdr:col>11</xdr:col>
      <xdr:colOff>1581150</xdr:colOff>
      <xdr:row>36</xdr:row>
      <xdr:rowOff>161925</xdr:rowOff>
    </xdr:to>
    <xdr:cxnSp macro="">
      <xdr:nvCxnSpPr>
        <xdr:cNvPr id="2" name="Straight Connector 1">
          <a:extLst>
            <a:ext uri="{FF2B5EF4-FFF2-40B4-BE49-F238E27FC236}">
              <a16:creationId xmlns:a16="http://schemas.microsoft.com/office/drawing/2014/main" id="{C19647BC-D39C-0E59-6ED1-5E2AED3B153F}"/>
            </a:ext>
          </a:extLst>
        </xdr:cNvPr>
        <xdr:cNvCxnSpPr>
          <a:cxnSpLocks/>
        </xdr:cNvCxnSpPr>
      </xdr:nvCxnSpPr>
      <xdr:spPr>
        <a:xfrm>
          <a:off x="1571625" y="7000875"/>
          <a:ext cx="9153525" cy="19050"/>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238125</xdr:colOff>
      <xdr:row>44</xdr:row>
      <xdr:rowOff>95250</xdr:rowOff>
    </xdr:from>
    <xdr:to>
      <xdr:col>9</xdr:col>
      <xdr:colOff>266700</xdr:colOff>
      <xdr:row>50</xdr:row>
      <xdr:rowOff>85725</xdr:rowOff>
    </xdr:to>
    <xdr:sp macro="" textlink="">
      <xdr:nvSpPr>
        <xdr:cNvPr id="3" name="Rounded Rectangular Callout 2">
          <a:extLst>
            <a:ext uri="{FF2B5EF4-FFF2-40B4-BE49-F238E27FC236}">
              <a16:creationId xmlns:a16="http://schemas.microsoft.com/office/drawing/2014/main" id="{A66A6B98-5902-86BC-7EE5-3806C66F6FBF}"/>
            </a:ext>
            <a:ext uri="{147F2762-F138-4A5C-976F-8EAC2B608ADB}">
              <a16:predDERef xmlns:a16="http://schemas.microsoft.com/office/drawing/2014/main" pred="{C19647BC-D39C-0E59-6ED1-5E2AED3B153F}"/>
            </a:ext>
          </a:extLst>
        </xdr:cNvPr>
        <xdr:cNvSpPr/>
      </xdr:nvSpPr>
      <xdr:spPr>
        <a:xfrm>
          <a:off x="9467850" y="8477250"/>
          <a:ext cx="1790700" cy="1133475"/>
        </a:xfrm>
        <a:prstGeom prst="wedgeRoundRectCallout">
          <a:avLst/>
        </a:prstGeom>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a:solidFill>
                <a:schemeClr val="tx1"/>
              </a:solidFill>
              <a:latin typeface="+mn-lt"/>
              <a:ea typeface="+mn-lt"/>
              <a:cs typeface="+mn-lt"/>
            </a:rPr>
            <a:t>febrauary months has the highest absolute inflation rate.</a:t>
          </a:r>
        </a:p>
      </xdr:txBody>
    </xdr:sp>
    <xdr:clientData/>
  </xdr:twoCellAnchor>
  <xdr:twoCellAnchor>
    <xdr:from>
      <xdr:col>15</xdr:col>
      <xdr:colOff>228600</xdr:colOff>
      <xdr:row>48</xdr:row>
      <xdr:rowOff>104775</xdr:rowOff>
    </xdr:from>
    <xdr:to>
      <xdr:col>16</xdr:col>
      <xdr:colOff>123825</xdr:colOff>
      <xdr:row>54</xdr:row>
      <xdr:rowOff>19050</xdr:rowOff>
    </xdr:to>
    <xdr:sp macro="" textlink="">
      <xdr:nvSpPr>
        <xdr:cNvPr id="4" name="Rounded Rectangular Callout 3">
          <a:extLst>
            <a:ext uri="{FF2B5EF4-FFF2-40B4-BE49-F238E27FC236}">
              <a16:creationId xmlns:a16="http://schemas.microsoft.com/office/drawing/2014/main" id="{6EB5D831-11F5-C2E5-4395-7F77B152217F}"/>
            </a:ext>
            <a:ext uri="{147F2762-F138-4A5C-976F-8EAC2B608ADB}">
              <a16:predDERef xmlns:a16="http://schemas.microsoft.com/office/drawing/2014/main" pred="{A66A6B98-5902-86BC-7EE5-3806C66F6FBF}"/>
            </a:ext>
          </a:extLst>
        </xdr:cNvPr>
        <xdr:cNvSpPr/>
      </xdr:nvSpPr>
      <xdr:spPr>
        <a:xfrm>
          <a:off x="20364450" y="9248775"/>
          <a:ext cx="1762125" cy="1057275"/>
        </a:xfrm>
        <a:prstGeom prst="wedgeRoundRectCallout">
          <a:avLst/>
        </a:prstGeom>
        <a:ln>
          <a:solidFill>
            <a:srgbClr val="FF0000"/>
          </a:solidFill>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200" b="1">
              <a:solidFill>
                <a:schemeClr val="bg1"/>
              </a:solidFill>
              <a:latin typeface="+mn-lt"/>
              <a:ea typeface="+mn-lt"/>
              <a:cs typeface="+mn-lt"/>
            </a:rPr>
            <a:t>spices contributes the high inflation rate from june 2022-may 2023,in food bucket.</a:t>
          </a:r>
        </a:p>
      </xdr:txBody>
    </xdr:sp>
    <xdr:clientData/>
  </xdr:twoCellAnchor>
  <xdr:twoCellAnchor>
    <xdr:from>
      <xdr:col>3</xdr:col>
      <xdr:colOff>247650</xdr:colOff>
      <xdr:row>21</xdr:row>
      <xdr:rowOff>19050</xdr:rowOff>
    </xdr:from>
    <xdr:to>
      <xdr:col>4</xdr:col>
      <xdr:colOff>1647825</xdr:colOff>
      <xdr:row>26</xdr:row>
      <xdr:rowOff>19050</xdr:rowOff>
    </xdr:to>
    <xdr:sp macro="" textlink="">
      <xdr:nvSpPr>
        <xdr:cNvPr id="5" name="Oval 4">
          <a:extLst>
            <a:ext uri="{FF2B5EF4-FFF2-40B4-BE49-F238E27FC236}">
              <a16:creationId xmlns:a16="http://schemas.microsoft.com/office/drawing/2014/main" id="{02CEB454-E2FD-939D-696E-4BB028A36BD1}"/>
            </a:ext>
            <a:ext uri="{147F2762-F138-4A5C-976F-8EAC2B608ADB}">
              <a16:predDERef xmlns:a16="http://schemas.microsoft.com/office/drawing/2014/main" pred="{6EB5D831-11F5-C2E5-4395-7F77B152217F}"/>
            </a:ext>
          </a:extLst>
        </xdr:cNvPr>
        <xdr:cNvSpPr/>
      </xdr:nvSpPr>
      <xdr:spPr>
        <a:xfrm>
          <a:off x="3600450" y="4019550"/>
          <a:ext cx="2409825" cy="952500"/>
        </a:xfrm>
        <a:prstGeom prst="ellipse">
          <a:avLst/>
        </a:prstGeom>
      </xdr:spPr>
      <xdr:style>
        <a:lnRef idx="2">
          <a:schemeClr val="accent6">
            <a:shade val="15000"/>
          </a:schemeClr>
        </a:lnRef>
        <a:fillRef idx="1">
          <a:schemeClr val="accent6"/>
        </a:fillRef>
        <a:effectRef idx="0">
          <a:schemeClr val="accent6"/>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highlighting the month of highest and lowest value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866775</xdr:colOff>
      <xdr:row>16</xdr:row>
      <xdr:rowOff>171450</xdr:rowOff>
    </xdr:from>
    <xdr:to>
      <xdr:col>14</xdr:col>
      <xdr:colOff>228600</xdr:colOff>
      <xdr:row>37</xdr:row>
      <xdr:rowOff>19050</xdr:rowOff>
    </xdr:to>
    <xdr:graphicFrame macro="">
      <xdr:nvGraphicFramePr>
        <xdr:cNvPr id="3" name="Chart 2">
          <a:extLst>
            <a:ext uri="{FF2B5EF4-FFF2-40B4-BE49-F238E27FC236}">
              <a16:creationId xmlns:a16="http://schemas.microsoft.com/office/drawing/2014/main" id="{9959513A-BE3A-940A-49CB-22DBA7759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1057275</xdr:colOff>
      <xdr:row>40</xdr:row>
      <xdr:rowOff>38100</xdr:rowOff>
    </xdr:from>
    <xdr:to>
      <xdr:col>14</xdr:col>
      <xdr:colOff>371475</xdr:colOff>
      <xdr:row>42</xdr:row>
      <xdr:rowOff>123825</xdr:rowOff>
    </xdr:to>
    <xdr:sp macro="" textlink="">
      <xdr:nvSpPr>
        <xdr:cNvPr id="4" name="Rectangle 3">
          <a:extLst>
            <a:ext uri="{FF2B5EF4-FFF2-40B4-BE49-F238E27FC236}">
              <a16:creationId xmlns:a16="http://schemas.microsoft.com/office/drawing/2014/main" id="{88FF8E16-998B-75FB-ADF2-CD14CEBB5965}"/>
            </a:ext>
            <a:ext uri="{147F2762-F138-4A5C-976F-8EAC2B608ADB}">
              <a16:predDERef xmlns:a16="http://schemas.microsoft.com/office/drawing/2014/main" pred="{9959513A-BE3A-940A-49CB-22DBA7759298}"/>
            </a:ext>
          </a:extLst>
        </xdr:cNvPr>
        <xdr:cNvSpPr/>
      </xdr:nvSpPr>
      <xdr:spPr>
        <a:xfrm>
          <a:off x="3971925" y="7658100"/>
          <a:ext cx="6248400" cy="466725"/>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a:solidFill>
                <a:schemeClr val="lt1"/>
              </a:solidFill>
              <a:latin typeface="+mn-lt"/>
              <a:ea typeface="+mn-lt"/>
              <a:cs typeface="+mn-lt"/>
            </a:rPr>
            <a:t>                                                  </a:t>
          </a:r>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COMPARING BEFORE AND AFTER COVID ONSET</a:t>
          </a:r>
        </a:p>
      </xdr:txBody>
    </xdr:sp>
    <xdr:clientData/>
  </xdr:twoCellAnchor>
  <xdr:twoCellAnchor>
    <xdr:from>
      <xdr:col>5</xdr:col>
      <xdr:colOff>57150</xdr:colOff>
      <xdr:row>49</xdr:row>
      <xdr:rowOff>114300</xdr:rowOff>
    </xdr:from>
    <xdr:to>
      <xdr:col>14</xdr:col>
      <xdr:colOff>342900</xdr:colOff>
      <xdr:row>51</xdr:row>
      <xdr:rowOff>142875</xdr:rowOff>
    </xdr:to>
    <xdr:sp macro="" textlink="">
      <xdr:nvSpPr>
        <xdr:cNvPr id="5" name="Rectangle 4">
          <a:extLst>
            <a:ext uri="{FF2B5EF4-FFF2-40B4-BE49-F238E27FC236}">
              <a16:creationId xmlns:a16="http://schemas.microsoft.com/office/drawing/2014/main" id="{5A6F1FB0-83B7-1C99-E3C6-42AF4A299FDA}"/>
            </a:ext>
            <a:ext uri="{147F2762-F138-4A5C-976F-8EAC2B608ADB}">
              <a16:predDERef xmlns:a16="http://schemas.microsoft.com/office/drawing/2014/main" pred="{88FF8E16-998B-75FB-ADF2-CD14CEBB5965}"/>
            </a:ext>
          </a:extLst>
        </xdr:cNvPr>
        <xdr:cNvSpPr/>
      </xdr:nvSpPr>
      <xdr:spPr>
        <a:xfrm>
          <a:off x="4038600" y="9448800"/>
          <a:ext cx="6353175" cy="409575"/>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a:solidFill>
                <a:schemeClr val="lt1"/>
              </a:solidFill>
              <a:latin typeface="+mn-lt"/>
              <a:ea typeface="+mn-lt"/>
              <a:cs typeface="+mn-lt"/>
            </a:rPr>
            <a:t>                                          </a:t>
          </a:r>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Now comparing the infaltion during covid in food category </a:t>
          </a:r>
        </a:p>
      </xdr:txBody>
    </xdr:sp>
    <xdr:clientData/>
  </xdr:twoCellAnchor>
  <xdr:twoCellAnchor>
    <xdr:from>
      <xdr:col>3</xdr:col>
      <xdr:colOff>1466850</xdr:colOff>
      <xdr:row>68</xdr:row>
      <xdr:rowOff>180975</xdr:rowOff>
    </xdr:from>
    <xdr:to>
      <xdr:col>11</xdr:col>
      <xdr:colOff>285750</xdr:colOff>
      <xdr:row>70</xdr:row>
      <xdr:rowOff>85725</xdr:rowOff>
    </xdr:to>
    <xdr:sp macro="" textlink="">
      <xdr:nvSpPr>
        <xdr:cNvPr id="2" name="Rectangle 1">
          <a:extLst>
            <a:ext uri="{FF2B5EF4-FFF2-40B4-BE49-F238E27FC236}">
              <a16:creationId xmlns:a16="http://schemas.microsoft.com/office/drawing/2014/main" id="{76EEFC33-35BF-64B9-D051-5BF73A92070E}"/>
            </a:ext>
            <a:ext uri="{147F2762-F138-4A5C-976F-8EAC2B608ADB}">
              <a16:predDERef xmlns:a16="http://schemas.microsoft.com/office/drawing/2014/main" pred="{5A6F1FB0-83B7-1C99-E3C6-42AF4A299FDA}"/>
            </a:ext>
          </a:extLst>
        </xdr:cNvPr>
        <xdr:cNvSpPr/>
      </xdr:nvSpPr>
      <xdr:spPr>
        <a:xfrm>
          <a:off x="3314700" y="13134975"/>
          <a:ext cx="7362825" cy="28575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                                                                                                   Comparison table </a:t>
          </a:r>
        </a:p>
      </xdr:txBody>
    </xdr:sp>
    <xdr:clientData/>
  </xdr:twoCellAnchor>
  <xdr:twoCellAnchor>
    <xdr:from>
      <xdr:col>2</xdr:col>
      <xdr:colOff>390525</xdr:colOff>
      <xdr:row>85</xdr:row>
      <xdr:rowOff>142875</xdr:rowOff>
    </xdr:from>
    <xdr:to>
      <xdr:col>11</xdr:col>
      <xdr:colOff>219075</xdr:colOff>
      <xdr:row>104</xdr:row>
      <xdr:rowOff>104775</xdr:rowOff>
    </xdr:to>
    <xdr:graphicFrame macro="">
      <xdr:nvGraphicFramePr>
        <xdr:cNvPr id="10" name="Chart 9">
          <a:extLst>
            <a:ext uri="{FF2B5EF4-FFF2-40B4-BE49-F238E27FC236}">
              <a16:creationId xmlns:a16="http://schemas.microsoft.com/office/drawing/2014/main" id="{7528A494-6771-11DF-065C-D2764F12D03C}"/>
            </a:ext>
            <a:ext uri="{147F2762-F138-4A5C-976F-8EAC2B608ADB}">
              <a16:predDERef xmlns:a16="http://schemas.microsoft.com/office/drawing/2014/main" pred="{76EEFC33-35BF-64B9-D051-5BF73A920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84</xdr:row>
      <xdr:rowOff>66675</xdr:rowOff>
    </xdr:from>
    <xdr:to>
      <xdr:col>20</xdr:col>
      <xdr:colOff>133350</xdr:colOff>
      <xdr:row>100</xdr:row>
      <xdr:rowOff>38100</xdr:rowOff>
    </xdr:to>
    <xdr:sp macro="" textlink="">
      <xdr:nvSpPr>
        <xdr:cNvPr id="11" name="Rounded Rectangular Callout 10">
          <a:extLst>
            <a:ext uri="{FF2B5EF4-FFF2-40B4-BE49-F238E27FC236}">
              <a16:creationId xmlns:a16="http://schemas.microsoft.com/office/drawing/2014/main" id="{BA8D86AE-A82C-AEB9-FF0F-10C1BDE9E1A6}"/>
            </a:ext>
            <a:ext uri="{147F2762-F138-4A5C-976F-8EAC2B608ADB}">
              <a16:predDERef xmlns:a16="http://schemas.microsoft.com/office/drawing/2014/main" pred="{7528A494-6771-11DF-065C-D2764F12D03C}"/>
            </a:ext>
          </a:extLst>
        </xdr:cNvPr>
        <xdr:cNvSpPr/>
      </xdr:nvSpPr>
      <xdr:spPr>
        <a:xfrm>
          <a:off x="11820525" y="16068675"/>
          <a:ext cx="5686425" cy="3019425"/>
        </a:xfrm>
        <a:prstGeom prst="wedgeRoundRectCallout">
          <a:avLst/>
        </a:prstGeom>
      </xdr:spPr>
      <xdr:style>
        <a:lnRef idx="1">
          <a:schemeClr val="accent5"/>
        </a:lnRef>
        <a:fillRef idx="2">
          <a:schemeClr val="accent5"/>
        </a:fillRef>
        <a:effectRef idx="1">
          <a:schemeClr val="accent5"/>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The overall CPI inflation trend shows a noticeable change around the onset of COVID-19 in March 2020. Before the onset of COVID-19, monthly CPI inflation was negative, indicating a decline in the General Index compared with the previous month. In March 2020, inflation remained negative. However, from April 2020 onward, the inflation rate turned positive, indicating an increase in the overall CPI. Inflation then fluctuated during the rest of 2020, with relatively higher increases observed during August, October and November, before moderating again in December.</a:t>
          </a:r>
        </a:p>
        <a:p>
          <a:pPr marL="0" indent="0" algn="l"/>
          <a:endParaRPr lang="en-US" sz="1100">
            <a:solidFill>
              <a:schemeClr val="dk1"/>
            </a:solidFill>
            <a:latin typeface="+mn-lt"/>
            <a:ea typeface="+mn-lt"/>
            <a:cs typeface="+mn-lt"/>
          </a:endParaRPr>
        </a:p>
        <a:p>
          <a:pPr marL="0" indent="0" algn="l"/>
          <a:r>
            <a:rPr lang="en-US" sz="1100">
              <a:solidFill>
                <a:schemeClr val="dk1"/>
              </a:solidFill>
              <a:latin typeface="+mn-lt"/>
              <a:ea typeface="+mn-lt"/>
              <a:cs typeface="+mn-lt"/>
            </a:rPr>
            <a:t>Overall, the data indicates that the COVID-19 period was associated with a significant change in the monthly CPI inflation pattern. The initial period showed falling CPI, followed by a shift toward positive inflation after March 2020. However, the data shows an association with the COVID-19 period rather than proving that COVID-19 alone caused these changes, since inflation can also be influenced by factors such as supply disruptions, demand conditions, food prices, fuel prices and government measures.</a:t>
          </a:r>
        </a:p>
      </xdr:txBody>
    </xdr:sp>
    <xdr:clientData/>
  </xdr:twoCellAnchor>
  <xdr:twoCellAnchor>
    <xdr:from>
      <xdr:col>18</xdr:col>
      <xdr:colOff>66675</xdr:colOff>
      <xdr:row>104</xdr:row>
      <xdr:rowOff>28575</xdr:rowOff>
    </xdr:from>
    <xdr:to>
      <xdr:col>23</xdr:col>
      <xdr:colOff>133350</xdr:colOff>
      <xdr:row>119</xdr:row>
      <xdr:rowOff>57150</xdr:rowOff>
    </xdr:to>
    <xdr:sp macro="" textlink="">
      <xdr:nvSpPr>
        <xdr:cNvPr id="12" name="Rounded Rectangular Callout 11">
          <a:extLst>
            <a:ext uri="{FF2B5EF4-FFF2-40B4-BE49-F238E27FC236}">
              <a16:creationId xmlns:a16="http://schemas.microsoft.com/office/drawing/2014/main" id="{27AC12BB-8045-8F22-228F-C13BB7651628}"/>
            </a:ext>
            <a:ext uri="{147F2762-F138-4A5C-976F-8EAC2B608ADB}">
              <a16:predDERef xmlns:a16="http://schemas.microsoft.com/office/drawing/2014/main" pred="{BA8D86AE-A82C-AEB9-FF0F-10C1BDE9E1A6}"/>
            </a:ext>
          </a:extLst>
        </xdr:cNvPr>
        <xdr:cNvSpPr/>
      </xdr:nvSpPr>
      <xdr:spPr>
        <a:xfrm>
          <a:off x="15259050" y="19840575"/>
          <a:ext cx="5343525" cy="2886075"/>
        </a:xfrm>
        <a:prstGeom prst="wedgeRoundRectCallout">
          <a:avLst/>
        </a:prstGeom>
      </xdr:spPr>
      <xdr:style>
        <a:lnRef idx="3">
          <a:schemeClr val="lt1"/>
        </a:lnRef>
        <a:fillRef idx="1">
          <a:schemeClr val="accent5"/>
        </a:fillRef>
        <a:effectRef idx="1">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 The chart shows that the inflation trends of Food, Health and Essential Services changed noticeably around the onset of COVID-19 in March 2020. Before the onset, food inflation was negative and declining, while health and essential services inflation remained positive. Around March–April 2020, all three categories experienced noticeable changes in their inflation rates. After the onset of COVID-19, inflation became more volatile and the three categories followed different patterns. Food inflation showed the strongest fluctuations, while Health and Essential Services experienced a decline around April followed by recovery in the subsequent months. Overall, the results indicate that the COVID-19 period coincided with changes in the inflation patterns of important CPI components, although the impact was not uniform across all categories.</a:t>
          </a:r>
        </a:p>
      </xdr:txBody>
    </xdr:sp>
    <xdr:clientData/>
  </xdr:twoCellAnchor>
  <xdr:twoCellAnchor>
    <xdr:from>
      <xdr:col>20</xdr:col>
      <xdr:colOff>914400</xdr:colOff>
      <xdr:row>88</xdr:row>
      <xdr:rowOff>47625</xdr:rowOff>
    </xdr:from>
    <xdr:to>
      <xdr:col>25</xdr:col>
      <xdr:colOff>1190625</xdr:colOff>
      <xdr:row>91</xdr:row>
      <xdr:rowOff>95250</xdr:rowOff>
    </xdr:to>
    <xdr:sp macro="" textlink="">
      <xdr:nvSpPr>
        <xdr:cNvPr id="13" name="Rectangle 12">
          <a:extLst>
            <a:ext uri="{FF2B5EF4-FFF2-40B4-BE49-F238E27FC236}">
              <a16:creationId xmlns:a16="http://schemas.microsoft.com/office/drawing/2014/main" id="{6C88C97C-AA1D-AC12-1104-9376FAC13560}"/>
            </a:ext>
            <a:ext uri="{147F2762-F138-4A5C-976F-8EAC2B608ADB}">
              <a16:predDERef xmlns:a16="http://schemas.microsoft.com/office/drawing/2014/main" pred="{27AC12BB-8045-8F22-228F-C13BB7651628}"/>
            </a:ext>
          </a:extLst>
        </xdr:cNvPr>
        <xdr:cNvSpPr/>
      </xdr:nvSpPr>
      <xdr:spPr>
        <a:xfrm>
          <a:off x="18288000" y="16811625"/>
          <a:ext cx="5972175" cy="619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lt1"/>
              </a:solidFill>
              <a:latin typeface="+mn-lt"/>
              <a:ea typeface="+mn-lt"/>
              <a:cs typeface="+mn-lt"/>
            </a:rPr>
            <a:t>                          overall cpi inflation tend check during covid-19 </a:t>
          </a:r>
        </a:p>
      </xdr:txBody>
    </xdr:sp>
    <xdr:clientData/>
  </xdr:twoCellAnchor>
  <xdr:twoCellAnchor>
    <xdr:from>
      <xdr:col>23</xdr:col>
      <xdr:colOff>533400</xdr:colOff>
      <xdr:row>108</xdr:row>
      <xdr:rowOff>38100</xdr:rowOff>
    </xdr:from>
    <xdr:to>
      <xdr:col>26</xdr:col>
      <xdr:colOff>885825</xdr:colOff>
      <xdr:row>111</xdr:row>
      <xdr:rowOff>28575</xdr:rowOff>
    </xdr:to>
    <xdr:sp macro="" textlink="">
      <xdr:nvSpPr>
        <xdr:cNvPr id="14" name="Rectangle 13">
          <a:extLst>
            <a:ext uri="{FF2B5EF4-FFF2-40B4-BE49-F238E27FC236}">
              <a16:creationId xmlns:a16="http://schemas.microsoft.com/office/drawing/2014/main" id="{41FB361B-0703-17D5-9877-4DF3FD228EC9}"/>
            </a:ext>
            <a:ext uri="{147F2762-F138-4A5C-976F-8EAC2B608ADB}">
              <a16:predDERef xmlns:a16="http://schemas.microsoft.com/office/drawing/2014/main" pred="{6C88C97C-AA1D-AC12-1104-9376FAC13560}"/>
            </a:ext>
          </a:extLst>
        </xdr:cNvPr>
        <xdr:cNvSpPr/>
      </xdr:nvSpPr>
      <xdr:spPr>
        <a:xfrm>
          <a:off x="21002625" y="20612100"/>
          <a:ext cx="4533900" cy="561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a:solidFill>
                <a:schemeClr val="lt1"/>
              </a:solidFill>
              <a:latin typeface="+mn-lt"/>
              <a:ea typeface="+mn-lt"/>
              <a:cs typeface="+mn-lt"/>
            </a:rPr>
            <a:t>          3 different categories for the trend during covid-19</a:t>
          </a:r>
        </a:p>
      </xdr:txBody>
    </xdr:sp>
    <xdr:clientData/>
  </xdr:twoCellAnchor>
  <xdr:twoCellAnchor>
    <xdr:from>
      <xdr:col>5</xdr:col>
      <xdr:colOff>1028700</xdr:colOff>
      <xdr:row>105</xdr:row>
      <xdr:rowOff>171450</xdr:rowOff>
    </xdr:from>
    <xdr:to>
      <xdr:col>8</xdr:col>
      <xdr:colOff>180975</xdr:colOff>
      <xdr:row>111</xdr:row>
      <xdr:rowOff>28575</xdr:rowOff>
    </xdr:to>
    <xdr:sp macro="" textlink="">
      <xdr:nvSpPr>
        <xdr:cNvPr id="15" name="Oval 14">
          <a:extLst>
            <a:ext uri="{FF2B5EF4-FFF2-40B4-BE49-F238E27FC236}">
              <a16:creationId xmlns:a16="http://schemas.microsoft.com/office/drawing/2014/main" id="{914FD5D5-8AD0-ADDD-76D9-080F91D233B8}"/>
            </a:ext>
            <a:ext uri="{147F2762-F138-4A5C-976F-8EAC2B608ADB}">
              <a16:predDERef xmlns:a16="http://schemas.microsoft.com/office/drawing/2014/main" pred="{41FB361B-0703-17D5-9877-4DF3FD228EC9}"/>
            </a:ext>
          </a:extLst>
        </xdr:cNvPr>
        <xdr:cNvSpPr/>
      </xdr:nvSpPr>
      <xdr:spPr>
        <a:xfrm>
          <a:off x="5610225" y="20173950"/>
          <a:ext cx="2438400" cy="1000125"/>
        </a:xfrm>
        <a:prstGeom prst="ellipse">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a:solidFill>
                <a:schemeClr val="lt1"/>
              </a:solidFill>
              <a:latin typeface="+mn-lt"/>
              <a:ea typeface="+mn-lt"/>
              <a:cs typeface="+mn-lt"/>
            </a:rPr>
            <a:t>reasons for the changes </a:t>
          </a:r>
        </a:p>
      </xdr:txBody>
    </xdr:sp>
    <xdr:clientData/>
  </xdr:twoCellAnchor>
  <xdr:twoCellAnchor>
    <xdr:from>
      <xdr:col>3</xdr:col>
      <xdr:colOff>1590675</xdr:colOff>
      <xdr:row>111</xdr:row>
      <xdr:rowOff>161925</xdr:rowOff>
    </xdr:from>
    <xdr:to>
      <xdr:col>10</xdr:col>
      <xdr:colOff>266700</xdr:colOff>
      <xdr:row>116</xdr:row>
      <xdr:rowOff>161925</xdr:rowOff>
    </xdr:to>
    <xdr:sp macro="" textlink="">
      <xdr:nvSpPr>
        <xdr:cNvPr id="16" name="Rectangle 15">
          <a:extLst>
            <a:ext uri="{FF2B5EF4-FFF2-40B4-BE49-F238E27FC236}">
              <a16:creationId xmlns:a16="http://schemas.microsoft.com/office/drawing/2014/main" id="{CF0F9679-B501-3496-2BEF-5B1C78F1F9AE}"/>
            </a:ext>
            <a:ext uri="{147F2762-F138-4A5C-976F-8EAC2B608ADB}">
              <a16:predDERef xmlns:a16="http://schemas.microsoft.com/office/drawing/2014/main" pred="{914FD5D5-8AD0-ADDD-76D9-080F91D233B8}"/>
            </a:ext>
          </a:extLst>
        </xdr:cNvPr>
        <xdr:cNvSpPr/>
      </xdr:nvSpPr>
      <xdr:spPr>
        <a:xfrm>
          <a:off x="3438525" y="21307425"/>
          <a:ext cx="6610350" cy="952500"/>
        </a:xfrm>
        <a:prstGeom prst="rect">
          <a:avLst/>
        </a:prstGeom>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Food: Food inflation showed a noticeable increase around the beginning of the COVID-19 lockdown. The major reasons included disruptions in agricultural markets, transportation difficulties, reduced availability of labour and interruptions in food supply chains. Although food was classified as an essential commodity, restrictions on movement affected the distribution of food products. These supply-side disruptions contributed to higher food prices during the initial lockdown period.</a:t>
          </a:r>
        </a:p>
      </xdr:txBody>
    </xdr:sp>
    <xdr:clientData/>
  </xdr:twoCellAnchor>
  <xdr:twoCellAnchor>
    <xdr:from>
      <xdr:col>3</xdr:col>
      <xdr:colOff>1562100</xdr:colOff>
      <xdr:row>118</xdr:row>
      <xdr:rowOff>95250</xdr:rowOff>
    </xdr:from>
    <xdr:to>
      <xdr:col>10</xdr:col>
      <xdr:colOff>285750</xdr:colOff>
      <xdr:row>127</xdr:row>
      <xdr:rowOff>66675</xdr:rowOff>
    </xdr:to>
    <xdr:sp macro="" textlink="">
      <xdr:nvSpPr>
        <xdr:cNvPr id="17" name="Rectangle 16">
          <a:extLst>
            <a:ext uri="{FF2B5EF4-FFF2-40B4-BE49-F238E27FC236}">
              <a16:creationId xmlns:a16="http://schemas.microsoft.com/office/drawing/2014/main" id="{CDC63C88-725D-A627-627A-A56FBE6B8D42}"/>
            </a:ext>
            <a:ext uri="{147F2762-F138-4A5C-976F-8EAC2B608ADB}">
              <a16:predDERef xmlns:a16="http://schemas.microsoft.com/office/drawing/2014/main" pred="{CF0F9679-B501-3496-2BEF-5B1C78F1F9AE}"/>
            </a:ext>
          </a:extLst>
        </xdr:cNvPr>
        <xdr:cNvSpPr/>
      </xdr:nvSpPr>
      <xdr:spPr>
        <a:xfrm>
          <a:off x="3409950" y="22574250"/>
          <a:ext cx="6657975" cy="1685925"/>
        </a:xfrm>
        <a:prstGeom prst="rect">
          <a:avLst/>
        </a:prstGeom>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Health: The Health inflation rate declined sharply in April 2020 after the onset of COVID-19 and the nationwide lockdown, indicating that the overall price level of the Health CPI basket decreased compared with March. However, the impact of COVID-19 on healthcare prices was not uniform. Research from India found that some medical products, particularly PPE, experienced shortages and price increases, while several medicines showed little or no price change. Therefore, the decline in the overall Health inflation observed in the chart does not mean that all health products became cheaper. It indicates that, when the broader Health CPI basket was considered together, its overall price movement declined during April. The decline was followed by a recovery in Health inflation in May and June, showing that the effect of the pandemic and lockdown on health-related prices was temporary and uneven.</a:t>
          </a:r>
        </a:p>
        <a:p>
          <a:pPr marL="0" indent="0" algn="l"/>
          <a:endParaRPr lang="en-US" sz="1100">
            <a:solidFill>
              <a:schemeClr val="dk1"/>
            </a:solidFill>
            <a:latin typeface="+mn-lt"/>
            <a:ea typeface="+mn-lt"/>
            <a:cs typeface="+mn-lt"/>
          </a:endParaRPr>
        </a:p>
      </xdr:txBody>
    </xdr:sp>
    <xdr:clientData/>
  </xdr:twoCellAnchor>
  <xdr:twoCellAnchor>
    <xdr:from>
      <xdr:col>3</xdr:col>
      <xdr:colOff>1504950</xdr:colOff>
      <xdr:row>129</xdr:row>
      <xdr:rowOff>76200</xdr:rowOff>
    </xdr:from>
    <xdr:to>
      <xdr:col>10</xdr:col>
      <xdr:colOff>352425</xdr:colOff>
      <xdr:row>134</xdr:row>
      <xdr:rowOff>76200</xdr:rowOff>
    </xdr:to>
    <xdr:sp macro="" textlink="">
      <xdr:nvSpPr>
        <xdr:cNvPr id="18" name="Rectangle 17">
          <a:extLst>
            <a:ext uri="{FF2B5EF4-FFF2-40B4-BE49-F238E27FC236}">
              <a16:creationId xmlns:a16="http://schemas.microsoft.com/office/drawing/2014/main" id="{58B99846-A75F-7027-D6F6-B648CF1F9F7A}"/>
            </a:ext>
            <a:ext uri="{147F2762-F138-4A5C-976F-8EAC2B608ADB}">
              <a16:predDERef xmlns:a16="http://schemas.microsoft.com/office/drawing/2014/main" pred="{CDC63C88-725D-A627-627A-A56FBE6B8D42}"/>
            </a:ext>
          </a:extLst>
        </xdr:cNvPr>
        <xdr:cNvSpPr/>
      </xdr:nvSpPr>
      <xdr:spPr>
        <a:xfrm>
          <a:off x="3352800" y="24650700"/>
          <a:ext cx="6781800" cy="952500"/>
        </a:xfrm>
        <a:prstGeom prst="rect">
          <a:avLst/>
        </a:prstGeom>
      </xdr:spPr>
      <xdr:style>
        <a:lnRef idx="1">
          <a:schemeClr val="accent2"/>
        </a:lnRef>
        <a:fillRef idx="2">
          <a:schemeClr val="accent2"/>
        </a:fillRef>
        <a:effectRef idx="1">
          <a:schemeClr val="accent2"/>
        </a:effectRef>
        <a:fontRef idx="minor">
          <a:schemeClr val="dk1"/>
        </a:fontRef>
      </xdr:style>
      <xdr:txBody>
        <a:bodyPr spcFirstLastPara="0" vertOverflow="clip" horzOverflow="clip" wrap="square" lIns="91440" tIns="45720" rIns="91440" bIns="45720" rtlCol="0" anchor="t">
          <a:noAutofit/>
        </a:bodyPr>
        <a:lstStyle/>
        <a:p>
          <a:pPr marL="0" indent="0" algn="l"/>
          <a:r>
            <a:rPr lang="en-US" sz="1100">
              <a:solidFill>
                <a:schemeClr val="dk1"/>
              </a:solidFill>
              <a:latin typeface="+mn-lt"/>
              <a:ea typeface="+mn-lt"/>
              <a:cs typeface="+mn-lt"/>
            </a:rPr>
            <a:t>Essential Services: The inflation pattern of essential services was affected by the restrictions imposed during the COVID-19 lockdown. Restrictions on transportation, closure of educational institutions and reduced economic activity changed both the availability and demand for several essential services. Fuel and transport-related activity were also affected by the sharp decline in mobility and economic activity. These factors contributed to changes in the inflation rate of the broader essential-services basket during 2020</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47625</xdr:colOff>
      <xdr:row>58</xdr:row>
      <xdr:rowOff>123825</xdr:rowOff>
    </xdr:from>
    <xdr:to>
      <xdr:col>14</xdr:col>
      <xdr:colOff>2057400</xdr:colOff>
      <xdr:row>67</xdr:row>
      <xdr:rowOff>95250</xdr:rowOff>
    </xdr:to>
    <xdr:sp macro="" textlink="">
      <xdr:nvSpPr>
        <xdr:cNvPr id="5" name="Rounded Rectangular Callout 4">
          <a:extLst>
            <a:ext uri="{FF2B5EF4-FFF2-40B4-BE49-F238E27FC236}">
              <a16:creationId xmlns:a16="http://schemas.microsoft.com/office/drawing/2014/main" id="{45DE3233-9653-26C7-E353-0649691EE1B5}"/>
            </a:ext>
            <a:ext uri="{147F2762-F138-4A5C-976F-8EAC2B608ADB}">
              <a16:predDERef xmlns:a16="http://schemas.microsoft.com/office/drawing/2014/main" pred="{3C8EDFE7-4ED6-CAFB-1855-707ED46047B1}"/>
            </a:ext>
          </a:extLst>
        </xdr:cNvPr>
        <xdr:cNvSpPr/>
      </xdr:nvSpPr>
      <xdr:spPr>
        <a:xfrm>
          <a:off x="20088225" y="11172825"/>
          <a:ext cx="3590925" cy="1685925"/>
        </a:xfrm>
        <a:prstGeom prst="wedgeRoundRectCallou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The correlation analysis indicates that imported crude-oil price fluctuations had no strong linear relationship with the month-on-month inflation changes of the overall CPI or the selected CPI categories during the study period.</a:t>
          </a:r>
        </a:p>
      </xdr:txBody>
    </xdr:sp>
    <xdr:clientData/>
  </xdr:twoCellAnchor>
  <xdr:twoCellAnchor>
    <xdr:from>
      <xdr:col>8</xdr:col>
      <xdr:colOff>685800</xdr:colOff>
      <xdr:row>39</xdr:row>
      <xdr:rowOff>161925</xdr:rowOff>
    </xdr:from>
    <xdr:to>
      <xdr:col>12</xdr:col>
      <xdr:colOff>1714500</xdr:colOff>
      <xdr:row>62</xdr:row>
      <xdr:rowOff>104775</xdr:rowOff>
    </xdr:to>
    <xdr:graphicFrame macro="">
      <xdr:nvGraphicFramePr>
        <xdr:cNvPr id="2" name="Chart 1">
          <a:extLst>
            <a:ext uri="{FF2B5EF4-FFF2-40B4-BE49-F238E27FC236}">
              <a16:creationId xmlns:a16="http://schemas.microsoft.com/office/drawing/2014/main" id="{E06AAB8B-FFF9-8861-2F17-30A33B5D1F13}"/>
            </a:ext>
            <a:ext uri="{147F2762-F138-4A5C-976F-8EAC2B608ADB}">
              <a16:predDERef xmlns:a16="http://schemas.microsoft.com/office/drawing/2014/main" pred="{45DE3233-9653-26C7-E353-0649691EE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8.617688541664" createdVersion="8" refreshedVersion="8" minRefreshableVersion="3" recordCount="372" xr:uid="{FA4CD60C-DB3D-41DF-BD24-9FA954E41533}">
  <cacheSource type="worksheet">
    <worksheetSource name="Table1"/>
  </cacheSource>
  <cacheFields count="31">
    <cacheField name="Column1"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2" numFmtId="0">
      <sharedItems count="12">
        <s v="January"/>
        <s v="February"/>
        <s v="March"/>
        <s v="April"/>
        <s v="May"/>
        <s v="June"/>
        <s v="July"/>
        <s v="August"/>
        <s v="September"/>
        <s v="October"/>
        <s v="November"/>
        <s v="December"/>
      </sharedItems>
    </cacheField>
    <cacheField name="Cereals and products" numFmtId="0">
      <sharedItems containsMixedTypes="1" containsNumber="1" minValue="107.5" maxValue="174.8" count="253">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s v="NA"/>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MixedTypes="1" containsNumber="1" minValue="106.3" maxValue="223.4" count="291">
        <n v="106.3"/>
        <n v="109.1"/>
        <n v="107.3"/>
        <n v="108.7"/>
        <n v="112.9"/>
        <n v="110.2"/>
        <n v="108.8"/>
        <n v="111.4"/>
        <n v="109.7"/>
        <n v="109.5"/>
        <n v="113.4"/>
        <n v="110.9"/>
        <n v="109.8"/>
        <n v="114.2"/>
        <n v="111.3"/>
        <n v="112.1"/>
        <n v="120.1"/>
        <n v="114.9"/>
        <n v="119.2"/>
        <n v="116.4"/>
        <n v="115.4"/>
        <n v="120.4"/>
        <n v="117.2"/>
        <n v="115.7"/>
        <n v="119.1"/>
        <n v="116.9"/>
        <n v="118.1"/>
        <n v="116.3"/>
        <n v="115.9"/>
        <n v="116.7"/>
        <n v="117.1"/>
        <n v="122"/>
        <n v="118.8"/>
        <n v="117.7"/>
        <n v="121.4"/>
        <n v="119.3"/>
        <n v="118.9"/>
        <n v="121.7"/>
        <n v="119.9"/>
        <n v="120.2"/>
        <n v="124.1"/>
        <n v="121.6"/>
        <n v="125.9"/>
        <n v="123.1"/>
        <n v="122.5"/>
        <n v="126.4"/>
        <n v="123.9"/>
        <n v="122.8"/>
        <n v="127.3"/>
        <n v="124.4"/>
        <n v="122.4"/>
        <n v="125.4"/>
        <n v="123.5"/>
        <n v="126.1"/>
        <n v="123.8"/>
        <n v="122.6"/>
        <n v="125.6"/>
        <n v="123.7"/>
        <n v="124.7"/>
        <n v="123.2"/>
        <n v="125.5"/>
        <n v="126.5"/>
        <n v="125.1"/>
        <n v="126.7"/>
        <n v="128.19999999999999"/>
        <n v="127.1"/>
        <n v="129.69999999999999"/>
        <n v="128"/>
        <n v="130.4"/>
        <n v="134.4"/>
        <n v="131.80000000000001"/>
        <n v="131.5"/>
        <n v="134.30000000000001"/>
        <n v="132.5"/>
        <n v="131.30000000000001"/>
        <n v="131.69999999999999"/>
        <n v="131.4"/>
        <n v="131.1"/>
        <n v="129"/>
        <n v="128.6"/>
        <n v="129.80000000000001"/>
        <n v="130.6"/>
        <n v="130.30000000000001"/>
        <n v="133.19999999999999"/>
        <n v="135.9"/>
        <n v="134.1"/>
        <n v="133.69999999999999"/>
        <n v="135.1"/>
        <n v="134.19999999999999"/>
        <n v="136.30000000000001"/>
        <n v="135.4"/>
        <n v="139.30000000000001"/>
        <n v="136.80000000000001"/>
        <n v="137.5"/>
        <n v="142.1"/>
        <n v="139.1"/>
        <n v="138.6"/>
        <n v="143.9"/>
        <n v="140.5"/>
        <n v="139.5"/>
        <n v="144.19999999999999"/>
        <n v="141.19999999999999"/>
        <n v="138.80000000000001"/>
        <n v="140.30000000000001"/>
        <n v="138.19999999999999"/>
        <n v="137.69999999999999"/>
        <n v="138"/>
        <n v="137.6"/>
        <n v="138.4"/>
        <n v="137.9"/>
        <n v="137.4"/>
        <n v="138.5"/>
        <n v="137.80000000000001"/>
        <n v="137.30000000000001"/>
        <n v="138.9"/>
        <n v="138.30000000000001"/>
        <n v="139.80000000000001"/>
        <n v="139.4"/>
        <n v="139"/>
        <n v="138.69999999999999"/>
        <n v="140.6"/>
        <n v="144.1"/>
        <n v="141.6"/>
        <n v="143.69999999999999"/>
        <n v="148.69999999999999"/>
        <n v="145.5"/>
        <n v="148.4"/>
        <n v="145.69999999999999"/>
        <n v="143.1"/>
        <n v="143.4"/>
        <n v="142"/>
        <n v="143"/>
        <n v="142.4"/>
        <n v="141.9"/>
        <n v="142.80000000000001"/>
        <n v="142.19999999999999"/>
        <n v="142.5"/>
        <n v="142.6"/>
        <n v="143.30000000000001"/>
        <n v="144.4"/>
        <n v="143.5"/>
        <n v="143.80000000000001"/>
        <n v="143.6"/>
        <n v="144.5"/>
        <n v="144.30000000000001"/>
        <n v="148.19999999999999"/>
        <n v="146.6"/>
        <n v="148.1"/>
        <n v="149.69999999999999"/>
        <n v="149.30000000000001"/>
        <n v="148.6"/>
        <n v="149.1"/>
        <n v="148.80000000000001"/>
        <n v="146.4"/>
        <n v="148"/>
        <n v="147.19999999999999"/>
        <n v="145.80000000000001"/>
        <n v="147.6"/>
        <n v="144.9"/>
        <n v="149.5"/>
        <n v="150.80000000000001"/>
        <n v="146.30000000000001"/>
        <n v="149.19999999999999"/>
        <n v="151.9"/>
        <n v="147.80000000000001"/>
        <n v="150.5"/>
        <n v="152.5"/>
        <n v="149.4"/>
        <n v="151.4"/>
        <n v="153"/>
        <n v="150.1"/>
        <n v="152"/>
        <n v="154.1"/>
        <n v="151.1"/>
        <n v="159.5"/>
        <n v="156.69999999999999"/>
        <n v="158.5"/>
        <n v="163.5"/>
        <n v="159.6"/>
        <n v="162.1"/>
        <n v="164"/>
        <n v="160.19999999999999"/>
        <n v="162.69999999999999"/>
        <n v="161.9"/>
        <n v="158.30000000000001"/>
        <n v="160.6"/>
        <n v="158.69999999999999"/>
        <n v="160.80000000000001"/>
        <n v="161.6"/>
        <n v="159.80000000000001"/>
        <n v="161"/>
        <n v="163.69999999999999"/>
        <n v="162.4"/>
        <n v="163.19999999999999"/>
        <n v="165.3"/>
        <n v="164.5"/>
        <n v="165"/>
        <n v="167.3"/>
        <n v="167.6"/>
        <n v="167.4"/>
        <n v="167.5"/>
        <n v="166.8"/>
        <n v="167"/>
        <s v="NA"/>
        <n v="190.3"/>
        <n v="197"/>
        <n v="192.7"/>
        <n v="187.2"/>
        <n v="197.8"/>
        <n v="190.9"/>
        <n v="183.9"/>
        <n v="193.1"/>
        <n v="187.1"/>
        <n v="186.3"/>
        <n v="193.7"/>
        <n v="188.9"/>
        <n v="188.6"/>
        <n v="195.5"/>
        <n v="191"/>
        <n v="188.5"/>
        <n v="195.7"/>
        <n v="187.5"/>
        <n v="194.8"/>
        <n v="190.1"/>
        <n v="184"/>
        <n v="191.2"/>
        <n v="186.5"/>
        <n v="189.4"/>
        <n v="197.5"/>
        <n v="192.2"/>
        <n v="202.5"/>
        <n v="198"/>
        <n v="198.5"/>
        <n v="204.3"/>
        <n v="200.5"/>
        <n v="200.1"/>
        <n v="205.5"/>
        <n v="202"/>
        <n v="204.5"/>
        <n v="210.9"/>
        <n v="206.8"/>
        <n v="202.3"/>
        <n v="207.4"/>
        <n v="204"/>
        <n v="202.1"/>
        <n v="208.4"/>
        <n v="204.6"/>
        <n v="199.8"/>
        <n v="204.9"/>
        <n v="201.6"/>
        <n v="202.2"/>
        <n v="198.8"/>
        <n v="196.9"/>
        <n v="198.7"/>
        <n v="198.1"/>
        <n v="205.2"/>
        <n v="200.6"/>
        <n v="208"/>
        <n v="215.8"/>
        <n v="210.7"/>
        <n v="209.7"/>
        <n v="211.8"/>
        <n v="214.7"/>
        <n v="221.2"/>
        <n v="217"/>
        <n v="217.2"/>
        <n v="223.4"/>
        <n v="219.4"/>
        <n v="210.8"/>
        <n v="217.1"/>
        <n v="213"/>
        <n v="204.1"/>
        <n v="206.5"/>
        <n v="206.7"/>
        <n v="213.7"/>
        <n v="209.2"/>
        <n v="208.8"/>
        <n v="214.9"/>
        <n v="207.2"/>
        <n v="213.4"/>
        <n v="209.4"/>
        <n v="206.9"/>
        <n v="212.9"/>
        <n v="209"/>
        <n v="208.3"/>
        <n v="215.2"/>
        <n v="212.2"/>
        <n v="207.7"/>
        <n v="209.3"/>
        <n v="211.5"/>
        <n v="214.3"/>
      </sharedItems>
    </cacheField>
    <cacheField name="Egg" numFmtId="0">
      <sharedItems containsMixedTypes="1" containsNumber="1" minValue="102.7" maxValue="197" count="283">
        <n v="108.1"/>
        <n v="113"/>
        <n v="110"/>
        <n v="110.2"/>
        <n v="116.9"/>
        <n v="112.8"/>
        <n v="109.9"/>
        <n v="113.2"/>
        <n v="111.2"/>
        <n v="106.9"/>
        <n v="106"/>
        <n v="106.6"/>
        <n v="105.9"/>
        <n v="102.7"/>
        <n v="104.7"/>
        <n v="112.5"/>
        <n v="109.8"/>
        <n v="110.5"/>
        <n v="114"/>
        <n v="111.9"/>
        <n v="111.1"/>
        <n v="112.7"/>
        <n v="111.7"/>
        <n v="112.3"/>
        <n v="112.6"/>
        <n v="114.5"/>
        <n v="113.3"/>
        <n v="116.2"/>
        <n v="122.6"/>
        <n v="118.7"/>
        <n v="120.4"/>
        <n v="128.5"/>
        <n v="123.5"/>
        <n v="120.5"/>
        <n v="129.9"/>
        <n v="124.1"/>
        <n v="121.2"/>
        <n v="124.5"/>
        <n v="122.5"/>
        <n v="120.7"/>
        <n v="121.5"/>
        <n v="121"/>
        <n v="118.1"/>
        <n v="114.2"/>
        <n v="115.9"/>
        <n v="116.1"/>
        <n v="115.4"/>
        <n v="115.8"/>
        <n v="117.7"/>
        <n v="118"/>
        <n v="117.8"/>
        <n v="116.5"/>
        <n v="117.3"/>
        <n v="116.4"/>
        <n v="118.3"/>
        <n v="119.9"/>
        <n v="122.7"/>
        <n v="121.8"/>
        <n v="126.3"/>
        <n v="122.1"/>
        <n v="126.6"/>
        <n v="123.8"/>
        <n v="119.5"/>
        <n v="121.1"/>
        <n v="118.9"/>
        <n v="113.5"/>
        <n v="116.8"/>
        <n v="117.2"/>
        <n v="114.4"/>
        <n v="111.3"/>
        <n v="115"/>
        <n v="120.9"/>
        <n v="121.6"/>
        <n v="122"/>
        <n v="121.3"/>
        <n v="120.1"/>
        <n v="115.6"/>
        <n v="120.8"/>
        <n v="121.7"/>
        <n v="123.3"/>
        <n v="127.1"/>
        <n v="124.8"/>
        <n v="126.5"/>
        <n v="132"/>
        <n v="128.6"/>
        <n v="127.7"/>
        <n v="130.30000000000001"/>
        <n v="128.69999999999999"/>
        <n v="125.1"/>
        <n v="123.7"/>
        <n v="124.6"/>
        <n v="123.4"/>
        <n v="124.4"/>
        <n v="127"/>
        <n v="125.4"/>
        <n v="130.9"/>
        <n v="128.30000000000001"/>
        <n v="129.6"/>
        <n v="136.6"/>
        <n v="132.30000000000001"/>
        <n v="133.69999999999999"/>
        <n v="131.6"/>
        <n v="130.5"/>
        <n v="130.6"/>
        <n v="130.1"/>
        <n v="130.19999999999999"/>
        <n v="134.1"/>
        <n v="134.9"/>
        <n v="132.9"/>
        <n v="131.9"/>
        <n v="132.6"/>
        <n v="132.19999999999999"/>
        <n v="129.30000000000001"/>
        <n v="128.80000000000001"/>
        <n v="128.4"/>
        <n v="126.1"/>
        <n v="126.8"/>
        <n v="125.6"/>
        <n v="128"/>
        <n v="128.1"/>
        <n v="129.80000000000001"/>
        <n v="129.4"/>
        <n v="130"/>
        <n v="129.69999999999999"/>
        <n v="131"/>
        <n v="131.4"/>
        <n v="131.19999999999999"/>
        <n v="140.5"/>
        <n v="146.69999999999999"/>
        <n v="142.9"/>
        <n v="144.80000000000001"/>
        <n v="145.9"/>
        <n v="145.19999999999999"/>
        <n v="143.80000000000001"/>
        <n v="143.6"/>
        <n v="143.69999999999999"/>
        <n v="140.6"/>
        <n v="139.9"/>
        <n v="140.30000000000001"/>
        <n v="140"/>
        <n v="135.5"/>
        <n v="138.30000000000001"/>
        <n v="135.9"/>
        <n v="130.80000000000001"/>
        <n v="133.9"/>
        <n v="133.6"/>
        <n v="136.69999999999999"/>
        <n v="135.6"/>
        <n v="139.30000000000001"/>
        <n v="139.1"/>
        <n v="139.19999999999999"/>
        <n v="138.1"/>
        <n v="132.80000000000001"/>
        <n v="135.1"/>
        <n v="134.6"/>
        <n v="133.5"/>
        <n v="137.30000000000001"/>
        <n v="137.80000000000001"/>
        <n v="137.1"/>
        <n v="137.4"/>
        <n v="141.1"/>
        <n v="138.80000000000001"/>
        <n v="138.19999999999999"/>
        <n v="143.5"/>
        <n v="140.19999999999999"/>
        <n v="145.30000000000001"/>
        <n v="141.5"/>
        <n v="138.69999999999999"/>
        <n v="134.5"/>
        <n v="136"/>
        <n v="136.19999999999999"/>
        <n v="140.4"/>
        <n v="138.4"/>
        <n v="142.5"/>
        <n v="140.80000000000001"/>
        <n v="138.5"/>
        <n v="141.6"/>
        <n v="139.6"/>
        <n v="141.19999999999999"/>
        <n v="144.69999999999999"/>
        <n v="142.6"/>
        <n v="148.4"/>
        <n v="145.6"/>
        <n v="149.5"/>
        <n v="153.69999999999999"/>
        <n v="151.1"/>
        <n v="153.5"/>
        <n v="157"/>
        <n v="154.9"/>
        <n v="150.9"/>
        <n v="153.1"/>
        <n v="151.80000000000001"/>
        <n v="147.6"/>
        <n v="148.9"/>
        <n v="148.1"/>
        <n v="146.9"/>
        <n v="151.9"/>
        <n v="148.80000000000001"/>
        <s v="NA"/>
        <n v="149.4"/>
        <n v="154.6"/>
        <n v="151.4"/>
        <n v="154.5"/>
        <n v="150.80000000000001"/>
        <n v="157.30000000000001"/>
        <n v="152.5"/>
        <n v="159.19999999999999"/>
        <n v="164.8"/>
        <n v="161.4"/>
        <n v="171.6"/>
        <n v="176.9"/>
        <n v="173.6"/>
        <n v="173.4"/>
        <n v="178.3"/>
        <n v="175.3"/>
        <n v="178.4"/>
        <n v="168"/>
        <n v="169.9"/>
        <n v="168.7"/>
        <n v="163.19999999999999"/>
        <n v="164.7"/>
        <n v="163.80000000000001"/>
        <n v="163.4"/>
        <n v="166.4"/>
        <n v="164.6"/>
        <n v="168.6"/>
        <n v="173"/>
        <n v="170.3"/>
        <n v="179.3"/>
        <n v="182.8"/>
        <n v="180.7"/>
        <n v="180.4"/>
        <n v="185"/>
        <n v="182.2"/>
        <n v="176.5"/>
        <n v="174.1"/>
        <n v="172.8"/>
        <n v="172"/>
        <n v="170.1"/>
        <n v="171.2"/>
        <n v="171.5"/>
        <n v="175.4"/>
        <n v="180"/>
        <n v="177.9"/>
        <n v="178"/>
        <n v="180.1"/>
        <n v="178.8"/>
        <n v="175.5"/>
        <n v="176.4"/>
        <n v="175.8"/>
        <n v="167.9"/>
        <n v="167.7"/>
        <n v="167.8"/>
        <n v="164.5"/>
        <n v="164.1"/>
        <n v="162.4"/>
        <n v="169.6"/>
        <n v="170.8"/>
        <n v="174.3"/>
        <n v="176.6"/>
        <n v="175.2"/>
        <n v="168.3"/>
        <n v="170.6"/>
        <n v="169.2"/>
        <n v="169"/>
        <n v="170.9"/>
        <n v="169.7"/>
        <n v="171.9"/>
        <n v="180.2"/>
        <n v="183.2"/>
        <n v="181.4"/>
        <n v="189.1"/>
        <n v="191.9"/>
        <n v="190.2"/>
        <n v="192.9"/>
        <n v="197"/>
        <n v="194.5"/>
        <n v="173.9"/>
        <n v="177.2"/>
        <n v="172.4"/>
        <n v="171"/>
        <n v="176.7"/>
        <n v="173.2"/>
      </sharedItems>
    </cacheField>
    <cacheField name="Milk and products" numFmtId="0">
      <sharedItems containsMixedTypes="1" containsNumber="1" minValue="103.6" maxValue="179.6" count="269">
        <n v="104.9"/>
        <n v="103.6"/>
        <n v="104.4"/>
        <n v="105.4"/>
        <n v="104"/>
        <n v="105.6"/>
        <n v="104.3"/>
        <n v="105.1"/>
        <n v="106.3"/>
        <n v="104.7"/>
        <n v="105.7"/>
        <n v="107.5"/>
        <n v="105.5"/>
        <n v="106.8"/>
        <n v="108.3"/>
        <n v="107.3"/>
        <n v="107.9"/>
        <n v="109.3"/>
        <n v="108.9"/>
        <n v="110"/>
        <n v="109.6"/>
        <n v="111"/>
        <n v="110.5"/>
        <n v="111.7"/>
        <n v="110.4"/>
        <n v="111.2"/>
        <n v="112.8"/>
        <n v="112"/>
        <n v="112.5"/>
        <n v="113.8"/>
        <n v="113.4"/>
        <n v="114.4"/>
        <n v="113.6"/>
        <n v="114.1"/>
        <n v="115"/>
        <n v="115.2"/>
        <n v="115.1"/>
        <n v="116.1"/>
        <n v="116.2"/>
        <n v="117"/>
        <n v="118"/>
        <n v="119.1"/>
        <n v="118.4"/>
        <n v="119.3"/>
        <n v="120.4"/>
        <n v="119.7"/>
        <n v="120.6"/>
        <n v="121.6"/>
        <n v="121"/>
        <n v="121.9"/>
        <n v="122.2"/>
        <n v="122"/>
        <n v="122.7"/>
        <n v="123.2"/>
        <n v="123.1"/>
        <n v="124"/>
        <n v="124.6"/>
        <n v="124.2"/>
        <n v="124.9"/>
        <n v="124.5"/>
        <n v="125.2"/>
        <n v="125"/>
        <n v="125.8"/>
        <n v="125.6"/>
        <n v="125.7"/>
        <n v="126"/>
        <n v="125.9"/>
        <n v="126.8"/>
        <n v="126.3"/>
        <n v="126.6"/>
        <n v="127.7"/>
        <n v="127.3"/>
        <n v="128.69999999999999"/>
        <n v="128.19999999999999"/>
        <n v="128.30000000000001"/>
        <n v="128.80000000000001"/>
        <n v="128"/>
        <n v="128.5"/>
        <n v="129.19999999999999"/>
        <n v="128.9"/>
        <n v="129.4"/>
        <n v="129.1"/>
        <n v="129.5"/>
        <n v="128.6"/>
        <n v="129.80000000000001"/>
        <n v="130.30000000000001"/>
        <n v="129.9"/>
        <n v="130.69999999999999"/>
        <n v="129.6"/>
        <n v="130.5"/>
        <n v="129.69999999999999"/>
        <n v="130.19999999999999"/>
        <n v="131.30000000000001"/>
        <n v="130.9"/>
        <n v="132.4"/>
        <n v="130.4"/>
        <n v="131.69999999999999"/>
        <n v="133.6"/>
        <n v="131"/>
        <n v="132.6"/>
        <n v="134.5"/>
        <n v="131.80000000000001"/>
        <n v="133.5"/>
        <n v="135.30000000000001"/>
        <n v="132.19999999999999"/>
        <n v="134.1"/>
        <n v="135.5"/>
        <n v="134.4"/>
        <n v="136"/>
        <n v="132.69999999999999"/>
        <n v="134.80000000000001"/>
        <n v="136.19999999999999"/>
        <n v="132.9"/>
        <n v="135"/>
        <n v="136.30000000000001"/>
        <n v="133.1"/>
        <n v="135.1"/>
        <n v="136.69999999999999"/>
        <n v="135.4"/>
        <n v="137.19999999999999"/>
        <n v="135.80000000000001"/>
        <n v="134.9"/>
        <n v="137.69999999999999"/>
        <n v="138.19999999999999"/>
        <n v="136.80000000000001"/>
        <n v="138.6"/>
        <n v="137.30000000000001"/>
        <n v="138.1"/>
        <n v="139"/>
        <n v="138.5"/>
        <n v="139.4"/>
        <n v="138.30000000000001"/>
        <n v="140.19999999999999"/>
        <n v="138.69999999999999"/>
        <n v="139.6"/>
        <n v="141.5"/>
        <n v="139.1"/>
        <n v="140.6"/>
        <n v="139.5"/>
        <n v="140.80000000000001"/>
        <n v="141.9"/>
        <n v="141"/>
        <n v="142"/>
        <n v="141.1"/>
        <n v="139.9"/>
        <n v="140.9"/>
        <n v="141.19999999999999"/>
        <n v="142.4"/>
        <n v="140.30000000000001"/>
        <n v="141.6"/>
        <n v="142.9"/>
        <n v="140.69999999999999"/>
        <n v="142.1"/>
        <n v="143.19999999999999"/>
        <n v="142.30000000000001"/>
        <n v="143.4"/>
        <n v="142.5"/>
        <n v="143.5"/>
        <n v="142.6"/>
        <n v="143.69999999999999"/>
        <n v="141.80000000000001"/>
        <n v="141.69999999999999"/>
        <n v="142.19999999999999"/>
        <n v="143.30000000000001"/>
        <n v="143.9"/>
        <n v="144.1"/>
        <n v="144"/>
        <n v="144.6"/>
        <n v="144.9"/>
        <n v="144.69999999999999"/>
        <n v="145.69999999999999"/>
        <n v="145.4"/>
        <n v="146.5"/>
        <n v="145.6"/>
        <n v="146.19999999999999"/>
        <n v="147.1"/>
        <n v="145.9"/>
        <n v="146.69999999999999"/>
        <n v="148.69999999999999"/>
        <n v="147.5"/>
        <n v="148.30000000000001"/>
        <n v="150.5"/>
        <n v="149.30000000000001"/>
        <n v="150.1"/>
        <n v="150.9"/>
        <n v="150.69999999999999"/>
        <n v="150.80000000000001"/>
        <n v="151.69999999999999"/>
        <n v="151.1"/>
        <n v="151.5"/>
        <n v="155.6"/>
        <n v="155.5"/>
        <s v="NA"/>
        <n v="153.30000000000001"/>
        <n v="153.4"/>
        <n v="153.9"/>
        <n v="153.6"/>
        <n v="153.69999999999999"/>
        <n v="153.80000000000001"/>
        <n v="154"/>
        <n v="154.19999999999999"/>
        <n v="154.1"/>
        <n v="154.4"/>
        <n v="155.1"/>
        <n v="154.69999999999999"/>
        <n v="154.5"/>
        <n v="154.9"/>
        <n v="155"/>
        <n v="156"/>
        <n v="155.4"/>
        <n v="155.80000000000001"/>
        <n v="156.5"/>
        <n v="156.1"/>
        <n v="156.19999999999999"/>
        <n v="157.1"/>
        <n v="158.19999999999999"/>
        <n v="157.5"/>
        <n v="159.19999999999999"/>
        <n v="158.4"/>
        <n v="158"/>
        <n v="159.1"/>
        <n v="158.69999999999999"/>
        <n v="159.6"/>
        <n v="159.30000000000001"/>
        <n v="159.80000000000001"/>
        <n v="160"/>
        <n v="159.9"/>
        <n v="160.5"/>
        <n v="160.4"/>
        <n v="160.69999999999999"/>
        <n v="160.6"/>
        <n v="162"/>
        <n v="162.6"/>
        <n v="162.19999999999999"/>
        <n v="163.80000000000001"/>
        <n v="164.2"/>
        <n v="163.9"/>
        <n v="164.6"/>
        <n v="165.4"/>
        <n v="164.9"/>
        <n v="166.4"/>
        <n v="165.8"/>
        <n v="166.3"/>
        <n v="167.1"/>
        <n v="166.6"/>
        <n v="167.9"/>
        <n v="168.4"/>
        <n v="168.1"/>
        <n v="169.5"/>
        <n v="170.1"/>
        <n v="169.7"/>
        <n v="170.9"/>
        <n v="171"/>
        <n v="172.3"/>
        <n v="173.4"/>
        <n v="173.9"/>
        <n v="173.6"/>
        <n v="174.3"/>
        <n v="175.2"/>
        <n v="174.6"/>
        <n v="177"/>
        <n v="177.9"/>
        <n v="177.3"/>
        <n v="178.2"/>
        <n v="178.8"/>
        <n v="178.4"/>
        <n v="179.6"/>
        <n v="179.4"/>
        <n v="179.5"/>
      </sharedItems>
    </cacheField>
    <cacheField name="Oils and fats" numFmtId="0">
      <sharedItems containsMixedTypes="1" containsNumber="1" minValue="101.1" maxValue="209.9" count="257">
        <n v="106.1"/>
        <n v="103.4"/>
        <n v="105.1"/>
        <n v="106.7"/>
        <n v="103.5"/>
        <n v="105.5"/>
        <n v="106.2"/>
        <n v="102.7"/>
        <n v="104.9"/>
        <n v="105.7"/>
        <n v="102.1"/>
        <n v="104.4"/>
        <n v="105.3"/>
        <n v="101.5"/>
        <n v="103.9"/>
        <n v="105.9"/>
        <n v="101.3"/>
        <n v="104.2"/>
        <n v="101.1"/>
        <n v="104.3"/>
        <n v="106.4"/>
        <n v="104.5"/>
        <n v="107.4"/>
        <n v="101.7"/>
        <n v="107.7"/>
        <n v="102.3"/>
        <n v="108.9"/>
        <n v="103.2"/>
        <n v="106.8"/>
        <n v="109.5"/>
        <n v="107.3"/>
        <n v="109"/>
        <n v="102.9"/>
        <n v="102.5"/>
        <n v="106.6"/>
        <n v="109.3"/>
        <n v="102.8"/>
        <n v="106.9"/>
        <n v="109.7"/>
        <n v="103.1"/>
        <n v="110.1"/>
        <n v="110.3"/>
        <n v="107.8"/>
        <n v="110.4"/>
        <n v="107.9"/>
        <n v="110.6"/>
        <n v="103.6"/>
        <n v="108"/>
        <n v="110.5"/>
        <n v="110.2"/>
        <n v="103"/>
        <n v="107.6"/>
        <n v="111"/>
        <n v="108.5"/>
        <n v="111.5"/>
        <n v="109.1"/>
        <n v="111.8"/>
        <n v="104.8"/>
        <n v="109.2"/>
        <n v="111.9"/>
        <n v="112.5"/>
        <n v="105.2"/>
        <n v="109.8"/>
        <n v="114.1"/>
        <n v="106"/>
        <n v="111.1"/>
        <n v="113.5"/>
        <n v="106.3"/>
        <n v="110.9"/>
        <n v="114"/>
        <n v="111.4"/>
        <n v="114.7"/>
        <n v="107"/>
        <n v="115.8"/>
        <n v="113.3"/>
        <n v="117.8"/>
        <n v="110"/>
        <n v="114.9"/>
        <n v="118.3"/>
        <n v="115.3"/>
        <n v="118.9"/>
        <n v="115.5"/>
        <n v="118.5"/>
        <n v="108.4"/>
        <n v="114.8"/>
        <n v="114.5"/>
        <n v="118.2"/>
        <n v="109.6"/>
        <n v="115"/>
        <n v="118.6"/>
        <n v="119.5"/>
        <n v="116.4"/>
        <n v="119.9"/>
        <n v="116.9"/>
        <n v="120.2"/>
        <n v="117.2"/>
        <n v="120.8"/>
        <n v="121.1"/>
        <n v="112.6"/>
        <n v="118"/>
        <n v="121.6"/>
        <n v="122"/>
        <n v="119.1"/>
        <n v="122.1"/>
        <n v="114.3"/>
        <n v="119.2"/>
        <n v="118.8"/>
        <n v="121.3"/>
        <n v="118.4"/>
        <n v="113.4"/>
        <n v="118.1"/>
        <n v="120.9"/>
        <n v="120.5"/>
        <n v="120.7"/>
        <n v="121.4"/>
        <n v="119"/>
        <n v="115.2"/>
        <n v="123.1"/>
        <n v="115.9"/>
        <n v="123.2"/>
        <n v="122.9"/>
        <n v="116.2"/>
        <n v="120.4"/>
        <n v="116.5"/>
        <n v="123.5"/>
        <n v="116.6"/>
        <n v="121"/>
        <n v="123.6"/>
        <n v="124"/>
        <n v="124.1"/>
        <n v="116.7"/>
        <n v="125"/>
        <n v="117.4"/>
        <n v="122.2"/>
        <n v="124.6"/>
        <n v="122.8"/>
        <n v="124.2"/>
        <n v="123.9"/>
        <n v="121.8"/>
        <n v="124.3"/>
        <n v="124.4"/>
        <n v="119.3"/>
        <n v="122.5"/>
        <n v="124.7"/>
        <n v="125.1"/>
        <n v="125.6"/>
        <n v="126"/>
        <n v="121.5"/>
        <n v="127.5"/>
        <n v="122.7"/>
        <n v="125.7"/>
        <n v="132"/>
        <n v="126.3"/>
        <n v="129.9"/>
        <n v="133.69999999999999"/>
        <n v="127.4"/>
        <n v="131.4"/>
        <n v="133.30000000000001"/>
        <n v="131.19999999999999"/>
        <n v="137.1"/>
        <n v="131.6"/>
        <n v="135.1"/>
        <s v="NA"/>
        <n v="138.19999999999999"/>
        <n v="132.9"/>
        <n v="136.30000000000001"/>
        <n v="139.80000000000001"/>
        <n v="133.4"/>
        <n v="137.4"/>
        <n v="140.4"/>
        <n v="134.4"/>
        <n v="142.6"/>
        <n v="135.69999999999999"/>
        <n v="140.1"/>
        <n v="145.4"/>
        <n v="138"/>
        <n v="142.69999999999999"/>
        <n v="150"/>
        <n v="140.69999999999999"/>
        <n v="146.6"/>
        <n v="154.80000000000001"/>
        <n v="144.1"/>
        <n v="150.9"/>
        <n v="163"/>
        <n v="151.4"/>
        <n v="158.69999999999999"/>
        <n v="168.2"/>
        <n v="156.4"/>
        <n v="163.9"/>
        <n v="175.2"/>
        <n v="161.4"/>
        <n v="170.1"/>
        <n v="184.4"/>
        <n v="168.8"/>
        <n v="178.7"/>
        <n v="190.4"/>
        <n v="172.2"/>
        <n v="183.7"/>
        <n v="188.7"/>
        <n v="170.6"/>
        <n v="182.1"/>
        <n v="190.9"/>
        <n v="175"/>
        <n v="188"/>
        <n v="195.5"/>
        <n v="198.8"/>
        <n v="176.6"/>
        <n v="190.6"/>
        <n v="198.4"/>
        <n v="175.8"/>
        <n v="190.1"/>
        <n v="195.8"/>
        <n v="173.5"/>
        <n v="187.6"/>
        <n v="192.6"/>
        <n v="171"/>
        <n v="184.7"/>
        <n v="171.5"/>
        <n v="184.9"/>
        <n v="203.1"/>
        <n v="180"/>
        <n v="194.6"/>
        <n v="207.4"/>
        <n v="186"/>
        <n v="199.5"/>
        <n v="209.9"/>
        <n v="189.5"/>
        <n v="202.4"/>
        <n v="208.1"/>
        <n v="188.6"/>
        <n v="200.9"/>
        <n v="202.2"/>
        <n v="184.8"/>
        <n v="198.1"/>
        <n v="182.5"/>
        <n v="192.4"/>
        <n v="194.1"/>
        <n v="179.3"/>
        <n v="191.6"/>
        <n v="177.7"/>
        <n v="186.5"/>
        <n v="194"/>
        <n v="188.9"/>
        <n v="193.9"/>
        <n v="179.1"/>
        <n v="188.5"/>
        <n v="178"/>
        <n v="187.2"/>
        <n v="183.4"/>
        <n v="183.3"/>
        <n v="179.2"/>
        <n v="178.5"/>
        <n v="168.7"/>
        <n v="174.9"/>
        <n v="173.3"/>
        <n v="164.4"/>
        <n v="170"/>
      </sharedItems>
    </cacheField>
    <cacheField name="Fruits" numFmtId="0">
      <sharedItems containsMixedTypes="1" containsNumber="1" minValue="102.3" maxValue="179.5" count="281">
        <n v="103.9"/>
        <n v="102.3"/>
        <n v="103.2"/>
        <n v="104"/>
        <n v="103.1"/>
        <n v="103.6"/>
        <n v="105.7"/>
        <n v="104.9"/>
        <n v="105.3"/>
        <n v="108.3"/>
        <n v="109.5"/>
        <n v="108.9"/>
        <n v="108.1"/>
        <n v="110.6"/>
        <n v="109.3"/>
        <n v="109.2"/>
        <n v="112.4"/>
        <n v="110.7"/>
        <n v="110.3"/>
        <n v="113.2"/>
        <n v="111.7"/>
        <n v="110.8"/>
        <n v="108.7"/>
        <n v="109.8"/>
        <n v="110.9"/>
        <n v="107.3"/>
        <n v="106.2"/>
        <n v="109.9"/>
        <n v="116.6"/>
        <n v="110"/>
        <n v="113.5"/>
        <n v="115.5"/>
        <n v="113.3"/>
        <n v="112.1"/>
        <n v="113.9"/>
        <n v="114.1"/>
        <n v="115.4"/>
        <n v="119.6"/>
        <n v="117.7"/>
        <n v="118.7"/>
        <n v="125.5"/>
        <n v="126.7"/>
        <n v="126.1"/>
        <n v="126.3"/>
        <n v="129.19999999999999"/>
        <n v="127.7"/>
        <n v="125.8"/>
        <n v="131.19999999999999"/>
        <n v="128.30000000000001"/>
        <n v="129.1"/>
        <n v="133.69999999999999"/>
        <n v="129.69999999999999"/>
        <n v="132.69999999999999"/>
        <n v="131.1"/>
        <n v="129.80000000000001"/>
        <n v="124.5"/>
        <n v="127.3"/>
        <n v="128.9"/>
        <n v="123.5"/>
        <n v="126.4"/>
        <n v="128.80000000000001"/>
        <n v="122.2"/>
        <n v="125.7"/>
        <n v="128.6"/>
        <n v="122.3"/>
        <n v="130.4"/>
        <n v="121.3"/>
        <n v="126.2"/>
        <n v="129.4"/>
        <n v="121.6"/>
        <n v="130.9"/>
        <n v="123.8"/>
        <n v="127.6"/>
        <n v="134.19999999999999"/>
        <n v="130.6"/>
        <n v="132.5"/>
        <n v="134.1"/>
        <n v="130.80000000000001"/>
        <n v="132.6"/>
        <n v="133.19999999999999"/>
        <n v="132.30000000000001"/>
        <n v="132.80000000000001"/>
        <n v="133.30000000000001"/>
        <n v="133.1"/>
        <n v="130.1"/>
        <n v="124"/>
        <n v="128.4"/>
        <n v="124.1"/>
        <n v="129"/>
        <n v="132.1"/>
        <n v="123.7"/>
        <n v="128.19999999999999"/>
        <n v="131.6"/>
        <n v="120.8"/>
        <n v="126.6"/>
        <n v="119"/>
        <n v="118.6"/>
        <n v="124.9"/>
        <n v="131.69999999999999"/>
        <n v="119.9"/>
        <n v="138.1"/>
        <n v="134.80000000000001"/>
        <n v="133.5"/>
        <n v="136"/>
        <n v="137.4"/>
        <n v="135.5"/>
        <n v="136.5"/>
        <n v="138.5"/>
        <n v="137"/>
        <n v="137.80000000000001"/>
        <n v="140.19999999999999"/>
        <n v="135.80000000000001"/>
        <n v="139.19999999999999"/>
        <n v="136.1"/>
        <n v="138.4"/>
        <n v="134.69999999999999"/>
        <n v="136.9"/>
        <n v="135.6"/>
        <n v="129.30000000000001"/>
        <n v="129.6"/>
        <n v="133"/>
        <n v="138.69999999999999"/>
        <n v="131.4"/>
        <n v="135.30000000000001"/>
        <n v="139.69999999999999"/>
        <n v="136.80000000000001"/>
        <n v="138.30000000000001"/>
        <n v="141.80000000000001"/>
        <n v="137.69999999999999"/>
        <n v="139.9"/>
        <n v="135.19999999999999"/>
        <n v="137.9"/>
        <n v="140.9"/>
        <n v="137.19999999999999"/>
        <n v="143.9"/>
        <n v="139.4"/>
        <n v="148"/>
        <n v="142.69999999999999"/>
        <n v="145.5"/>
        <n v="147.80000000000001"/>
        <n v="137.5"/>
        <n v="143"/>
        <n v="146.69999999999999"/>
        <n v="141.5"/>
        <n v="147.30000000000001"/>
        <n v="136.4"/>
        <n v="142.19999999999999"/>
        <n v="147.19999999999999"/>
        <n v="135"/>
        <n v="147.9"/>
        <n v="133.80000000000001"/>
        <n v="141.30000000000001"/>
        <n v="149.4"/>
        <n v="142.9"/>
        <n v="152.9"/>
        <n v="146.19999999999999"/>
        <n v="156.4"/>
        <n v="150.1"/>
        <n v="153.5"/>
        <n v="157.5"/>
        <n v="151.30000000000001"/>
        <n v="154.6"/>
        <n v="154.1"/>
        <n v="152.19999999999999"/>
        <n v="153.19999999999999"/>
        <n v="153.30000000000001"/>
        <n v="149.69999999999999"/>
        <n v="151.6"/>
        <n v="154.4"/>
        <n v="146.30000000000001"/>
        <n v="150.6"/>
        <n v="140"/>
        <n v="145.4"/>
        <n v="144.5"/>
        <n v="139.5"/>
        <n v="142.5"/>
        <n v="142.80000000000001"/>
        <n v="135.4"/>
        <n v="137.6"/>
        <n v="143.69999999999999"/>
        <n v="146.5"/>
        <n v="143.30000000000001"/>
        <n v="150.9"/>
        <n v="146.80000000000001"/>
        <n v="146.4"/>
        <n v="154.69999999999999"/>
        <n v="150.30000000000001"/>
        <n v="153.9"/>
        <n v="143.80000000000001"/>
        <n v="149.80000000000001"/>
        <n v="146.6"/>
        <n v="145.69999999999999"/>
        <n v="148.80000000000001"/>
        <n v="147.4"/>
        <n v="144.30000000000001"/>
        <n v="144.4"/>
        <n v="143.19999999999999"/>
        <n v="140.69999999999999"/>
        <n v="143.1"/>
        <n v="149.9"/>
        <s v="NA"/>
        <n v="151.80000000000001"/>
        <n v="146.9"/>
        <n v="154.5"/>
        <n v="150.4"/>
        <n v="147"/>
        <n v="155.4"/>
        <n v="155.69999999999999"/>
        <n v="151.19999999999999"/>
        <n v="150.5"/>
        <n v="148.4"/>
        <n v="145.9"/>
        <n v="147.69999999999999"/>
        <n v="152.6"/>
        <n v="149.6"/>
        <n v="154"/>
        <n v="150.69999999999999"/>
        <n v="157.30000000000001"/>
        <n v="153.69999999999999"/>
        <n v="160.6"/>
        <n v="168.8"/>
        <n v="164.4"/>
        <n v="162.30000000000001"/>
        <n v="172.5"/>
        <n v="167.1"/>
        <n v="158.6"/>
        <n v="171.5"/>
        <n v="164.6"/>
        <n v="157.69999999999999"/>
        <n v="170.9"/>
        <n v="163.9"/>
        <n v="161.30000000000001"/>
        <n v="156.80000000000001"/>
        <n v="152.69999999999999"/>
        <n v="161.19999999999999"/>
        <n v="156.69999999999999"/>
        <n v="159.30000000000001"/>
        <n v="160.30000000000001"/>
        <n v="156.5"/>
        <n v="152"/>
        <n v="158.30000000000001"/>
        <n v="154.9"/>
        <n v="151.4"/>
        <n v="155.9"/>
        <n v="159.6"/>
        <n v="157.6"/>
        <n v="169.7"/>
        <n v="175.9"/>
        <n v="172.6"/>
        <n v="168"/>
        <n v="174.5"/>
        <n v="171"/>
        <n v="165.8"/>
        <n v="174.1"/>
        <n v="169.6"/>
        <n v="179.5"/>
        <n v="174.2"/>
        <n v="169.2"/>
        <n v="177.1"/>
        <n v="172.9"/>
        <n v="164.1"/>
        <n v="167.5"/>
        <n v="165.7"/>
        <n v="162.19999999999999"/>
        <n v="163.80000000000001"/>
        <n v="159.1"/>
        <n v="162.6"/>
        <n v="160.69999999999999"/>
        <n v="159.5"/>
        <n v="158"/>
        <n v="156.30000000000001"/>
        <n v="160.5"/>
        <n v="167.2"/>
        <n v="172.1"/>
        <n v="169.5"/>
        <n v="173.7"/>
        <n v="179.2"/>
        <n v="176.3"/>
        <n v="169"/>
        <n v="175.8"/>
        <n v="172.2"/>
      </sharedItems>
    </cacheField>
    <cacheField name="Vegetables" numFmtId="0">
      <sharedItems containsMixedTypes="1" containsNumber="1" minValue="101.4" maxValue="245.3" count="312">
        <n v="101.9"/>
        <n v="102.9"/>
        <n v="102.2"/>
        <n v="102.4"/>
        <n v="104.9"/>
        <n v="103.2"/>
        <n v="101.4"/>
        <n v="103.8"/>
        <n v="103.4"/>
        <n v="109.7"/>
        <n v="105.5"/>
        <n v="107.3"/>
        <n v="123.7"/>
        <n v="112.9"/>
        <n v="118"/>
        <n v="143.6"/>
        <n v="126.7"/>
        <n v="129.19999999999999"/>
        <n v="160.9"/>
        <n v="140"/>
        <n v="138.9"/>
        <n v="177"/>
        <n v="151.80000000000001"/>
        <n v="154"/>
        <n v="174.3"/>
        <n v="164.9"/>
        <n v="183.5"/>
        <n v="171.2"/>
        <n v="178.1"/>
        <n v="192.8"/>
        <n v="183.1"/>
        <n v="145.69999999999999"/>
        <n v="144.80000000000001"/>
        <n v="145.4"/>
        <n v="123.9"/>
        <n v="118.9"/>
        <n v="122.2"/>
        <n v="116"/>
        <n v="111.5"/>
        <n v="114.5"/>
        <n v="117.9"/>
        <n v="113.3"/>
        <n v="116.3"/>
        <n v="120.5"/>
        <n v="121.2"/>
        <n v="120.7"/>
        <n v="127"/>
        <n v="125"/>
        <n v="129.30000000000001"/>
        <n v="137.5"/>
        <n v="132.1"/>
        <n v="150.1"/>
        <n v="172.4"/>
        <n v="157.69999999999999"/>
        <n v="161.1"/>
        <n v="181.9"/>
        <n v="168.2"/>
        <n v="158.80000000000001"/>
        <n v="168.6"/>
        <n v="162.1"/>
        <n v="155.30000000000001"/>
        <n v="159.6"/>
        <n v="156.80000000000001"/>
        <n v="152"/>
        <n v="153.19999999999999"/>
        <n v="152.4"/>
        <n v="140.30000000000001"/>
        <n v="141"/>
        <n v="140.5"/>
        <n v="132.30000000000001"/>
        <n v="134.4"/>
        <n v="133"/>
        <n v="128.19999999999999"/>
        <n v="131.80000000000001"/>
        <n v="129.4"/>
        <n v="128"/>
        <n v="131.4"/>
        <n v="127.5"/>
        <n v="130.80000000000001"/>
        <n v="128.6"/>
        <n v="128.5"/>
        <n v="135.6"/>
        <n v="130.9"/>
        <n v="135.19999999999999"/>
        <n v="146.69999999999999"/>
        <n v="139.1"/>
        <n v="140.80000000000001"/>
        <n v="153.5"/>
        <n v="145.1"/>
        <n v="153.6"/>
        <n v="165.5"/>
        <n v="157.6"/>
        <n v="158.9"/>
        <n v="168.5"/>
        <n v="162.19999999999999"/>
        <n v="165.8"/>
        <n v="160.4"/>
        <n v="155.19999999999999"/>
        <n v="164.6"/>
        <n v="158.4"/>
        <n v="145.5"/>
        <n v="149"/>
        <n v="140.1"/>
        <n v="144.1"/>
        <n v="141.5"/>
        <n v="130.30000000000001"/>
        <n v="130.69999999999999"/>
        <n v="128.1"/>
        <n v="129.80000000000001"/>
        <n v="134.1"/>
        <n v="136.80000000000001"/>
        <n v="135"/>
        <n v="141.80000000000001"/>
        <n v="151.4"/>
        <n v="152.5"/>
        <n v="173.7"/>
        <n v="159.69999999999999"/>
        <n v="158.19999999999999"/>
        <n v="179.5"/>
        <n v="165.4"/>
        <n v="156.9"/>
        <n v="163.5"/>
        <n v="159.1"/>
        <n v="149.5"/>
        <n v="152.9"/>
        <n v="150.69999999999999"/>
        <n v="149.19999999999999"/>
        <n v="155.1"/>
        <n v="151.19999999999999"/>
        <n v="142"/>
        <n v="141.9"/>
        <n v="121.1"/>
        <n v="125.3"/>
        <n v="119.8"/>
        <n v="118.7"/>
        <n v="119.4"/>
        <n v="119.1"/>
        <n v="120.2"/>
        <n v="119.5"/>
        <n v="119.7"/>
        <n v="121.5"/>
        <n v="127.1"/>
        <n v="123.4"/>
        <n v="123.8"/>
        <n v="125.6"/>
        <n v="128.80000000000001"/>
        <n v="142.19999999999999"/>
        <n v="133.30000000000001"/>
        <n v="151.5"/>
        <n v="175.1"/>
        <n v="159.5"/>
        <n v="162.9"/>
        <n v="179.8"/>
        <n v="154.5"/>
        <n v="160.69999999999999"/>
        <n v="156.6"/>
        <n v="157.1"/>
        <n v="173.2"/>
        <n v="162.6"/>
        <n v="168"/>
        <n v="185.2"/>
        <n v="173.8"/>
        <n v="161"/>
        <n v="163.19999999999999"/>
        <n v="161.69999999999999"/>
        <n v="152.1"/>
        <n v="150.5"/>
        <n v="151.6"/>
        <n v="142.4"/>
        <n v="136.9"/>
        <n v="138"/>
        <n v="134.6"/>
        <n v="135.1"/>
        <n v="127.6"/>
        <n v="132.6"/>
        <n v="137.80000000000001"/>
        <n v="143.5"/>
        <n v="144"/>
        <n v="143.69999999999999"/>
        <n v="154.19999999999999"/>
        <n v="159.19999999999999"/>
        <n v="155.9"/>
        <n v="156.30000000000001"/>
        <n v="157.30000000000001"/>
        <n v="149.4"/>
        <n v="151.30000000000001"/>
        <n v="150"/>
        <n v="147.6"/>
        <n v="153"/>
        <n v="147.5"/>
        <n v="145.19999999999999"/>
        <n v="136.6"/>
        <n v="132.4"/>
        <n v="131.69999999999999"/>
        <n v="130.5"/>
        <n v="131.30000000000001"/>
        <n v="128.69999999999999"/>
        <n v="131.6"/>
        <n v="129.69999999999999"/>
        <n v="141.19999999999999"/>
        <n v="133.4"/>
        <n v="161.6"/>
        <n v="143"/>
        <n v="140.6"/>
        <n v="169.8"/>
        <n v="180.1"/>
        <n v="160.30000000000001"/>
        <n v="156.19999999999999"/>
        <n v="189.1"/>
        <n v="167.4"/>
        <n v="163.4"/>
        <n v="192.4"/>
        <n v="178.8"/>
        <n v="207.2"/>
        <n v="188.4"/>
        <n v="191.4"/>
        <n v="215.7"/>
        <n v="199.6"/>
        <n v="209.5"/>
        <n v="231.5"/>
        <n v="217"/>
        <n v="191.5"/>
        <n v="207.8"/>
        <n v="197"/>
        <n v="165.1"/>
        <n v="181.7"/>
        <n v="170.7"/>
        <n v="152.30000000000001"/>
        <n v="167"/>
        <n v="162.69999999999999"/>
        <n v="180"/>
        <s v="NA"/>
        <n v="148.9"/>
        <n v="156.5"/>
        <n v="171"/>
        <n v="191.9"/>
        <n v="202"/>
        <n v="186.7"/>
        <n v="200.6"/>
        <n v="226"/>
        <n v="209.2"/>
        <n v="222.2"/>
        <n v="245.3"/>
        <n v="230"/>
        <n v="225.2"/>
        <n v="240.9"/>
        <n v="230.5"/>
        <n v="187.8"/>
        <n v="206.8"/>
        <n v="194.2"/>
        <n v="149.69999999999999"/>
        <n v="180.2"/>
        <n v="160"/>
        <n v="166.1"/>
        <n v="138.4"/>
        <n v="166.5"/>
        <n v="147.9"/>
        <n v="144.69999999999999"/>
        <n v="176.2"/>
        <n v="155.4"/>
        <n v="152.80000000000001"/>
        <n v="186.4"/>
        <n v="164.2"/>
        <n v="153.9"/>
        <n v="183.3"/>
        <n v="162.30000000000001"/>
        <n v="170.4"/>
        <n v="214.4"/>
        <n v="185.3"/>
        <n v="183.9"/>
        <n v="229.1"/>
        <n v="199.2"/>
        <n v="172.3"/>
        <n v="219.5"/>
        <n v="188.3"/>
        <n v="203.6"/>
        <n v="198"/>
        <n v="169.7"/>
        <n v="155.80000000000001"/>
        <n v="166.9"/>
        <n v="190.7"/>
        <n v="166.2"/>
        <n v="203.2"/>
        <n v="174.9"/>
        <n v="167.3"/>
        <n v="211.5"/>
        <n v="182.3"/>
        <n v="208.5"/>
        <n v="182.1"/>
        <n v="173.1"/>
        <n v="213.1"/>
        <n v="176.9"/>
        <n v="220.8"/>
        <n v="191.8"/>
        <n v="184.8"/>
        <n v="228.6"/>
        <n v="199.7"/>
        <n v="171.6"/>
        <n v="205.5"/>
        <n v="150.19999999999999"/>
        <n v="178.7"/>
        <n v="159.9"/>
        <n v="142.9"/>
        <n v="175.3"/>
        <n v="140.9"/>
        <n v="175.8"/>
        <n v="152.69999999999999"/>
        <n v="175.9"/>
        <n v="142.80000000000001"/>
        <n v="179.9"/>
        <n v="148.69999999999999"/>
        <n v="185"/>
      </sharedItems>
    </cacheField>
    <cacheField name="Pulses and products" numFmtId="0">
      <sharedItems containsMixedTypes="1" containsNumber="1" minValue="103.5" maxValue="191.6" count="265">
        <n v="106.1"/>
        <n v="105.8"/>
        <n v="106"/>
        <n v="105.9"/>
        <n v="104.1"/>
        <n v="105.3"/>
        <n v="105.7"/>
        <n v="103.5"/>
        <n v="105"/>
        <n v="104.6"/>
        <n v="105.2"/>
        <n v="106.8"/>
        <n v="105.4"/>
        <n v="106.3"/>
        <n v="107.1"/>
        <n v="105.1"/>
        <n v="106.4"/>
        <n v="107.4"/>
        <n v="104.7"/>
        <n v="106.5"/>
        <n v="108.1"/>
        <n v="108.3"/>
        <n v="107.3"/>
        <n v="109.1"/>
        <n v="108.2"/>
        <n v="109.5"/>
        <n v="108.7"/>
        <n v="109.6"/>
        <n v="107.5"/>
        <n v="108.9"/>
        <n v="109.8"/>
        <n v="109.3"/>
        <n v="110.2"/>
        <n v="111"/>
        <n v="111.5"/>
        <n v="112.6"/>
        <n v="111.9"/>
        <n v="112.2"/>
        <n v="112.8"/>
        <n v="112.4"/>
        <n v="113.2"/>
        <n v="113.1"/>
        <n v="114.1"/>
        <n v="115.2"/>
        <n v="114.5"/>
        <n v="115"/>
        <n v="116.9"/>
        <n v="115.6"/>
        <n v="115.5"/>
        <n v="117.4"/>
        <n v="116.1"/>
        <n v="116.2"/>
        <n v="119.3"/>
        <n v="117.2"/>
        <n v="116.3"/>
        <n v="120.1"/>
        <n v="117.6"/>
        <n v="122.9"/>
        <n v="119.1"/>
        <n v="118.8"/>
        <n v="125.1"/>
        <n v="120.9"/>
        <n v="119.9"/>
        <n v="127.2"/>
        <n v="122.4"/>
        <n v="121.5"/>
        <n v="131.30000000000001"/>
        <n v="124.8"/>
        <n v="124.3"/>
        <n v="142.6"/>
        <n v="130.5"/>
        <n v="131.9"/>
        <n v="148.1"/>
        <n v="137.4"/>
        <n v="133.80000000000001"/>
        <n v="149.5"/>
        <n v="139.1"/>
        <n v="137.9"/>
        <n v="156"/>
        <n v="144"/>
        <n v="142.1"/>
        <n v="165.4"/>
        <n v="150"/>
        <n v="154.19999999999999"/>
        <n v="187.2"/>
        <n v="165.3"/>
        <n v="160.80000000000001"/>
        <n v="191.6"/>
        <n v="171.2"/>
        <n v="162.1"/>
        <n v="190.1"/>
        <n v="171.5"/>
        <n v="163.80000000000001"/>
        <n v="184.2"/>
        <n v="170.7"/>
        <n v="162.80000000000001"/>
        <n v="176.4"/>
        <n v="167.4"/>
        <n v="161.19999999999999"/>
        <n v="170.3"/>
        <n v="164.3"/>
        <n v="162.69999999999999"/>
        <n v="176.9"/>
        <n v="167.5"/>
        <n v="166"/>
        <n v="182.8"/>
        <n v="171.7"/>
        <n v="169.2"/>
        <n v="184.4"/>
        <n v="174.3"/>
        <n v="171.8"/>
        <n v="188.4"/>
        <n v="177.4"/>
        <n v="172.2"/>
        <n v="182.3"/>
        <n v="175.6"/>
        <n v="170.4"/>
        <n v="173.6"/>
        <n v="170.2"/>
        <n v="175.7"/>
        <n v="172.1"/>
        <n v="170"/>
        <n v="174.9"/>
        <n v="167.9"/>
        <n v="168.7"/>
        <n v="161.69999999999999"/>
        <n v="155.1"/>
        <n v="159.5"/>
        <n v="156.9"/>
        <n v="143.1"/>
        <n v="152.19999999999999"/>
        <n v="148"/>
        <n v="135.80000000000001"/>
        <n v="143.9"/>
        <n v="144.5"/>
        <n v="140.9"/>
        <n v="141.80000000000001"/>
        <n v="131.5"/>
        <n v="138.30000000000001"/>
        <n v="140.19999999999999"/>
        <n v="128.19999999999999"/>
        <n v="136.19999999999999"/>
        <n v="138.1"/>
        <n v="124.7"/>
        <n v="133.6"/>
        <n v="123.5"/>
        <n v="132.69999999999999"/>
        <n v="137.1"/>
        <n v="124.5"/>
        <n v="132.9"/>
        <n v="136.4"/>
        <n v="124.1"/>
        <n v="132.30000000000001"/>
        <n v="122.2"/>
        <n v="131.19999999999999"/>
        <n v="119.8"/>
        <n v="129.1"/>
        <n v="131.80000000000001"/>
        <n v="118.4"/>
        <n v="127.3"/>
        <n v="130.19999999999999"/>
        <n v="117"/>
        <n v="125.8"/>
        <n v="129.30000000000001"/>
        <n v="124.6"/>
        <n v="128.4"/>
        <n v="114"/>
        <n v="122.3"/>
        <n v="126"/>
        <n v="112.3"/>
        <n v="121.4"/>
        <n v="126.4"/>
        <n v="121.7"/>
        <n v="126.8"/>
        <n v="113.6"/>
        <n v="125.4"/>
        <n v="113.5"/>
        <n v="121"/>
        <n v="115.3"/>
        <n v="117.5"/>
        <n v="121.3"/>
        <n v="118.2"/>
        <n v="120.3"/>
        <n v="120.7"/>
        <n v="121.8"/>
        <n v="124.4"/>
        <n v="124.9"/>
        <n v="128.69999999999999"/>
        <n v="127.4"/>
        <n v="128.30000000000001"/>
        <n v="130.6"/>
        <n v="128.9"/>
        <n v="130"/>
        <n v="129.80000000000001"/>
        <n v="130.9"/>
        <n v="132.19999999999999"/>
        <n v="130.30000000000001"/>
        <n v="131.6"/>
        <n v="133.1"/>
        <n v="132.5"/>
        <n v="134.6"/>
        <n v="135.69999999999999"/>
        <n v="138.80000000000001"/>
        <n v="137.19999999999999"/>
        <n v="141.1"/>
        <n v="140.4"/>
        <n v="139.6"/>
        <n v="139.69999999999999"/>
        <n v="150.19999999999999"/>
        <n v="150.80000000000001"/>
        <n v="150.4"/>
        <s v="NA"/>
        <n v="150.30000000000001"/>
        <n v="152"/>
        <n v="150.9"/>
        <n v="149.9"/>
        <n v="151.30000000000001"/>
        <n v="149.30000000000001"/>
        <n v="149.80000000000001"/>
        <n v="155.9"/>
        <n v="158.69999999999999"/>
        <n v="156.80000000000001"/>
        <n v="161.5"/>
        <n v="160.19999999999999"/>
        <n v="160.4"/>
        <n v="158.30000000000001"/>
        <n v="159.80000000000001"/>
        <n v="158.80000000000001"/>
        <n v="159.19999999999999"/>
        <n v="161.1"/>
        <n v="165.1"/>
        <n v="165.9"/>
        <n v="165.5"/>
        <n v="166.9"/>
        <n v="163.6"/>
        <n v="164.7"/>
        <n v="164"/>
        <n v="164.5"/>
        <n v="164.1"/>
        <n v="163.9"/>
        <n v="165.2"/>
        <n v="164.2"/>
        <n v="164.4"/>
        <n v="163.19999999999999"/>
        <n v="163.69999999999999"/>
        <n v="163.4"/>
        <n v="165"/>
        <n v="164.6"/>
        <n v="167.1"/>
        <n v="167.3"/>
        <n v="167.2"/>
        <n v="169"/>
        <n v="169.1"/>
        <n v="169.7"/>
        <n v="169.9"/>
        <n v="169.8"/>
        <n v="171"/>
        <n v="170.5"/>
        <n v="171.3"/>
        <n v="170.8"/>
        <n v="170.9"/>
        <n v="171.1"/>
        <n v="172.8"/>
        <n v="174.7"/>
        <n v="173.4"/>
      </sharedItems>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ount="118">
        <s v="NA"/>
        <n v="100.3"/>
        <n v="100.4"/>
        <n v="100.5"/>
        <n v="106.6"/>
        <n v="107.7"/>
        <n v="108.9"/>
        <n v="109.7"/>
        <n v="110.5"/>
        <n v="111.1"/>
        <n v="110.7"/>
        <n v="111.6"/>
        <n v="112.5"/>
        <n v="113.2"/>
        <n v="113.9"/>
        <n v="114.3"/>
        <n v="114.8"/>
        <n v="115.5"/>
        <n v="116.1"/>
        <n v="116.7"/>
        <n v="117.1"/>
        <n v="116.5"/>
        <n v="117.3"/>
        <n v="118.1"/>
        <n v="118.6"/>
        <n v="119.2"/>
        <n v="119.6"/>
        <n v="119"/>
        <n v="119.9"/>
        <n v="120.9"/>
        <n v="121.6"/>
        <n v="122.4"/>
        <n v="122.9"/>
        <n v="123.4"/>
        <n v="124.4"/>
        <n v="124.9"/>
        <n v="125.6"/>
        <n v="126"/>
        <n v="125.5"/>
        <n v="126.4"/>
        <n v="127.3"/>
        <n v="127.9"/>
        <n v="128.69999999999999"/>
        <n v="129.1"/>
        <n v="128.5"/>
        <n v="129.6"/>
        <n v="130.5"/>
        <n v="131.1"/>
        <n v="131.69999999999999"/>
        <n v="132.1"/>
        <n v="131.4"/>
        <n v="132.6"/>
        <n v="134.4"/>
        <n v="135.69999999999999"/>
        <n v="137.30000000000001"/>
        <n v="138.6"/>
        <n v="139.1"/>
        <n v="140.4"/>
        <n v="141.30000000000001"/>
        <n v="142"/>
        <n v="142.9"/>
        <n v="143.19999999999999"/>
        <n v="142.5"/>
        <n v="143.6"/>
        <n v="144.6"/>
        <n v="145.30000000000001"/>
        <n v="146.30000000000001"/>
        <n v="146.9"/>
        <n v="146.5"/>
        <n v="147.69999999999999"/>
        <n v="148.5"/>
        <n v="149"/>
        <n v="150.1"/>
        <n v="149.4"/>
        <n v="150.6"/>
        <n v="151.6"/>
        <n v="152.19999999999999"/>
        <n v="153"/>
        <n v="153.5"/>
        <n v="152.80000000000001"/>
        <n v="153.9"/>
        <n v="154.80000000000001"/>
        <n v="154.5"/>
        <n v="155.6"/>
        <n v="154.69999999999999"/>
        <n v="155.5"/>
        <n v="156.30000000000001"/>
        <n v="156.5"/>
        <n v="158"/>
        <n v="158.4"/>
        <n v="157.69999999999999"/>
        <n v="159.80000000000001"/>
        <s v="-"/>
        <n v="159.9"/>
        <n v="161.4"/>
        <n v="161.6"/>
        <n v="160.5"/>
        <n v="161.5"/>
        <n v="162.1"/>
        <n v="163.6"/>
        <n v="164.2"/>
        <n v="163.4"/>
        <n v="164.5"/>
        <n v="165.5"/>
        <n v="165.3"/>
        <n v="167"/>
        <n v="167.5"/>
        <n v="166.8"/>
        <n v="167.8"/>
        <n v="169"/>
        <n v="169.5"/>
        <n v="171.2"/>
        <n v="171.8"/>
        <n v="170.7"/>
        <n v="172.1"/>
        <n v="173.5"/>
        <n v="175.2"/>
        <n v="175.6"/>
      </sharedItems>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 name="duplicates check"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57500636574" createdVersion="8" refreshedVersion="8" minRefreshableVersion="3" recordCount="13" xr:uid="{23FA55A2-D8F1-49BA-A62E-B5D42E394284}">
  <cacheSource type="worksheet">
    <worksheetSource ref="E7:I20" sheet="objective 1"/>
  </cacheSource>
  <cacheFields count="5">
    <cacheField name="Bucket" numFmtId="0">
      <sharedItems count="13">
        <s v="Food"/>
        <s v="Clothing &amp; Footwear"/>
        <s v="Housing"/>
        <s v="Energy"/>
        <s v="Household"/>
        <s v="Health"/>
        <s v="Transport &amp; Communication"/>
        <s v="Recreation"/>
        <s v="Education"/>
        <s v="Personal Care"/>
        <s v="Pan, Tobacco &amp; Intoxicants"/>
        <s v="Miscellaneous"/>
        <s v="total"/>
      </sharedItems>
    </cacheField>
    <cacheField name="Broader Category Index" numFmtId="0">
      <sharedItems containsSemiMixedTypes="0" containsString="0" containsNumber="1" minValue="164.8" maxValue="2155.1166666666668"/>
    </cacheField>
    <cacheField name="Field3" caption="Field3" numFmtId="0">
      <sharedItems containsNonDate="0" containsString="0" containsBlank="1"/>
    </cacheField>
    <cacheField name="Field4" caption="Field4" numFmtId="0">
      <sharedItems containsNonDate="0" containsString="0" containsBlank="1"/>
    </cacheField>
    <cacheField name="contribution" numFmtId="0">
      <sharedItems containsString="0" containsBlank="1" containsNumber="1" minValue="7.6469178002737674" maxValue="9.326641249120310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659405439816" createdVersion="8" refreshedVersion="8" minRefreshableVersion="3" recordCount="6" xr:uid="{B7308D76-0AE0-429F-A6B2-B6EC0871C0C6}">
  <cacheSource type="worksheet">
    <worksheetSource ref="E7:I13" sheet="objective 2 "/>
  </cacheSource>
  <cacheFields count="5">
    <cacheField name="Year" numFmtId="0">
      <sharedItems containsSemiMixedTypes="0" containsString="0" containsNumber="1" containsInteger="1" minValue="2017" maxValue="2022" count="6">
        <n v="2017"/>
        <n v="2018"/>
        <n v="2019"/>
        <n v="2020"/>
        <n v="2021"/>
        <n v="2022"/>
      </sharedItems>
    </cacheField>
    <cacheField name="start cpi" numFmtId="0">
      <sharedItems containsSemiMixedTypes="0" containsString="0" containsNumber="1" minValue="130.30000000000001" maxValue="165.7"/>
    </cacheField>
    <cacheField name="end cpi after 12 months" numFmtId="0">
      <sharedItems containsSemiMixedTypes="0" containsString="0" containsNumber="1" minValue="136.9" maxValue="176.5"/>
    </cacheField>
    <cacheField name="Field4" caption="Field4" numFmtId="0">
      <sharedItems containsNonDate="0" containsString="0" containsBlank="1"/>
    </cacheField>
    <cacheField name="inflation" numFmtId="0">
      <sharedItems containsSemiMixedTypes="0" containsString="0" containsNumber="1" minValue="1.972242512783045" maxValue="7.59312320916905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9.844379282411" createdVersion="8" refreshedVersion="8" minRefreshableVersion="3" recordCount="13" xr:uid="{6200E8C8-E99D-49B8-93AC-064B7437ACA6}">
  <cacheSource type="worksheet">
    <worksheetSource ref="C3:E16" sheet="objective 3"/>
  </cacheSource>
  <cacheFields count="3">
    <cacheField name="MONTH" numFmtId="17">
      <sharedItems containsSemiMixedTypes="0" containsNonDate="0" containsDate="1" containsString="0" minDate="2022-05-01T00:00:00" maxDate="2023-05-02T00:00:00" count="13">
        <d v="2022-05-01T00:00:00"/>
        <d v="2022-06-01T00:00:00"/>
        <d v="2022-07-01T00:00:00"/>
        <d v="2022-08-01T00:00:00"/>
        <d v="2022-09-01T00:00:00"/>
        <d v="2022-10-01T00:00:00"/>
        <d v="2022-11-01T00:00:00"/>
        <d v="2022-12-01T00:00:00"/>
        <d v="2023-01-01T00:00:00"/>
        <d v="2023-02-01T00:00:00"/>
        <d v="2023-03-01T00:00:00"/>
        <d v="2023-04-01T00:00:00"/>
        <d v="2023-05-01T00:00:00"/>
      </sharedItems>
    </cacheField>
    <cacheField name="FOOD INDEX" numFmtId="164">
      <sharedItems containsSemiMixedTypes="0" containsString="0" containsNumber="1" minValue="172.13333333333335" maxValue="177.31666666666669"/>
    </cacheField>
    <cacheField name="FOOD MOM INFLATION" numFmtId="0">
      <sharedItems containsString="0" containsBlank="1" containsNumber="1" minValue="-0.6568998109640819" maxValue="1.036018590240106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0.581091782406" createdVersion="8" refreshedVersion="8" minRefreshableVersion="3" recordCount="379" xr:uid="{BD1C838A-363B-42B7-960F-2E47E4E51848}">
  <cacheSource type="worksheet">
    <worksheetSource name="Table110"/>
  </cacheSource>
  <cacheFields count="31">
    <cacheField name="Sector" numFmtId="0">
      <sharedItems containsBlank="1" count="5">
        <s v="Sector"/>
        <s v="Rural"/>
        <s v="Urban"/>
        <s v="Rural+Urban"/>
        <m/>
      </sharedItems>
    </cacheField>
    <cacheField name="Year" numFmtId="0">
      <sharedItems containsBlank="1" containsMixedTypes="1" containsNumber="1" containsInteger="1" minValue="2013" maxValue="2023" count="13">
        <s v="Year"/>
        <n v="2013"/>
        <n v="2014"/>
        <n v="2015"/>
        <n v="2016"/>
        <n v="2017"/>
        <n v="2018"/>
        <n v="2019"/>
        <n v="2020"/>
        <n v="2021"/>
        <n v="2022"/>
        <n v="2023"/>
        <m/>
      </sharedItems>
    </cacheField>
    <cacheField name="Month" numFmtId="0">
      <sharedItems containsBlank="1" count="14">
        <s v="Month"/>
        <s v="January"/>
        <s v="February"/>
        <s v="March"/>
        <s v="April"/>
        <s v="May"/>
        <s v="June"/>
        <s v="July"/>
        <s v="August"/>
        <s v="September"/>
        <s v="October"/>
        <s v="November"/>
        <s v="December"/>
        <m/>
      </sharedItems>
    </cacheField>
    <cacheField name="Cereals and products" numFmtId="0">
      <sharedItems containsBlank="1" containsMixedTypes="1" containsNumber="1" minValue="107.5" maxValue="174.8"/>
    </cacheField>
    <cacheField name="Meat and fish" numFmtId="0">
      <sharedItems containsBlank="1" containsMixedTypes="1" containsNumber="1" minValue="106.3" maxValue="223.4"/>
    </cacheField>
    <cacheField name="Egg" numFmtId="0">
      <sharedItems containsBlank="1" containsMixedTypes="1" containsNumber="1" minValue="102.7" maxValue="197"/>
    </cacheField>
    <cacheField name="Milk and products" numFmtId="0">
      <sharedItems containsBlank="1" containsMixedTypes="1" containsNumber="1" minValue="103.6" maxValue="179.6"/>
    </cacheField>
    <cacheField name="Oils and fats" numFmtId="0">
      <sharedItems containsBlank="1" containsMixedTypes="1" containsNumber="1" minValue="101.1" maxValue="209.9"/>
    </cacheField>
    <cacheField name="Fruits" numFmtId="0">
      <sharedItems containsBlank="1" containsMixedTypes="1" containsNumber="1" minValue="102.3" maxValue="179.5"/>
    </cacheField>
    <cacheField name="Vegetables" numFmtId="0">
      <sharedItems containsBlank="1" containsMixedTypes="1" containsNumber="1" minValue="101.4" maxValue="245.3"/>
    </cacheField>
    <cacheField name="Pulses and products" numFmtId="0">
      <sharedItems containsBlank="1" containsMixedTypes="1" containsNumber="1" minValue="103.5" maxValue="191.6"/>
    </cacheField>
    <cacheField name="Sugar and Confectionery" numFmtId="0">
      <sharedItems containsBlank="1" containsMixedTypes="1" containsNumber="1" minValue="85.3" maxValue="124.2"/>
    </cacheField>
    <cacheField name="Spices" numFmtId="0">
      <sharedItems containsBlank="1" containsMixedTypes="1" containsNumber="1" minValue="101.8" maxValue="221"/>
    </cacheField>
    <cacheField name="Non-alcoholic beverages" numFmtId="0">
      <sharedItems containsBlank="1" containsMixedTypes="1" containsNumber="1" minValue="104.8" maxValue="178.7"/>
    </cacheField>
    <cacheField name="Prepared meals, snacks, sweets etc." numFmtId="0">
      <sharedItems containsBlank="1" containsMixedTypes="1" containsNumber="1" minValue="106.7" maxValue="197.7"/>
    </cacheField>
    <cacheField name="Food and beverages2" numFmtId="0">
      <sharedItems containsBlank="1" containsMixedTypes="1" containsNumber="1" minValue="105.5" maxValue="183.3"/>
    </cacheField>
    <cacheField name="Pan, tobacco and intoxicants" numFmtId="0">
      <sharedItems containsBlank="1" containsMixedTypes="1" containsNumber="1" minValue="105.1" maxValue="204.2"/>
    </cacheField>
    <cacheField name="Clothing" numFmtId="0">
      <sharedItems containsBlank="1" containsMixedTypes="1" containsNumber="1" minValue="105.9" maxValue="191.2"/>
    </cacheField>
    <cacheField name="Footwear" numFmtId="0">
      <sharedItems containsBlank="1" containsMixedTypes="1" containsNumber="1" minValue="105" maxValue="187.9"/>
    </cacheField>
    <cacheField name="Clothing and footwear2" numFmtId="0">
      <sharedItems containsBlank="1" containsMixedTypes="1" containsNumber="1" minValue="105.8" maxValue="190.8"/>
    </cacheField>
    <cacheField name="Housing" numFmtId="0">
      <sharedItems containsBlank="1" containsMixedTypes="1" containsNumber="1" minValue="100.3" maxValue="175.6"/>
    </cacheField>
    <cacheField name="Fuel and light" numFmtId="0">
      <sharedItems containsBlank="1" containsMixedTypes="1" containsNumber="1" minValue="105.4" maxValue="183.4"/>
    </cacheField>
    <cacheField name="Household goods and services" numFmtId="0">
      <sharedItems containsBlank="1" containsMixedTypes="1" containsNumber="1" minValue="104.8" maxValue="179.8"/>
    </cacheField>
    <cacheField name="Health" numFmtId="0">
      <sharedItems containsBlank="1" containsMixedTypes="1" containsNumber="1" minValue="104" maxValue="187.8"/>
    </cacheField>
    <cacheField name="Transport and communication" numFmtId="0">
      <sharedItems containsBlank="1" containsMixedTypes="1" containsNumber="1" minValue="103.2" maxValue="169.7"/>
    </cacheField>
    <cacheField name="Recreation and amusement" numFmtId="0">
      <sharedItems containsBlank="1" containsMixedTypes="1" containsNumber="1" minValue="102.9" maxValue="173.8"/>
    </cacheField>
    <cacheField name="Education" numFmtId="0">
      <sharedItems containsBlank="1" containsMixedTypes="1" containsNumber="1" minValue="103.5" maxValue="180.3"/>
    </cacheField>
    <cacheField name="Personal care and effects" numFmtId="0">
      <sharedItems containsBlank="1" containsMixedTypes="1" containsNumber="1" minValue="102.1" maxValue="185.6"/>
    </cacheField>
    <cacheField name="Miscellaneous" numFmtId="0">
      <sharedItems containsBlank="1" containsMixedTypes="1" containsNumber="1" minValue="103.7" maxValue="179.5"/>
    </cacheField>
    <cacheField name="General index2" numFmtId="0">
      <sharedItems containsBlank="1" containsMixedTypes="1" containsNumber="1" minValue="104" maxValue="179.8"/>
    </cacheField>
    <cacheField name="duplicates check" numFmtId="0">
      <sharedItems containsMixedTypes="1"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x v="0"/>
    <x v="0"/>
    <x v="0"/>
    <x v="0"/>
    <x v="0"/>
    <x v="0"/>
    <x v="0"/>
    <n v="106.8"/>
    <n v="103.1"/>
    <n v="104.8"/>
    <n v="106.7"/>
    <n v="105.5"/>
    <n v="105.1"/>
    <n v="106.5"/>
    <n v="105.8"/>
    <n v="106.4"/>
    <x v="0"/>
    <n v="105.5"/>
    <n v="104.8"/>
    <n v="104"/>
    <n v="103.3"/>
    <n v="103.4"/>
    <n v="103.8"/>
    <n v="104.7"/>
    <n v="104"/>
    <n v="105.1"/>
    <n v="1"/>
  </r>
  <r>
    <x v="1"/>
    <x v="0"/>
    <x v="0"/>
    <x v="1"/>
    <x v="1"/>
    <x v="1"/>
    <x v="1"/>
    <x v="1"/>
    <x v="1"/>
    <x v="1"/>
    <x v="1"/>
    <n v="105.1"/>
    <n v="101.8"/>
    <n v="105.1"/>
    <n v="107.9"/>
    <n v="105.9"/>
    <n v="105.2"/>
    <n v="105.9"/>
    <n v="105"/>
    <n v="105.8"/>
    <x v="1"/>
    <n v="105.4"/>
    <n v="104.8"/>
    <n v="104.1"/>
    <n v="103.2"/>
    <n v="102.9"/>
    <n v="103.5"/>
    <n v="104.3"/>
    <n v="103.7"/>
    <n v="104"/>
    <n v="1"/>
  </r>
  <r>
    <x v="2"/>
    <x v="0"/>
    <x v="0"/>
    <x v="2"/>
    <x v="2"/>
    <x v="2"/>
    <x v="2"/>
    <x v="2"/>
    <x v="2"/>
    <x v="2"/>
    <x v="2"/>
    <n v="106.2"/>
    <n v="102.7"/>
    <n v="104.9"/>
    <n v="107.3"/>
    <n v="105.6"/>
    <n v="105.1"/>
    <n v="106.3"/>
    <n v="105.5"/>
    <n v="106.2"/>
    <x v="1"/>
    <n v="105.5"/>
    <n v="104.8"/>
    <n v="104"/>
    <n v="103.2"/>
    <n v="103.1"/>
    <n v="103.6"/>
    <n v="104.5"/>
    <n v="103.9"/>
    <n v="104.6"/>
    <n v="1"/>
  </r>
  <r>
    <x v="0"/>
    <x v="0"/>
    <x v="1"/>
    <x v="3"/>
    <x v="3"/>
    <x v="3"/>
    <x v="3"/>
    <x v="3"/>
    <x v="3"/>
    <x v="3"/>
    <x v="3"/>
    <n v="105.7"/>
    <n v="103.1"/>
    <n v="105.1"/>
    <n v="107.7"/>
    <n v="106.3"/>
    <n v="105.6"/>
    <n v="107.1"/>
    <n v="106.3"/>
    <n v="107"/>
    <x v="0"/>
    <n v="106.2"/>
    <n v="105.2"/>
    <n v="104.4"/>
    <n v="103.9"/>
    <n v="104"/>
    <n v="104.1"/>
    <n v="104.6"/>
    <n v="104.4"/>
    <n v="105.8"/>
    <n v="1"/>
  </r>
  <r>
    <x v="1"/>
    <x v="0"/>
    <x v="1"/>
    <x v="4"/>
    <x v="4"/>
    <x v="4"/>
    <x v="4"/>
    <x v="4"/>
    <x v="4"/>
    <x v="4"/>
    <x v="4"/>
    <n v="103.8"/>
    <n v="102.3"/>
    <n v="106"/>
    <n v="109"/>
    <n v="107.2"/>
    <n v="106"/>
    <n v="106.6"/>
    <n v="105.5"/>
    <n v="106.4"/>
    <x v="2"/>
    <n v="105.7"/>
    <n v="105.2"/>
    <n v="104.7"/>
    <n v="104.4"/>
    <n v="103.3"/>
    <n v="103.7"/>
    <n v="104.3"/>
    <n v="104.3"/>
    <n v="104.7"/>
    <n v="1"/>
  </r>
  <r>
    <x v="2"/>
    <x v="0"/>
    <x v="1"/>
    <x v="5"/>
    <x v="5"/>
    <x v="5"/>
    <x v="0"/>
    <x v="5"/>
    <x v="5"/>
    <x v="5"/>
    <x v="5"/>
    <n v="105.1"/>
    <n v="102.8"/>
    <n v="105.5"/>
    <n v="108.3"/>
    <n v="106.6"/>
    <n v="105.7"/>
    <n v="106.9"/>
    <n v="106"/>
    <n v="106.8"/>
    <x v="2"/>
    <n v="106"/>
    <n v="105.2"/>
    <n v="104.5"/>
    <n v="104.2"/>
    <n v="103.6"/>
    <n v="103.9"/>
    <n v="104.5"/>
    <n v="104.4"/>
    <n v="105.3"/>
    <n v="1"/>
  </r>
  <r>
    <x v="0"/>
    <x v="0"/>
    <x v="2"/>
    <x v="6"/>
    <x v="6"/>
    <x v="6"/>
    <x v="5"/>
    <x v="6"/>
    <x v="6"/>
    <x v="6"/>
    <x v="6"/>
    <n v="105"/>
    <n v="103.3"/>
    <n v="105.6"/>
    <n v="108.2"/>
    <n v="106.6"/>
    <n v="106.5"/>
    <n v="107.6"/>
    <n v="106.8"/>
    <n v="107.5"/>
    <x v="0"/>
    <n v="106.1"/>
    <n v="105.6"/>
    <n v="104.7"/>
    <n v="104.6"/>
    <n v="104"/>
    <n v="104.3"/>
    <n v="104.3"/>
    <n v="104.6"/>
    <n v="106"/>
    <n v="1"/>
  </r>
  <r>
    <x v="1"/>
    <x v="0"/>
    <x v="2"/>
    <x v="7"/>
    <x v="7"/>
    <x v="7"/>
    <x v="6"/>
    <x v="7"/>
    <x v="7"/>
    <x v="7"/>
    <x v="7"/>
    <n v="102.6"/>
    <n v="102.4"/>
    <n v="107"/>
    <n v="109.8"/>
    <n v="107.3"/>
    <n v="106.8"/>
    <n v="107.2"/>
    <n v="106"/>
    <n v="107"/>
    <x v="2"/>
    <n v="106"/>
    <n v="105.7"/>
    <n v="105.2"/>
    <n v="105.5"/>
    <n v="103.5"/>
    <n v="103.8"/>
    <n v="104.2"/>
    <n v="104.9"/>
    <n v="105"/>
    <n v="1"/>
  </r>
  <r>
    <x v="2"/>
    <x v="0"/>
    <x v="2"/>
    <x v="8"/>
    <x v="8"/>
    <x v="8"/>
    <x v="7"/>
    <x v="8"/>
    <x v="8"/>
    <x v="2"/>
    <x v="8"/>
    <n v="104.2"/>
    <n v="103"/>
    <n v="106.2"/>
    <n v="108.9"/>
    <n v="106.9"/>
    <n v="106.6"/>
    <n v="107.4"/>
    <n v="106.5"/>
    <n v="107.3"/>
    <x v="2"/>
    <n v="106.1"/>
    <n v="105.6"/>
    <n v="104.9"/>
    <n v="105.1"/>
    <n v="103.7"/>
    <n v="104"/>
    <n v="104.3"/>
    <n v="104.7"/>
    <n v="105.5"/>
    <n v="1"/>
  </r>
  <r>
    <x v="0"/>
    <x v="0"/>
    <x v="3"/>
    <x v="6"/>
    <x v="9"/>
    <x v="9"/>
    <x v="8"/>
    <x v="9"/>
    <x v="9"/>
    <x v="8"/>
    <x v="6"/>
    <n v="104.2"/>
    <n v="103.2"/>
    <n v="106.5"/>
    <n v="108.8"/>
    <n v="107.1"/>
    <n v="107.1"/>
    <n v="108.1"/>
    <n v="107.4"/>
    <n v="108"/>
    <x v="0"/>
    <n v="106.5"/>
    <n v="106.1"/>
    <n v="105.1"/>
    <n v="104.4"/>
    <n v="104.5"/>
    <n v="104.8"/>
    <n v="102.7"/>
    <n v="104.6"/>
    <n v="106.4"/>
    <n v="1"/>
  </r>
  <r>
    <x v="1"/>
    <x v="0"/>
    <x v="3"/>
    <x v="9"/>
    <x v="10"/>
    <x v="10"/>
    <x v="9"/>
    <x v="10"/>
    <x v="10"/>
    <x v="9"/>
    <x v="9"/>
    <n v="102"/>
    <n v="103.5"/>
    <n v="108.2"/>
    <n v="110.6"/>
    <n v="108.8"/>
    <n v="108.5"/>
    <n v="107.9"/>
    <n v="106.4"/>
    <n v="107.7"/>
    <x v="3"/>
    <n v="106.4"/>
    <n v="106.5"/>
    <n v="105.7"/>
    <n v="105"/>
    <n v="104"/>
    <n v="105.2"/>
    <n v="103.2"/>
    <n v="105.1"/>
    <n v="105.7"/>
    <n v="1"/>
  </r>
  <r>
    <x v="2"/>
    <x v="0"/>
    <x v="3"/>
    <x v="10"/>
    <x v="11"/>
    <x v="11"/>
    <x v="10"/>
    <x v="11"/>
    <x v="11"/>
    <x v="10"/>
    <x v="5"/>
    <n v="103.5"/>
    <n v="103.3"/>
    <n v="107.2"/>
    <n v="109.6"/>
    <n v="107.7"/>
    <n v="107.5"/>
    <n v="108"/>
    <n v="107"/>
    <n v="107.9"/>
    <x v="3"/>
    <n v="106.5"/>
    <n v="106.3"/>
    <n v="105.3"/>
    <n v="104.7"/>
    <n v="104.2"/>
    <n v="105"/>
    <n v="102.9"/>
    <n v="104.8"/>
    <n v="106.1"/>
    <n v="1"/>
  </r>
  <r>
    <x v="0"/>
    <x v="0"/>
    <x v="4"/>
    <x v="11"/>
    <x v="12"/>
    <x v="12"/>
    <x v="11"/>
    <x v="12"/>
    <x v="12"/>
    <x v="11"/>
    <x v="0"/>
    <n v="103.7"/>
    <n v="104"/>
    <n v="107.4"/>
    <n v="109.9"/>
    <n v="108.1"/>
    <n v="108.1"/>
    <n v="108.8"/>
    <n v="107.9"/>
    <n v="108.6"/>
    <x v="0"/>
    <n v="107.5"/>
    <n v="106.8"/>
    <n v="105.7"/>
    <n v="104.1"/>
    <n v="105"/>
    <n v="105.5"/>
    <n v="102.1"/>
    <n v="104.8"/>
    <n v="107.2"/>
    <n v="1"/>
  </r>
  <r>
    <x v="1"/>
    <x v="0"/>
    <x v="4"/>
    <x v="12"/>
    <x v="13"/>
    <x v="13"/>
    <x v="12"/>
    <x v="13"/>
    <x v="13"/>
    <x v="12"/>
    <x v="10"/>
    <n v="101.9"/>
    <n v="105"/>
    <n v="109.1"/>
    <n v="111.3"/>
    <n v="111.1"/>
    <n v="109.8"/>
    <n v="108.5"/>
    <n v="106.7"/>
    <n v="108.3"/>
    <x v="3"/>
    <n v="107.2"/>
    <n v="107.1"/>
    <n v="106.2"/>
    <n v="103.9"/>
    <n v="104.6"/>
    <n v="105.7"/>
    <n v="102.6"/>
    <n v="104.9"/>
    <n v="106.6"/>
    <n v="1"/>
  </r>
  <r>
    <x v="2"/>
    <x v="0"/>
    <x v="4"/>
    <x v="13"/>
    <x v="14"/>
    <x v="14"/>
    <x v="13"/>
    <x v="14"/>
    <x v="14"/>
    <x v="13"/>
    <x v="1"/>
    <n v="103.1"/>
    <n v="104.3"/>
    <n v="108.1"/>
    <n v="110.5"/>
    <n v="109.2"/>
    <n v="108.6"/>
    <n v="108.7"/>
    <n v="107.4"/>
    <n v="108.5"/>
    <x v="3"/>
    <n v="107.4"/>
    <n v="106.9"/>
    <n v="105.9"/>
    <n v="104"/>
    <n v="104.8"/>
    <n v="105.6"/>
    <n v="102.3"/>
    <n v="104.8"/>
    <n v="106.9"/>
    <n v="1"/>
  </r>
  <r>
    <x v="0"/>
    <x v="0"/>
    <x v="5"/>
    <x v="13"/>
    <x v="15"/>
    <x v="0"/>
    <x v="14"/>
    <x v="15"/>
    <x v="15"/>
    <x v="14"/>
    <x v="11"/>
    <n v="104.1"/>
    <n v="105.4"/>
    <n v="108.2"/>
    <n v="111"/>
    <n v="110.6"/>
    <n v="109"/>
    <n v="109.7"/>
    <n v="108.8"/>
    <n v="109.5"/>
    <x v="0"/>
    <n v="108.5"/>
    <n v="107.5"/>
    <n v="106.3"/>
    <n v="105"/>
    <n v="105.6"/>
    <n v="106.5"/>
    <n v="102.5"/>
    <n v="105.5"/>
    <n v="108.9"/>
    <n v="1"/>
  </r>
  <r>
    <x v="1"/>
    <x v="0"/>
    <x v="5"/>
    <x v="14"/>
    <x v="16"/>
    <x v="15"/>
    <x v="15"/>
    <x v="16"/>
    <x v="16"/>
    <x v="15"/>
    <x v="12"/>
    <n v="101.4"/>
    <n v="106.4"/>
    <n v="110"/>
    <n v="112.2"/>
    <n v="115"/>
    <n v="110.9"/>
    <n v="109.2"/>
    <n v="107.2"/>
    <n v="108.9"/>
    <x v="4"/>
    <n v="108"/>
    <n v="107.7"/>
    <n v="106.5"/>
    <n v="105.2"/>
    <n v="105.2"/>
    <n v="108.1"/>
    <n v="103.3"/>
    <n v="106.1"/>
    <n v="109.7"/>
    <n v="1"/>
  </r>
  <r>
    <x v="2"/>
    <x v="0"/>
    <x v="5"/>
    <x v="15"/>
    <x v="17"/>
    <x v="16"/>
    <x v="16"/>
    <x v="17"/>
    <x v="17"/>
    <x v="16"/>
    <x v="13"/>
    <n v="103.2"/>
    <n v="105.7"/>
    <n v="109"/>
    <n v="111.6"/>
    <n v="112.2"/>
    <n v="109.5"/>
    <n v="109.5"/>
    <n v="108.1"/>
    <n v="109.3"/>
    <x v="4"/>
    <n v="108.3"/>
    <n v="107.6"/>
    <n v="106.4"/>
    <n v="105.1"/>
    <n v="105.4"/>
    <n v="107.4"/>
    <n v="102.8"/>
    <n v="105.8"/>
    <n v="109.3"/>
    <n v="1"/>
  </r>
  <r>
    <x v="0"/>
    <x v="0"/>
    <x v="6"/>
    <x v="16"/>
    <x v="17"/>
    <x v="17"/>
    <x v="17"/>
    <x v="6"/>
    <x v="18"/>
    <x v="17"/>
    <x v="14"/>
    <n v="104.3"/>
    <n v="106.4"/>
    <n v="109.1"/>
    <n v="112.1"/>
    <n v="113.1"/>
    <n v="109.8"/>
    <n v="110.5"/>
    <n v="109.5"/>
    <n v="110.3"/>
    <x v="0"/>
    <n v="109.5"/>
    <n v="108.3"/>
    <n v="106.9"/>
    <n v="106.8"/>
    <n v="106.4"/>
    <n v="107.8"/>
    <n v="102.5"/>
    <n v="106.5"/>
    <n v="110.7"/>
    <n v="1"/>
  </r>
  <r>
    <x v="1"/>
    <x v="0"/>
    <x v="6"/>
    <x v="17"/>
    <x v="18"/>
    <x v="18"/>
    <x v="14"/>
    <x v="18"/>
    <x v="19"/>
    <x v="18"/>
    <x v="15"/>
    <n v="101.3"/>
    <n v="107.5"/>
    <n v="110.4"/>
    <n v="113.1"/>
    <n v="117.5"/>
    <n v="111.7"/>
    <n v="109.8"/>
    <n v="107.8"/>
    <n v="109.5"/>
    <x v="5"/>
    <n v="108.6"/>
    <n v="108.1"/>
    <n v="107.1"/>
    <n v="107.3"/>
    <n v="105.9"/>
    <n v="110.1"/>
    <n v="103.2"/>
    <n v="107.3"/>
    <n v="111.4"/>
    <n v="1"/>
  </r>
  <r>
    <x v="2"/>
    <x v="0"/>
    <x v="6"/>
    <x v="18"/>
    <x v="19"/>
    <x v="19"/>
    <x v="18"/>
    <x v="19"/>
    <x v="20"/>
    <x v="19"/>
    <x v="16"/>
    <n v="103.3"/>
    <n v="106.8"/>
    <n v="109.6"/>
    <n v="112.6"/>
    <n v="114.7"/>
    <n v="110.3"/>
    <n v="110.2"/>
    <n v="108.8"/>
    <n v="110"/>
    <x v="5"/>
    <n v="109.2"/>
    <n v="108.2"/>
    <n v="107"/>
    <n v="107.1"/>
    <n v="106.1"/>
    <n v="109.1"/>
    <n v="102.8"/>
    <n v="106.9"/>
    <n v="111"/>
    <n v="1"/>
  </r>
  <r>
    <x v="0"/>
    <x v="0"/>
    <x v="7"/>
    <x v="19"/>
    <x v="20"/>
    <x v="20"/>
    <x v="19"/>
    <x v="20"/>
    <x v="21"/>
    <x v="20"/>
    <x v="17"/>
    <n v="104.1"/>
    <n v="106.9"/>
    <n v="109.7"/>
    <n v="112.6"/>
    <n v="114.9"/>
    <n v="110.7"/>
    <n v="111.3"/>
    <n v="110.2"/>
    <n v="111.1"/>
    <x v="0"/>
    <n v="109.9"/>
    <n v="108.7"/>
    <n v="107.5"/>
    <n v="107.8"/>
    <n v="106.8"/>
    <n v="108.7"/>
    <n v="105"/>
    <n v="107.5"/>
    <n v="112.1"/>
    <n v="1"/>
  </r>
  <r>
    <x v="1"/>
    <x v="0"/>
    <x v="7"/>
    <x v="20"/>
    <x v="21"/>
    <x v="21"/>
    <x v="18"/>
    <x v="18"/>
    <x v="22"/>
    <x v="21"/>
    <x v="18"/>
    <n v="101"/>
    <n v="108.5"/>
    <n v="110.9"/>
    <n v="114.3"/>
    <n v="119.6"/>
    <n v="112.4"/>
    <n v="110.6"/>
    <n v="108.3"/>
    <n v="110.2"/>
    <x v="6"/>
    <n v="109.3"/>
    <n v="108.7"/>
    <n v="107.6"/>
    <n v="108.1"/>
    <n v="106.5"/>
    <n v="110.8"/>
    <n v="106"/>
    <n v="108.3"/>
    <n v="112.7"/>
    <n v="1"/>
  </r>
  <r>
    <x v="2"/>
    <x v="0"/>
    <x v="7"/>
    <x v="21"/>
    <x v="22"/>
    <x v="22"/>
    <x v="20"/>
    <x v="21"/>
    <x v="23"/>
    <x v="22"/>
    <x v="19"/>
    <n v="103.1"/>
    <n v="107.4"/>
    <n v="110.2"/>
    <n v="113.4"/>
    <n v="116.6"/>
    <n v="111.2"/>
    <n v="111"/>
    <n v="109.4"/>
    <n v="110.7"/>
    <x v="6"/>
    <n v="109.7"/>
    <n v="108.7"/>
    <n v="107.5"/>
    <n v="108"/>
    <n v="106.6"/>
    <n v="109.9"/>
    <n v="105.4"/>
    <n v="107.9"/>
    <n v="112.4"/>
    <n v="1"/>
  </r>
  <r>
    <x v="0"/>
    <x v="0"/>
    <x v="8"/>
    <x v="12"/>
    <x v="23"/>
    <x v="22"/>
    <x v="21"/>
    <x v="22"/>
    <x v="24"/>
    <x v="23"/>
    <x v="20"/>
    <n v="104.2"/>
    <n v="107.9"/>
    <n v="110.4"/>
    <n v="114"/>
    <n v="117.8"/>
    <n v="111.7"/>
    <n v="112.7"/>
    <n v="111.4"/>
    <n v="112.5"/>
    <x v="0"/>
    <n v="111.1"/>
    <n v="109.6"/>
    <n v="108.3"/>
    <n v="109.3"/>
    <n v="107.7"/>
    <n v="109.8"/>
    <n v="106.7"/>
    <n v="108.7"/>
    <n v="114.2"/>
    <n v="1"/>
  </r>
  <r>
    <x v="1"/>
    <x v="0"/>
    <x v="8"/>
    <x v="22"/>
    <x v="24"/>
    <x v="7"/>
    <x v="20"/>
    <x v="23"/>
    <x v="2"/>
    <x v="24"/>
    <x v="15"/>
    <n v="100.8"/>
    <n v="109.1"/>
    <n v="111.1"/>
    <n v="115.4"/>
    <n v="119.2"/>
    <n v="112.9"/>
    <n v="111.4"/>
    <n v="109"/>
    <n v="111.1"/>
    <x v="7"/>
    <n v="109.5"/>
    <n v="109.6"/>
    <n v="107.9"/>
    <n v="110.4"/>
    <n v="107.4"/>
    <n v="111.2"/>
    <n v="106.9"/>
    <n v="109.4"/>
    <n v="113.2"/>
    <n v="1"/>
  </r>
  <r>
    <x v="2"/>
    <x v="0"/>
    <x v="8"/>
    <x v="23"/>
    <x v="25"/>
    <x v="23"/>
    <x v="22"/>
    <x v="12"/>
    <x v="25"/>
    <x v="18"/>
    <x v="14"/>
    <n v="103.1"/>
    <n v="108.3"/>
    <n v="110.7"/>
    <n v="114.6"/>
    <n v="118.3"/>
    <n v="112"/>
    <n v="112.2"/>
    <n v="110.4"/>
    <n v="111.9"/>
    <x v="7"/>
    <n v="110.5"/>
    <n v="109.6"/>
    <n v="108.1"/>
    <n v="109.9"/>
    <n v="107.5"/>
    <n v="110.6"/>
    <n v="106.8"/>
    <n v="109"/>
    <n v="113.7"/>
    <n v="1"/>
  </r>
  <r>
    <x v="0"/>
    <x v="0"/>
    <x v="9"/>
    <x v="24"/>
    <x v="20"/>
    <x v="24"/>
    <x v="23"/>
    <x v="24"/>
    <x v="19"/>
    <x v="25"/>
    <x v="21"/>
    <n v="103.9"/>
    <n v="108.2"/>
    <n v="111.1"/>
    <n v="114.9"/>
    <n v="119.8"/>
    <n v="112.2"/>
    <n v="113.6"/>
    <n v="112.3"/>
    <n v="113.4"/>
    <x v="0"/>
    <n v="111.6"/>
    <n v="110.4"/>
    <n v="108.9"/>
    <n v="109.3"/>
    <n v="108.3"/>
    <n v="110.2"/>
    <n v="107.5"/>
    <n v="109.1"/>
    <n v="115.5"/>
    <n v="1"/>
  </r>
  <r>
    <x v="1"/>
    <x v="0"/>
    <x v="9"/>
    <x v="25"/>
    <x v="26"/>
    <x v="25"/>
    <x v="24"/>
    <x v="25"/>
    <x v="26"/>
    <x v="26"/>
    <x v="5"/>
    <n v="100.2"/>
    <n v="109.6"/>
    <n v="111.4"/>
    <n v="116"/>
    <n v="120.8"/>
    <n v="113.5"/>
    <n v="112.5"/>
    <n v="109.7"/>
    <n v="112"/>
    <x v="8"/>
    <n v="109.7"/>
    <n v="110.2"/>
    <n v="108.2"/>
    <n v="109.7"/>
    <n v="108"/>
    <n v="111.3"/>
    <n v="107.3"/>
    <n v="109.4"/>
    <n v="114"/>
    <n v="1"/>
  </r>
  <r>
    <x v="2"/>
    <x v="0"/>
    <x v="9"/>
    <x v="26"/>
    <x v="27"/>
    <x v="26"/>
    <x v="25"/>
    <x v="9"/>
    <x v="27"/>
    <x v="27"/>
    <x v="22"/>
    <n v="102.7"/>
    <n v="108.7"/>
    <n v="111.2"/>
    <n v="115.4"/>
    <n v="120.2"/>
    <n v="112.5"/>
    <n v="113.2"/>
    <n v="111.2"/>
    <n v="112.8"/>
    <x v="8"/>
    <n v="110.9"/>
    <n v="110.3"/>
    <n v="108.6"/>
    <n v="109.5"/>
    <n v="108.1"/>
    <n v="110.8"/>
    <n v="107.4"/>
    <n v="109.2"/>
    <n v="114.8"/>
    <n v="1"/>
  </r>
  <r>
    <x v="0"/>
    <x v="0"/>
    <x v="10"/>
    <x v="27"/>
    <x v="17"/>
    <x v="27"/>
    <x v="26"/>
    <x v="26"/>
    <x v="28"/>
    <x v="28"/>
    <x v="23"/>
    <n v="103.6"/>
    <n v="109"/>
    <n v="111.8"/>
    <n v="116"/>
    <n v="122.5"/>
    <n v="112.8"/>
    <n v="114.6"/>
    <n v="113.1"/>
    <n v="114.4"/>
    <x v="0"/>
    <n v="112.6"/>
    <n v="111.3"/>
    <n v="109.7"/>
    <n v="109.6"/>
    <n v="108.7"/>
    <n v="111"/>
    <n v="108.2"/>
    <n v="109.8"/>
    <n v="117.4"/>
    <n v="1"/>
  </r>
  <r>
    <x v="1"/>
    <x v="0"/>
    <x v="10"/>
    <x v="28"/>
    <x v="27"/>
    <x v="28"/>
    <x v="27"/>
    <x v="27"/>
    <x v="29"/>
    <x v="29"/>
    <x v="13"/>
    <n v="99.5"/>
    <n v="110.3"/>
    <n v="111.8"/>
    <n v="117.1"/>
    <n v="122.9"/>
    <n v="114.1"/>
    <n v="113.5"/>
    <n v="110.3"/>
    <n v="113"/>
    <x v="9"/>
    <n v="110"/>
    <n v="110.9"/>
    <n v="108.6"/>
    <n v="109.5"/>
    <n v="108.5"/>
    <n v="111.3"/>
    <n v="107.9"/>
    <n v="109.6"/>
    <n v="115"/>
    <n v="1"/>
  </r>
  <r>
    <x v="2"/>
    <x v="0"/>
    <x v="10"/>
    <x v="29"/>
    <x v="20"/>
    <x v="29"/>
    <x v="28"/>
    <x v="28"/>
    <x v="30"/>
    <x v="30"/>
    <x v="24"/>
    <n v="102.2"/>
    <n v="109.4"/>
    <n v="111.8"/>
    <n v="116.5"/>
    <n v="122.6"/>
    <n v="113.1"/>
    <n v="114.2"/>
    <n v="111.9"/>
    <n v="113.8"/>
    <x v="9"/>
    <n v="111.6"/>
    <n v="111.1"/>
    <n v="109.3"/>
    <n v="109.5"/>
    <n v="108.6"/>
    <n v="111.2"/>
    <n v="108.1"/>
    <n v="109.7"/>
    <n v="116.3"/>
    <n v="1"/>
  </r>
  <r>
    <x v="0"/>
    <x v="0"/>
    <x v="11"/>
    <x v="30"/>
    <x v="28"/>
    <x v="30"/>
    <x v="29"/>
    <x v="29"/>
    <x v="31"/>
    <x v="31"/>
    <x v="25"/>
    <n v="102.9"/>
    <n v="109.8"/>
    <n v="112.1"/>
    <n v="116.8"/>
    <n v="118.7"/>
    <n v="113.6"/>
    <n v="115.8"/>
    <n v="114"/>
    <n v="115.5"/>
    <x v="0"/>
    <n v="112.8"/>
    <n v="112.1"/>
    <n v="110.1"/>
    <n v="109.9"/>
    <n v="109.2"/>
    <n v="111.6"/>
    <n v="108.1"/>
    <n v="110.1"/>
    <n v="115.5"/>
    <n v="1"/>
  </r>
  <r>
    <x v="1"/>
    <x v="0"/>
    <x v="11"/>
    <x v="31"/>
    <x v="26"/>
    <x v="31"/>
    <x v="26"/>
    <x v="1"/>
    <x v="17"/>
    <x v="32"/>
    <x v="14"/>
    <n v="98.6"/>
    <n v="111.9"/>
    <n v="112.1"/>
    <n v="118.1"/>
    <n v="117.8"/>
    <n v="115"/>
    <n v="114.2"/>
    <n v="110.9"/>
    <n v="113.7"/>
    <x v="10"/>
    <n v="110.4"/>
    <n v="111.3"/>
    <n v="109"/>
    <n v="109.7"/>
    <n v="108.9"/>
    <n v="111.4"/>
    <n v="107.7"/>
    <n v="109.8"/>
    <n v="113.3"/>
    <n v="1"/>
  </r>
  <r>
    <x v="2"/>
    <x v="0"/>
    <x v="11"/>
    <x v="32"/>
    <x v="29"/>
    <x v="32"/>
    <x v="30"/>
    <x v="30"/>
    <x v="32"/>
    <x v="33"/>
    <x v="26"/>
    <n v="101.5"/>
    <n v="110.5"/>
    <n v="112.1"/>
    <n v="117.4"/>
    <n v="118.4"/>
    <n v="114"/>
    <n v="115.2"/>
    <n v="112.7"/>
    <n v="114.8"/>
    <x v="10"/>
    <n v="111.9"/>
    <n v="111.7"/>
    <n v="109.7"/>
    <n v="109.8"/>
    <n v="109"/>
    <n v="111.5"/>
    <n v="107.9"/>
    <n v="110"/>
    <n v="114.5"/>
    <n v="1"/>
  </r>
  <r>
    <x v="0"/>
    <x v="1"/>
    <x v="0"/>
    <x v="25"/>
    <x v="30"/>
    <x v="33"/>
    <x v="31"/>
    <x v="31"/>
    <x v="31"/>
    <x v="34"/>
    <x v="27"/>
    <n v="101.8"/>
    <n v="110.2"/>
    <n v="112.4"/>
    <n v="117.3"/>
    <n v="116"/>
    <n v="114"/>
    <n v="116.5"/>
    <n v="114.5"/>
    <n v="116.2"/>
    <x v="0"/>
    <n v="113"/>
    <n v="112.6"/>
    <n v="110.6"/>
    <n v="110.5"/>
    <n v="109.6"/>
    <n v="111.8"/>
    <n v="108.3"/>
    <n v="110.6"/>
    <n v="114.2"/>
    <n v="1"/>
  </r>
  <r>
    <x v="1"/>
    <x v="1"/>
    <x v="0"/>
    <x v="33"/>
    <x v="31"/>
    <x v="34"/>
    <x v="32"/>
    <x v="32"/>
    <x v="33"/>
    <x v="35"/>
    <x v="28"/>
    <n v="96.9"/>
    <n v="112.7"/>
    <n v="112.1"/>
    <n v="119"/>
    <n v="115.5"/>
    <n v="115.7"/>
    <n v="114.8"/>
    <n v="111.3"/>
    <n v="114.3"/>
    <x v="11"/>
    <n v="111"/>
    <n v="111.9"/>
    <n v="109.7"/>
    <n v="110.8"/>
    <n v="109.8"/>
    <n v="111.5"/>
    <n v="108"/>
    <n v="110.5"/>
    <n v="112.9"/>
    <n v="1"/>
  </r>
  <r>
    <x v="2"/>
    <x v="1"/>
    <x v="0"/>
    <x v="34"/>
    <x v="32"/>
    <x v="35"/>
    <x v="33"/>
    <x v="28"/>
    <x v="34"/>
    <x v="36"/>
    <x v="29"/>
    <n v="100.2"/>
    <n v="111"/>
    <n v="112.3"/>
    <n v="118.1"/>
    <n v="115.8"/>
    <n v="114.5"/>
    <n v="115.8"/>
    <n v="113.2"/>
    <n v="115.4"/>
    <x v="11"/>
    <n v="112.2"/>
    <n v="112.3"/>
    <n v="110.3"/>
    <n v="110.7"/>
    <n v="109.7"/>
    <n v="111.6"/>
    <n v="108.2"/>
    <n v="110.6"/>
    <n v="113.6"/>
    <n v="1"/>
  </r>
  <r>
    <x v="0"/>
    <x v="1"/>
    <x v="1"/>
    <x v="35"/>
    <x v="33"/>
    <x v="36"/>
    <x v="34"/>
    <x v="31"/>
    <x v="28"/>
    <x v="37"/>
    <x v="30"/>
    <n v="101.1"/>
    <n v="110.4"/>
    <n v="112.9"/>
    <n v="117.8"/>
    <n v="115.3"/>
    <n v="114.2"/>
    <n v="117.1"/>
    <n v="114.5"/>
    <n v="116.7"/>
    <x v="0"/>
    <n v="113.2"/>
    <n v="112.9"/>
    <n v="110.9"/>
    <n v="110.8"/>
    <n v="109.9"/>
    <n v="112"/>
    <n v="108.7"/>
    <n v="110.9"/>
    <n v="114"/>
    <n v="1"/>
  </r>
  <r>
    <x v="1"/>
    <x v="1"/>
    <x v="1"/>
    <x v="36"/>
    <x v="31"/>
    <x v="37"/>
    <x v="35"/>
    <x v="33"/>
    <x v="35"/>
    <x v="38"/>
    <x v="24"/>
    <n v="95.4"/>
    <n v="113.5"/>
    <n v="112.1"/>
    <n v="119.9"/>
    <n v="115.2"/>
    <n v="116.2"/>
    <n v="115.3"/>
    <n v="111.7"/>
    <n v="114.7"/>
    <x v="12"/>
    <n v="111.1"/>
    <n v="112.6"/>
    <n v="110.4"/>
    <n v="111.3"/>
    <n v="110.3"/>
    <n v="111.6"/>
    <n v="108.7"/>
    <n v="111"/>
    <n v="113.1"/>
    <n v="1"/>
  </r>
  <r>
    <x v="2"/>
    <x v="1"/>
    <x v="1"/>
    <x v="37"/>
    <x v="18"/>
    <x v="38"/>
    <x v="36"/>
    <x v="34"/>
    <x v="36"/>
    <x v="39"/>
    <x v="31"/>
    <n v="99.2"/>
    <n v="111.4"/>
    <n v="112.6"/>
    <n v="118.8"/>
    <n v="115.3"/>
    <n v="114.7"/>
    <n v="116.4"/>
    <n v="113.3"/>
    <n v="115.9"/>
    <x v="12"/>
    <n v="112.4"/>
    <n v="112.8"/>
    <n v="110.7"/>
    <n v="111.1"/>
    <n v="110.1"/>
    <n v="111.8"/>
    <n v="108.7"/>
    <n v="110.9"/>
    <n v="113.6"/>
    <n v="1"/>
  </r>
  <r>
    <x v="0"/>
    <x v="1"/>
    <x v="2"/>
    <x v="38"/>
    <x v="26"/>
    <x v="39"/>
    <x v="37"/>
    <x v="35"/>
    <x v="37"/>
    <x v="40"/>
    <x v="32"/>
    <n v="101.2"/>
    <n v="110.7"/>
    <n v="113"/>
    <n v="118.3"/>
    <n v="116.2"/>
    <n v="114.6"/>
    <n v="117.5"/>
    <n v="114.9"/>
    <n v="117.2"/>
    <x v="0"/>
    <n v="113.4"/>
    <n v="113.4"/>
    <n v="111.4"/>
    <n v="111.2"/>
    <n v="110.2"/>
    <n v="112.4"/>
    <n v="108.9"/>
    <n v="111.3"/>
    <n v="114.6"/>
    <n v="1"/>
  </r>
  <r>
    <x v="1"/>
    <x v="1"/>
    <x v="2"/>
    <x v="39"/>
    <x v="34"/>
    <x v="40"/>
    <x v="38"/>
    <x v="36"/>
    <x v="38"/>
    <x v="41"/>
    <x v="29"/>
    <n v="96.3"/>
    <n v="114.1"/>
    <n v="112.2"/>
    <n v="120.5"/>
    <n v="116"/>
    <n v="116.7"/>
    <n v="115.8"/>
    <n v="112.1"/>
    <n v="115.2"/>
    <x v="13"/>
    <n v="110.9"/>
    <n v="113"/>
    <n v="110.8"/>
    <n v="111.6"/>
    <n v="110.9"/>
    <n v="111.8"/>
    <n v="109.2"/>
    <n v="111.4"/>
    <n v="113.7"/>
    <n v="1"/>
  </r>
  <r>
    <x v="2"/>
    <x v="1"/>
    <x v="2"/>
    <x v="40"/>
    <x v="35"/>
    <x v="41"/>
    <x v="37"/>
    <x v="37"/>
    <x v="39"/>
    <x v="42"/>
    <x v="30"/>
    <n v="99.6"/>
    <n v="111.8"/>
    <n v="112.7"/>
    <n v="119.3"/>
    <n v="116.1"/>
    <n v="115.2"/>
    <n v="116.8"/>
    <n v="113.7"/>
    <n v="116.4"/>
    <x v="13"/>
    <n v="112.5"/>
    <n v="113.2"/>
    <n v="111.2"/>
    <n v="111.4"/>
    <n v="110.6"/>
    <n v="112"/>
    <n v="109"/>
    <n v="111.3"/>
    <n v="114.2"/>
    <n v="1"/>
  </r>
  <r>
    <x v="0"/>
    <x v="1"/>
    <x v="3"/>
    <x v="37"/>
    <x v="36"/>
    <x v="42"/>
    <x v="39"/>
    <x v="38"/>
    <x v="40"/>
    <x v="43"/>
    <x v="33"/>
    <n v="102.6"/>
    <n v="111.2"/>
    <n v="113.5"/>
    <n v="118.7"/>
    <n v="117.2"/>
    <n v="115.4"/>
    <n v="118.1"/>
    <n v="116.1"/>
    <n v="117.8"/>
    <x v="0"/>
    <n v="113.4"/>
    <n v="113.7"/>
    <n v="111.8"/>
    <n v="111.2"/>
    <n v="110.5"/>
    <n v="113"/>
    <n v="108.9"/>
    <n v="111.5"/>
    <n v="115.4"/>
    <n v="1"/>
  </r>
  <r>
    <x v="1"/>
    <x v="1"/>
    <x v="3"/>
    <x v="41"/>
    <x v="37"/>
    <x v="26"/>
    <x v="39"/>
    <x v="39"/>
    <x v="41"/>
    <x v="44"/>
    <x v="33"/>
    <n v="100.3"/>
    <n v="115.3"/>
    <n v="112.7"/>
    <n v="121"/>
    <n v="118.2"/>
    <n v="117.6"/>
    <n v="116.3"/>
    <n v="112.5"/>
    <n v="115.7"/>
    <x v="14"/>
    <n v="110.9"/>
    <n v="113.4"/>
    <n v="111"/>
    <n v="111.2"/>
    <n v="111.2"/>
    <n v="112.5"/>
    <n v="109.1"/>
    <n v="111.4"/>
    <n v="114.7"/>
    <n v="1"/>
  </r>
  <r>
    <x v="2"/>
    <x v="1"/>
    <x v="3"/>
    <x v="42"/>
    <x v="38"/>
    <x v="27"/>
    <x v="39"/>
    <x v="30"/>
    <x v="42"/>
    <x v="45"/>
    <x v="33"/>
    <n v="101.8"/>
    <n v="112.6"/>
    <n v="113.2"/>
    <n v="119.8"/>
    <n v="117.6"/>
    <n v="116"/>
    <n v="117.4"/>
    <n v="114.6"/>
    <n v="117"/>
    <x v="14"/>
    <n v="112.5"/>
    <n v="113.6"/>
    <n v="111.5"/>
    <n v="111.2"/>
    <n v="110.9"/>
    <n v="112.7"/>
    <n v="109"/>
    <n v="111.5"/>
    <n v="115.1"/>
    <n v="1"/>
  </r>
  <r>
    <x v="0"/>
    <x v="1"/>
    <x v="4"/>
    <x v="43"/>
    <x v="39"/>
    <x v="4"/>
    <x v="40"/>
    <x v="40"/>
    <x v="43"/>
    <x v="34"/>
    <x v="34"/>
    <n v="103.5"/>
    <n v="111.6"/>
    <n v="114.2"/>
    <n v="119.2"/>
    <n v="118.2"/>
    <n v="116.3"/>
    <n v="118.7"/>
    <n v="116.8"/>
    <n v="118.5"/>
    <x v="0"/>
    <n v="113.4"/>
    <n v="114.1"/>
    <n v="112.1"/>
    <n v="111.4"/>
    <n v="110.9"/>
    <n v="113.1"/>
    <n v="108.9"/>
    <n v="111.8"/>
    <n v="116"/>
    <n v="1"/>
  </r>
  <r>
    <x v="1"/>
    <x v="1"/>
    <x v="4"/>
    <x v="44"/>
    <x v="40"/>
    <x v="43"/>
    <x v="41"/>
    <x v="4"/>
    <x v="44"/>
    <x v="46"/>
    <x v="35"/>
    <n v="101.3"/>
    <n v="117"/>
    <n v="112.9"/>
    <n v="121.7"/>
    <n v="120"/>
    <n v="118.3"/>
    <n v="116.8"/>
    <n v="112.9"/>
    <n v="116.2"/>
    <x v="15"/>
    <n v="111.1"/>
    <n v="114.1"/>
    <n v="111.2"/>
    <n v="111.3"/>
    <n v="111.5"/>
    <n v="112.9"/>
    <n v="109.3"/>
    <n v="111.7"/>
    <n v="115.6"/>
    <n v="1"/>
  </r>
  <r>
    <x v="2"/>
    <x v="1"/>
    <x v="4"/>
    <x v="45"/>
    <x v="41"/>
    <x v="44"/>
    <x v="42"/>
    <x v="24"/>
    <x v="45"/>
    <x v="47"/>
    <x v="36"/>
    <n v="102.8"/>
    <n v="113.4"/>
    <n v="113.7"/>
    <n v="120.4"/>
    <n v="118.9"/>
    <n v="116.8"/>
    <n v="118"/>
    <n v="115.2"/>
    <n v="117.6"/>
    <x v="15"/>
    <n v="112.5"/>
    <n v="114.1"/>
    <n v="111.8"/>
    <n v="111.3"/>
    <n v="111.2"/>
    <n v="113"/>
    <n v="109.1"/>
    <n v="111.8"/>
    <n v="115.8"/>
    <n v="1"/>
  </r>
  <r>
    <x v="0"/>
    <x v="1"/>
    <x v="5"/>
    <x v="40"/>
    <x v="41"/>
    <x v="45"/>
    <x v="43"/>
    <x v="41"/>
    <x v="46"/>
    <x v="48"/>
    <x v="37"/>
    <n v="103.6"/>
    <n v="112.3"/>
    <n v="114.9"/>
    <n v="120.1"/>
    <n v="119.5"/>
    <n v="117.3"/>
    <n v="119.7"/>
    <n v="117.3"/>
    <n v="119.3"/>
    <x v="0"/>
    <n v="114.4"/>
    <n v="114.9"/>
    <n v="112.8"/>
    <n v="112.2"/>
    <n v="111.4"/>
    <n v="114.3"/>
    <n v="108"/>
    <n v="112.3"/>
    <n v="117"/>
    <n v="1"/>
  </r>
  <r>
    <x v="1"/>
    <x v="1"/>
    <x v="5"/>
    <x v="46"/>
    <x v="42"/>
    <x v="46"/>
    <x v="44"/>
    <x v="1"/>
    <x v="47"/>
    <x v="49"/>
    <x v="38"/>
    <n v="101.4"/>
    <n v="118.3"/>
    <n v="113.2"/>
    <n v="122.4"/>
    <n v="122"/>
    <n v="119"/>
    <n v="117.4"/>
    <n v="113.2"/>
    <n v="116.7"/>
    <x v="14"/>
    <n v="111.2"/>
    <n v="114.3"/>
    <n v="111.4"/>
    <n v="111.5"/>
    <n v="111.8"/>
    <n v="115.1"/>
    <n v="108.7"/>
    <n v="112.2"/>
    <n v="116.4"/>
    <n v="1"/>
  </r>
  <r>
    <x v="2"/>
    <x v="1"/>
    <x v="5"/>
    <x v="47"/>
    <x v="43"/>
    <x v="47"/>
    <x v="45"/>
    <x v="42"/>
    <x v="48"/>
    <x v="50"/>
    <x v="39"/>
    <n v="102.9"/>
    <n v="114.3"/>
    <n v="114.2"/>
    <n v="121.2"/>
    <n v="120.4"/>
    <n v="117.8"/>
    <n v="118.8"/>
    <n v="115.6"/>
    <n v="118.3"/>
    <x v="14"/>
    <n v="113.2"/>
    <n v="114.6"/>
    <n v="112.3"/>
    <n v="111.8"/>
    <n v="111.6"/>
    <n v="114.8"/>
    <n v="108.3"/>
    <n v="112.3"/>
    <n v="116.7"/>
    <n v="1"/>
  </r>
  <r>
    <x v="0"/>
    <x v="1"/>
    <x v="6"/>
    <x v="48"/>
    <x v="44"/>
    <x v="48"/>
    <x v="46"/>
    <x v="43"/>
    <x v="49"/>
    <x v="51"/>
    <x v="40"/>
    <n v="104.8"/>
    <n v="113.3"/>
    <n v="115.6"/>
    <n v="120.9"/>
    <n v="123.3"/>
    <n v="118"/>
    <n v="120.7"/>
    <n v="118.3"/>
    <n v="120.3"/>
    <x v="0"/>
    <n v="115.3"/>
    <n v="115.4"/>
    <n v="113.4"/>
    <n v="113.2"/>
    <n v="111.8"/>
    <n v="115.5"/>
    <n v="108.8"/>
    <n v="113.1"/>
    <n v="119.5"/>
    <n v="1"/>
  </r>
  <r>
    <x v="1"/>
    <x v="1"/>
    <x v="6"/>
    <x v="49"/>
    <x v="45"/>
    <x v="49"/>
    <x v="47"/>
    <x v="4"/>
    <x v="50"/>
    <x v="52"/>
    <x v="41"/>
    <n v="102.7"/>
    <n v="120"/>
    <n v="113.8"/>
    <n v="123.4"/>
    <n v="127.1"/>
    <n v="121"/>
    <n v="118"/>
    <n v="113.6"/>
    <n v="117.4"/>
    <x v="16"/>
    <n v="111.6"/>
    <n v="114.9"/>
    <n v="111.5"/>
    <n v="113"/>
    <n v="112.4"/>
    <n v="117.8"/>
    <n v="109.7"/>
    <n v="113.5"/>
    <n v="118.9"/>
    <n v="1"/>
  </r>
  <r>
    <x v="2"/>
    <x v="1"/>
    <x v="6"/>
    <x v="50"/>
    <x v="46"/>
    <x v="50"/>
    <x v="48"/>
    <x v="44"/>
    <x v="47"/>
    <x v="53"/>
    <x v="40"/>
    <n v="104.1"/>
    <n v="115.5"/>
    <n v="114.8"/>
    <n v="122.1"/>
    <n v="124.7"/>
    <n v="118.8"/>
    <n v="119.6"/>
    <n v="116.3"/>
    <n v="119.1"/>
    <x v="16"/>
    <n v="113.9"/>
    <n v="115.2"/>
    <n v="112.7"/>
    <n v="113.1"/>
    <n v="112.1"/>
    <n v="116.8"/>
    <n v="109.2"/>
    <n v="113.3"/>
    <n v="119.2"/>
    <n v="1"/>
  </r>
  <r>
    <x v="0"/>
    <x v="1"/>
    <x v="7"/>
    <x v="51"/>
    <x v="47"/>
    <x v="50"/>
    <x v="49"/>
    <x v="45"/>
    <x v="51"/>
    <x v="54"/>
    <x v="42"/>
    <n v="105.1"/>
    <n v="114.6"/>
    <n v="115.8"/>
    <n v="121.7"/>
    <n v="125.3"/>
    <n v="118.8"/>
    <n v="120.9"/>
    <n v="118.8"/>
    <n v="120.7"/>
    <x v="0"/>
    <n v="115.4"/>
    <n v="115.9"/>
    <n v="114"/>
    <n v="113.2"/>
    <n v="112.2"/>
    <n v="116.2"/>
    <n v="109.4"/>
    <n v="113.5"/>
    <n v="120.7"/>
    <n v="1"/>
  </r>
  <r>
    <x v="1"/>
    <x v="1"/>
    <x v="7"/>
    <x v="52"/>
    <x v="48"/>
    <x v="51"/>
    <x v="50"/>
    <x v="46"/>
    <x v="52"/>
    <x v="55"/>
    <x v="43"/>
    <n v="102.7"/>
    <n v="122.1"/>
    <n v="114.4"/>
    <n v="124.7"/>
    <n v="128.9"/>
    <n v="123"/>
    <n v="118.6"/>
    <n v="114.1"/>
    <n v="117.9"/>
    <x v="17"/>
    <n v="111.8"/>
    <n v="115.3"/>
    <n v="112.2"/>
    <n v="112.5"/>
    <n v="112.9"/>
    <n v="119.2"/>
    <n v="110.5"/>
    <n v="113.9"/>
    <n v="119.9"/>
    <n v="1"/>
  </r>
  <r>
    <x v="2"/>
    <x v="1"/>
    <x v="7"/>
    <x v="44"/>
    <x v="49"/>
    <x v="52"/>
    <x v="51"/>
    <x v="47"/>
    <x v="53"/>
    <x v="56"/>
    <x v="44"/>
    <n v="104.3"/>
    <n v="117.1"/>
    <n v="115.2"/>
    <n v="123.1"/>
    <n v="126.6"/>
    <n v="119.9"/>
    <n v="120"/>
    <n v="116.8"/>
    <n v="119.6"/>
    <x v="17"/>
    <n v="114"/>
    <n v="115.6"/>
    <n v="113.3"/>
    <n v="112.8"/>
    <n v="112.6"/>
    <n v="118"/>
    <n v="109.9"/>
    <n v="113.7"/>
    <n v="120.3"/>
    <n v="1"/>
  </r>
  <r>
    <x v="0"/>
    <x v="1"/>
    <x v="8"/>
    <x v="53"/>
    <x v="50"/>
    <x v="50"/>
    <x v="52"/>
    <x v="43"/>
    <x v="54"/>
    <x v="57"/>
    <x v="45"/>
    <n v="104.7"/>
    <n v="114.9"/>
    <n v="116.5"/>
    <n v="122.6"/>
    <n v="125.3"/>
    <n v="119.5"/>
    <n v="121.7"/>
    <n v="119.2"/>
    <n v="121.3"/>
    <x v="0"/>
    <n v="115.8"/>
    <n v="116.7"/>
    <n v="114.5"/>
    <n v="112.8"/>
    <n v="112.6"/>
    <n v="116.6"/>
    <n v="109.1"/>
    <n v="113.7"/>
    <n v="120.9"/>
    <n v="1"/>
  </r>
  <r>
    <x v="1"/>
    <x v="1"/>
    <x v="8"/>
    <x v="54"/>
    <x v="51"/>
    <x v="53"/>
    <x v="52"/>
    <x v="4"/>
    <x v="55"/>
    <x v="58"/>
    <x v="46"/>
    <n v="101.9"/>
    <n v="122.9"/>
    <n v="114.8"/>
    <n v="125.2"/>
    <n v="126.7"/>
    <n v="124.3"/>
    <n v="119.2"/>
    <n v="114.5"/>
    <n v="118.4"/>
    <x v="18"/>
    <n v="111.8"/>
    <n v="115.5"/>
    <n v="112.3"/>
    <n v="111.2"/>
    <n v="113.4"/>
    <n v="120"/>
    <n v="110"/>
    <n v="113.6"/>
    <n v="119.2"/>
    <n v="1"/>
  </r>
  <r>
    <x v="2"/>
    <x v="1"/>
    <x v="8"/>
    <x v="55"/>
    <x v="52"/>
    <x v="52"/>
    <x v="52"/>
    <x v="44"/>
    <x v="56"/>
    <x v="59"/>
    <x v="47"/>
    <n v="103.8"/>
    <n v="117.6"/>
    <n v="115.8"/>
    <n v="123.8"/>
    <n v="125.8"/>
    <n v="120.8"/>
    <n v="120.7"/>
    <n v="117.2"/>
    <n v="120.1"/>
    <x v="18"/>
    <n v="114.3"/>
    <n v="116.1"/>
    <n v="113.7"/>
    <n v="112"/>
    <n v="113.1"/>
    <n v="118.6"/>
    <n v="109.5"/>
    <n v="113.7"/>
    <n v="120.1"/>
    <n v="1"/>
  </r>
  <r>
    <x v="0"/>
    <x v="1"/>
    <x v="9"/>
    <x v="56"/>
    <x v="44"/>
    <x v="54"/>
    <x v="53"/>
    <x v="48"/>
    <x v="57"/>
    <x v="60"/>
    <x v="48"/>
    <n v="104"/>
    <n v="115.3"/>
    <n v="116.8"/>
    <n v="123.2"/>
    <n v="125.1"/>
    <n v="120"/>
    <n v="122.7"/>
    <n v="120.3"/>
    <n v="122.3"/>
    <x v="0"/>
    <n v="116.4"/>
    <n v="117.5"/>
    <n v="115.3"/>
    <n v="112.6"/>
    <n v="113"/>
    <n v="116.9"/>
    <n v="109.3"/>
    <n v="114"/>
    <n v="121"/>
    <n v="1"/>
  </r>
  <r>
    <x v="1"/>
    <x v="1"/>
    <x v="9"/>
    <x v="57"/>
    <x v="53"/>
    <x v="50"/>
    <x v="54"/>
    <x v="4"/>
    <x v="58"/>
    <x v="61"/>
    <x v="49"/>
    <n v="101.2"/>
    <n v="123.8"/>
    <n v="115.2"/>
    <n v="125.9"/>
    <n v="125.8"/>
    <n v="124.3"/>
    <n v="119.6"/>
    <n v="114.9"/>
    <n v="118.9"/>
    <x v="19"/>
    <n v="112"/>
    <n v="115.8"/>
    <n v="112.6"/>
    <n v="111"/>
    <n v="113.6"/>
    <n v="120.2"/>
    <n v="110.1"/>
    <n v="113.7"/>
    <n v="119.1"/>
    <n v="1"/>
  </r>
  <r>
    <x v="2"/>
    <x v="1"/>
    <x v="9"/>
    <x v="58"/>
    <x v="54"/>
    <x v="42"/>
    <x v="53"/>
    <x v="44"/>
    <x v="59"/>
    <x v="62"/>
    <x v="50"/>
    <n v="103.1"/>
    <n v="118.1"/>
    <n v="116.1"/>
    <n v="124.5"/>
    <n v="125.4"/>
    <n v="121.1"/>
    <n v="121.5"/>
    <n v="118.1"/>
    <n v="121"/>
    <x v="19"/>
    <n v="114.7"/>
    <n v="116.7"/>
    <n v="114.3"/>
    <n v="111.8"/>
    <n v="113.3"/>
    <n v="118.8"/>
    <n v="109.6"/>
    <n v="113.9"/>
    <n v="120.1"/>
    <n v="1"/>
  </r>
  <r>
    <x v="0"/>
    <x v="1"/>
    <x v="10"/>
    <x v="44"/>
    <x v="55"/>
    <x v="55"/>
    <x v="55"/>
    <x v="48"/>
    <x v="60"/>
    <x v="63"/>
    <x v="51"/>
    <n v="103.3"/>
    <n v="115.8"/>
    <n v="116.8"/>
    <n v="124.5"/>
    <n v="124.9"/>
    <n v="120.8"/>
    <n v="123.3"/>
    <n v="120.5"/>
    <n v="122.9"/>
    <x v="0"/>
    <n v="117.3"/>
    <n v="118.1"/>
    <n v="115.9"/>
    <n v="112"/>
    <n v="113.3"/>
    <n v="117.2"/>
    <n v="108.8"/>
    <n v="114.1"/>
    <n v="121.1"/>
    <n v="1"/>
  </r>
  <r>
    <x v="1"/>
    <x v="1"/>
    <x v="10"/>
    <x v="59"/>
    <x v="56"/>
    <x v="56"/>
    <x v="56"/>
    <x v="27"/>
    <x v="61"/>
    <x v="64"/>
    <x v="52"/>
    <n v="99.8"/>
    <n v="124.6"/>
    <n v="115.8"/>
    <n v="126.9"/>
    <n v="125.4"/>
    <n v="125.8"/>
    <n v="120.3"/>
    <n v="115.4"/>
    <n v="119.5"/>
    <x v="20"/>
    <n v="112.6"/>
    <n v="116.4"/>
    <n v="113"/>
    <n v="109.7"/>
    <n v="114"/>
    <n v="120.3"/>
    <n v="109.6"/>
    <n v="113.4"/>
    <n v="119"/>
    <n v="1"/>
  </r>
  <r>
    <x v="2"/>
    <x v="1"/>
    <x v="10"/>
    <x v="60"/>
    <x v="57"/>
    <x v="41"/>
    <x v="57"/>
    <x v="42"/>
    <x v="62"/>
    <x v="65"/>
    <x v="53"/>
    <n v="102.1"/>
    <n v="118.7"/>
    <n v="116.4"/>
    <n v="125.6"/>
    <n v="125.1"/>
    <n v="122.1"/>
    <n v="122.1"/>
    <n v="118.4"/>
    <n v="121.6"/>
    <x v="20"/>
    <n v="115.5"/>
    <n v="117.3"/>
    <n v="114.8"/>
    <n v="110.8"/>
    <n v="113.7"/>
    <n v="119"/>
    <n v="109.1"/>
    <n v="113.8"/>
    <n v="120.1"/>
    <n v="1"/>
  </r>
  <r>
    <x v="0"/>
    <x v="1"/>
    <x v="11"/>
    <x v="50"/>
    <x v="50"/>
    <x v="57"/>
    <x v="57"/>
    <x v="49"/>
    <x v="63"/>
    <x v="66"/>
    <x v="54"/>
    <n v="102"/>
    <n v="116"/>
    <n v="117.3"/>
    <n v="124.8"/>
    <n v="123.3"/>
    <n v="121.7"/>
    <n v="123.8"/>
    <n v="120.6"/>
    <n v="123.3"/>
    <x v="0"/>
    <n v="117.4"/>
    <n v="118.2"/>
    <n v="116.2"/>
    <n v="111.5"/>
    <n v="113.3"/>
    <n v="117.7"/>
    <n v="109.4"/>
    <n v="114.2"/>
    <n v="120.3"/>
    <n v="1"/>
  </r>
  <r>
    <x v="1"/>
    <x v="1"/>
    <x v="11"/>
    <x v="61"/>
    <x v="58"/>
    <x v="58"/>
    <x v="58"/>
    <x v="50"/>
    <x v="64"/>
    <x v="67"/>
    <x v="55"/>
    <n v="97.8"/>
    <n v="125.4"/>
    <n v="116.1"/>
    <n v="127.6"/>
    <n v="124"/>
    <n v="126.4"/>
    <n v="120.7"/>
    <n v="115.8"/>
    <n v="120"/>
    <x v="21"/>
    <n v="113"/>
    <n v="116.8"/>
    <n v="113.2"/>
    <n v="108.8"/>
    <n v="114.3"/>
    <n v="120.7"/>
    <n v="110.4"/>
    <n v="113.4"/>
    <n v="118.4"/>
    <n v="1"/>
  </r>
  <r>
    <x v="2"/>
    <x v="1"/>
    <x v="11"/>
    <x v="55"/>
    <x v="59"/>
    <x v="32"/>
    <x v="59"/>
    <x v="51"/>
    <x v="62"/>
    <x v="68"/>
    <x v="56"/>
    <n v="100.6"/>
    <n v="119.1"/>
    <n v="116.8"/>
    <n v="126.1"/>
    <n v="123.6"/>
    <n v="123"/>
    <n v="122.6"/>
    <n v="118.6"/>
    <n v="122"/>
    <x v="21"/>
    <n v="115.7"/>
    <n v="117.5"/>
    <n v="115.1"/>
    <n v="110.1"/>
    <n v="113.9"/>
    <n v="119.5"/>
    <n v="109.8"/>
    <n v="113.8"/>
    <n v="119.4"/>
    <n v="1"/>
  </r>
  <r>
    <x v="0"/>
    <x v="2"/>
    <x v="0"/>
    <x v="46"/>
    <x v="43"/>
    <x v="59"/>
    <x v="58"/>
    <x v="52"/>
    <x v="65"/>
    <x v="69"/>
    <x v="53"/>
    <n v="100.5"/>
    <n v="117.2"/>
    <n v="117.9"/>
    <n v="125.6"/>
    <n v="122.8"/>
    <n v="122.7"/>
    <n v="124.4"/>
    <n v="121.6"/>
    <n v="124"/>
    <x v="0"/>
    <n v="118.4"/>
    <n v="118.9"/>
    <n v="116.6"/>
    <n v="111"/>
    <n v="114"/>
    <n v="118.2"/>
    <n v="110.2"/>
    <n v="114.5"/>
    <n v="120.3"/>
    <n v="1"/>
  </r>
  <r>
    <x v="1"/>
    <x v="2"/>
    <x v="0"/>
    <x v="61"/>
    <x v="60"/>
    <x v="60"/>
    <x v="60"/>
    <x v="19"/>
    <x v="66"/>
    <x v="70"/>
    <x v="57"/>
    <n v="96.1"/>
    <n v="126.6"/>
    <n v="116.5"/>
    <n v="128"/>
    <n v="123.5"/>
    <n v="127.4"/>
    <n v="121"/>
    <n v="116.1"/>
    <n v="120.2"/>
    <x v="22"/>
    <n v="113.4"/>
    <n v="117.2"/>
    <n v="113.7"/>
    <n v="107.9"/>
    <n v="114.6"/>
    <n v="120.8"/>
    <n v="111.4"/>
    <n v="113.4"/>
    <n v="118.5"/>
    <n v="1"/>
  </r>
  <r>
    <x v="2"/>
    <x v="2"/>
    <x v="0"/>
    <x v="62"/>
    <x v="46"/>
    <x v="61"/>
    <x v="61"/>
    <x v="53"/>
    <x v="67"/>
    <x v="71"/>
    <x v="58"/>
    <n v="99"/>
    <n v="120.3"/>
    <n v="117.3"/>
    <n v="126.7"/>
    <n v="123.1"/>
    <n v="124"/>
    <n v="123.1"/>
    <n v="119.3"/>
    <n v="122.5"/>
    <x v="22"/>
    <n v="116.5"/>
    <n v="118.1"/>
    <n v="115.5"/>
    <n v="109.4"/>
    <n v="114.3"/>
    <n v="119.7"/>
    <n v="110.7"/>
    <n v="114"/>
    <n v="119.5"/>
    <n v="1"/>
  </r>
  <r>
    <x v="0"/>
    <x v="2"/>
    <x v="1"/>
    <x v="62"/>
    <x v="49"/>
    <x v="59"/>
    <x v="62"/>
    <x v="54"/>
    <x v="68"/>
    <x v="72"/>
    <x v="59"/>
    <n v="100"/>
    <n v="118.6"/>
    <n v="118.8"/>
    <n v="126.8"/>
    <n v="122.8"/>
    <n v="124.2"/>
    <n v="125.4"/>
    <n v="122.7"/>
    <n v="125"/>
    <x v="0"/>
    <n v="120"/>
    <n v="119.6"/>
    <n v="117.7"/>
    <n v="110.9"/>
    <n v="114.8"/>
    <n v="118.7"/>
    <n v="110.8"/>
    <n v="115"/>
    <n v="120.6"/>
    <n v="1"/>
  </r>
  <r>
    <x v="1"/>
    <x v="2"/>
    <x v="1"/>
    <x v="63"/>
    <x v="61"/>
    <x v="62"/>
    <x v="63"/>
    <x v="8"/>
    <x v="69"/>
    <x v="73"/>
    <x v="60"/>
    <n v="95"/>
    <n v="127.7"/>
    <n v="116.8"/>
    <n v="128.6"/>
    <n v="123.7"/>
    <n v="128.1"/>
    <n v="121.3"/>
    <n v="116.5"/>
    <n v="120.6"/>
    <x v="23"/>
    <n v="114"/>
    <n v="117.7"/>
    <n v="114.1"/>
    <n v="106.8"/>
    <n v="114.9"/>
    <n v="120.4"/>
    <n v="111.7"/>
    <n v="113.2"/>
    <n v="118.7"/>
    <n v="1"/>
  </r>
  <r>
    <x v="2"/>
    <x v="2"/>
    <x v="1"/>
    <x v="64"/>
    <x v="62"/>
    <x v="63"/>
    <x v="64"/>
    <x v="55"/>
    <x v="46"/>
    <x v="74"/>
    <x v="61"/>
    <n v="98.3"/>
    <n v="121.6"/>
    <n v="118"/>
    <n v="127.6"/>
    <n v="123.1"/>
    <n v="125.2"/>
    <n v="123.8"/>
    <n v="120.1"/>
    <n v="123.3"/>
    <x v="23"/>
    <n v="117.7"/>
    <n v="118.7"/>
    <n v="116.3"/>
    <n v="108.7"/>
    <n v="114.9"/>
    <n v="119.7"/>
    <n v="111.2"/>
    <n v="114.1"/>
    <n v="119.7"/>
    <n v="1"/>
  </r>
  <r>
    <x v="0"/>
    <x v="2"/>
    <x v="2"/>
    <x v="60"/>
    <x v="58"/>
    <x v="64"/>
    <x v="65"/>
    <x v="56"/>
    <x v="70"/>
    <x v="75"/>
    <x v="62"/>
    <n v="98.9"/>
    <n v="119.4"/>
    <n v="118.9"/>
    <n v="127.7"/>
    <n v="123.1"/>
    <n v="124.7"/>
    <n v="126"/>
    <n v="122.9"/>
    <n v="125.5"/>
    <x v="0"/>
    <n v="120.6"/>
    <n v="120.2"/>
    <n v="118.2"/>
    <n v="111.6"/>
    <n v="115.5"/>
    <n v="119.4"/>
    <n v="110.8"/>
    <n v="115.5"/>
    <n v="121.1"/>
    <n v="1"/>
  </r>
  <r>
    <x v="1"/>
    <x v="2"/>
    <x v="2"/>
    <x v="61"/>
    <x v="63"/>
    <x v="65"/>
    <x v="66"/>
    <x v="57"/>
    <x v="71"/>
    <x v="76"/>
    <x v="63"/>
    <n v="93.2"/>
    <n v="127.4"/>
    <n v="117"/>
    <n v="129.19999999999999"/>
    <n v="123.9"/>
    <n v="128.80000000000001"/>
    <n v="121.7"/>
    <n v="116.9"/>
    <n v="120.9"/>
    <x v="24"/>
    <n v="114.4"/>
    <n v="118"/>
    <n v="114.3"/>
    <n v="108.4"/>
    <n v="115.4"/>
    <n v="120.6"/>
    <n v="111.3"/>
    <n v="113.8"/>
    <n v="119.1"/>
    <n v="1"/>
  </r>
  <r>
    <x v="2"/>
    <x v="2"/>
    <x v="2"/>
    <x v="65"/>
    <x v="51"/>
    <x v="66"/>
    <x v="65"/>
    <x v="58"/>
    <x v="72"/>
    <x v="17"/>
    <x v="64"/>
    <n v="97"/>
    <n v="122.1"/>
    <n v="118.1"/>
    <n v="128.4"/>
    <n v="123.4"/>
    <n v="125.8"/>
    <n v="124.3"/>
    <n v="120.4"/>
    <n v="123.7"/>
    <x v="24"/>
    <n v="118.3"/>
    <n v="119.2"/>
    <n v="116.7"/>
    <n v="109.9"/>
    <n v="115.4"/>
    <n v="120.1"/>
    <n v="111"/>
    <n v="114.7"/>
    <n v="120.2"/>
    <n v="1"/>
  </r>
  <r>
    <x v="0"/>
    <x v="2"/>
    <x v="3"/>
    <x v="60"/>
    <x v="60"/>
    <x v="67"/>
    <x v="67"/>
    <x v="59"/>
    <x v="73"/>
    <x v="77"/>
    <x v="65"/>
    <n v="97.8"/>
    <n v="119.8"/>
    <n v="119.4"/>
    <n v="128.69999999999999"/>
    <n v="123.6"/>
    <n v="125.7"/>
    <n v="126.4"/>
    <n v="123.3"/>
    <n v="126"/>
    <x v="0"/>
    <n v="121.2"/>
    <n v="120.9"/>
    <n v="118.6"/>
    <n v="111.9"/>
    <n v="116.2"/>
    <n v="119.9"/>
    <n v="111.6"/>
    <n v="116"/>
    <n v="121.5"/>
    <n v="1"/>
  </r>
  <r>
    <x v="1"/>
    <x v="2"/>
    <x v="3"/>
    <x v="49"/>
    <x v="64"/>
    <x v="2"/>
    <x v="68"/>
    <x v="21"/>
    <x v="74"/>
    <x v="78"/>
    <x v="66"/>
    <n v="91.6"/>
    <n v="127.7"/>
    <n v="117.2"/>
    <n v="129.5"/>
    <n v="124.6"/>
    <n v="130.1"/>
    <n v="122.1"/>
    <n v="117.2"/>
    <n v="121.3"/>
    <x v="25"/>
    <n v="114.7"/>
    <n v="118.4"/>
    <n v="114.6"/>
    <n v="108.4"/>
    <n v="115.6"/>
    <n v="121.7"/>
    <n v="111.8"/>
    <n v="114.2"/>
    <n v="119.7"/>
    <n v="1"/>
  </r>
  <r>
    <x v="2"/>
    <x v="2"/>
    <x v="3"/>
    <x v="65"/>
    <x v="45"/>
    <x v="68"/>
    <x v="69"/>
    <x v="58"/>
    <x v="75"/>
    <x v="79"/>
    <x v="67"/>
    <n v="95.7"/>
    <n v="122.4"/>
    <n v="118.5"/>
    <n v="129.1"/>
    <n v="124"/>
    <n v="126.9"/>
    <n v="124.7"/>
    <n v="120.8"/>
    <n v="124.1"/>
    <x v="25"/>
    <n v="118.7"/>
    <n v="119.7"/>
    <n v="117.1"/>
    <n v="110.1"/>
    <n v="115.9"/>
    <n v="121"/>
    <n v="111.7"/>
    <n v="115.1"/>
    <n v="120.7"/>
    <n v="1"/>
  </r>
  <r>
    <x v="0"/>
    <x v="2"/>
    <x v="4"/>
    <x v="65"/>
    <x v="65"/>
    <x v="52"/>
    <x v="70"/>
    <x v="60"/>
    <x v="76"/>
    <x v="80"/>
    <x v="68"/>
    <n v="97.6"/>
    <n v="120.7"/>
    <n v="120.2"/>
    <n v="129.80000000000001"/>
    <n v="124.4"/>
    <n v="126.7"/>
    <n v="127.3"/>
    <n v="124.1"/>
    <n v="126.8"/>
    <x v="0"/>
    <n v="121.9"/>
    <n v="121.5"/>
    <n v="119.4"/>
    <n v="113.3"/>
    <n v="116.7"/>
    <n v="120.5"/>
    <n v="112.3"/>
    <n v="116.9"/>
    <n v="122.4"/>
    <n v="1"/>
  </r>
  <r>
    <x v="1"/>
    <x v="2"/>
    <x v="4"/>
    <x v="49"/>
    <x v="66"/>
    <x v="69"/>
    <x v="69"/>
    <x v="61"/>
    <x v="77"/>
    <x v="81"/>
    <x v="69"/>
    <n v="90.8"/>
    <n v="128.80000000000001"/>
    <n v="117.7"/>
    <n v="129.9"/>
    <n v="126.1"/>
    <n v="131.30000000000001"/>
    <n v="122.4"/>
    <n v="117.4"/>
    <n v="121.6"/>
    <x v="26"/>
    <n v="114.9"/>
    <n v="118.7"/>
    <n v="114.9"/>
    <n v="110.8"/>
    <n v="116"/>
    <n v="122"/>
    <n v="112.4"/>
    <n v="115.2"/>
    <n v="120.7"/>
    <n v="1"/>
  </r>
  <r>
    <x v="2"/>
    <x v="2"/>
    <x v="4"/>
    <x v="66"/>
    <x v="67"/>
    <x v="70"/>
    <x v="71"/>
    <x v="62"/>
    <x v="78"/>
    <x v="82"/>
    <x v="70"/>
    <n v="95.3"/>
    <n v="123.4"/>
    <n v="119.2"/>
    <n v="129.80000000000001"/>
    <n v="125"/>
    <n v="127.9"/>
    <n v="125.4"/>
    <n v="121.3"/>
    <n v="124.7"/>
    <x v="26"/>
    <n v="119.2"/>
    <n v="120.2"/>
    <n v="117.7"/>
    <n v="112"/>
    <n v="116.3"/>
    <n v="121.4"/>
    <n v="112.3"/>
    <n v="116.1"/>
    <n v="121.6"/>
    <n v="1"/>
  </r>
  <r>
    <x v="0"/>
    <x v="2"/>
    <x v="5"/>
    <x v="67"/>
    <x v="68"/>
    <x v="59"/>
    <x v="72"/>
    <x v="63"/>
    <x v="79"/>
    <x v="83"/>
    <x v="71"/>
    <n v="96.3"/>
    <n v="123"/>
    <n v="121.1"/>
    <n v="131.19999999999999"/>
    <n v="126.6"/>
    <n v="128.19999999999999"/>
    <n v="128.4"/>
    <n v="125.1"/>
    <n v="128"/>
    <x v="0"/>
    <n v="122.6"/>
    <n v="122.8"/>
    <n v="120.4"/>
    <n v="114.2"/>
    <n v="117.9"/>
    <n v="122"/>
    <n v="113"/>
    <n v="117.9"/>
    <n v="124.1"/>
    <n v="1"/>
  </r>
  <r>
    <x v="1"/>
    <x v="2"/>
    <x v="5"/>
    <x v="66"/>
    <x v="69"/>
    <x v="71"/>
    <x v="71"/>
    <x v="64"/>
    <x v="80"/>
    <x v="84"/>
    <x v="72"/>
    <n v="89.8"/>
    <n v="130.5"/>
    <n v="118"/>
    <n v="130.5"/>
    <n v="128.5"/>
    <n v="132.1"/>
    <n v="123.2"/>
    <n v="117.6"/>
    <n v="122.3"/>
    <x v="27"/>
    <n v="115.1"/>
    <n v="119.2"/>
    <n v="115.4"/>
    <n v="111.7"/>
    <n v="116.2"/>
    <n v="123.8"/>
    <n v="112.5"/>
    <n v="116"/>
    <n v="121.7"/>
    <n v="1"/>
  </r>
  <r>
    <x v="2"/>
    <x v="2"/>
    <x v="5"/>
    <x v="68"/>
    <x v="70"/>
    <x v="72"/>
    <x v="73"/>
    <x v="65"/>
    <x v="81"/>
    <x v="85"/>
    <x v="73"/>
    <n v="94.1"/>
    <n v="125.5"/>
    <n v="119.8"/>
    <n v="130.9"/>
    <n v="127.3"/>
    <n v="129.19999999999999"/>
    <n v="126.4"/>
    <n v="122"/>
    <n v="125.7"/>
    <x v="27"/>
    <n v="119.8"/>
    <n v="121.1"/>
    <n v="118.5"/>
    <n v="112.9"/>
    <n v="116.9"/>
    <n v="123.1"/>
    <n v="112.8"/>
    <n v="117"/>
    <n v="123"/>
    <n v="1"/>
  </r>
  <r>
    <x v="0"/>
    <x v="2"/>
    <x v="6"/>
    <x v="61"/>
    <x v="71"/>
    <x v="73"/>
    <x v="72"/>
    <x v="66"/>
    <x v="82"/>
    <x v="86"/>
    <x v="74"/>
    <n v="94.1"/>
    <n v="123.4"/>
    <n v="121"/>
    <n v="131.69999999999999"/>
    <n v="127.5"/>
    <n v="129.4"/>
    <n v="128.80000000000001"/>
    <n v="125.5"/>
    <n v="128.30000000000001"/>
    <x v="0"/>
    <n v="123"/>
    <n v="123"/>
    <n v="120.8"/>
    <n v="114.1"/>
    <n v="118"/>
    <n v="122.9"/>
    <n v="112.7"/>
    <n v="118.1"/>
    <n v="124.7"/>
    <n v="1"/>
  </r>
  <r>
    <x v="1"/>
    <x v="2"/>
    <x v="6"/>
    <x v="58"/>
    <x v="72"/>
    <x v="62"/>
    <x v="70"/>
    <x v="67"/>
    <x v="81"/>
    <x v="87"/>
    <x v="75"/>
    <n v="85.7"/>
    <n v="131.5"/>
    <n v="118.3"/>
    <n v="131.1"/>
    <n v="129.5"/>
    <n v="133.1"/>
    <n v="123.5"/>
    <n v="117.9"/>
    <n v="122.7"/>
    <x v="28"/>
    <n v="115.3"/>
    <n v="119.5"/>
    <n v="116"/>
    <n v="111.5"/>
    <n v="116.6"/>
    <n v="125.4"/>
    <n v="111.7"/>
    <n v="116.3"/>
    <n v="122.4"/>
    <n v="1"/>
  </r>
  <r>
    <x v="2"/>
    <x v="2"/>
    <x v="6"/>
    <x v="64"/>
    <x v="73"/>
    <x v="41"/>
    <x v="74"/>
    <x v="68"/>
    <x v="83"/>
    <x v="88"/>
    <x v="76"/>
    <n v="91.3"/>
    <n v="126.1"/>
    <n v="119.9"/>
    <n v="131.4"/>
    <n v="128.19999999999999"/>
    <n v="130.4"/>
    <n v="126.7"/>
    <n v="122.3"/>
    <n v="126.1"/>
    <x v="28"/>
    <n v="120.1"/>
    <n v="121.3"/>
    <n v="119"/>
    <n v="112.7"/>
    <n v="117.2"/>
    <n v="124.4"/>
    <n v="112.3"/>
    <n v="117.2"/>
    <n v="123.6"/>
    <n v="1"/>
  </r>
  <r>
    <x v="0"/>
    <x v="2"/>
    <x v="7"/>
    <x v="69"/>
    <x v="74"/>
    <x v="74"/>
    <x v="75"/>
    <x v="69"/>
    <x v="73"/>
    <x v="89"/>
    <x v="77"/>
    <n v="93.1"/>
    <n v="123.9"/>
    <n v="121.5"/>
    <n v="132.5"/>
    <n v="129.80000000000001"/>
    <n v="130.1"/>
    <n v="129.5"/>
    <n v="126.3"/>
    <n v="129"/>
    <x v="0"/>
    <n v="123.8"/>
    <n v="123.7"/>
    <n v="121.1"/>
    <n v="113.6"/>
    <n v="118.5"/>
    <n v="123.6"/>
    <n v="112.5"/>
    <n v="118.2"/>
    <n v="126.1"/>
    <n v="1"/>
  </r>
  <r>
    <x v="1"/>
    <x v="2"/>
    <x v="7"/>
    <x v="46"/>
    <x v="75"/>
    <x v="42"/>
    <x v="76"/>
    <x v="28"/>
    <x v="84"/>
    <x v="90"/>
    <x v="78"/>
    <n v="85.3"/>
    <n v="132.69999999999999"/>
    <n v="118.8"/>
    <n v="131.69999999999999"/>
    <n v="131.1"/>
    <n v="134.19999999999999"/>
    <n v="123.7"/>
    <n v="118.2"/>
    <n v="122.9"/>
    <x v="29"/>
    <n v="115.3"/>
    <n v="120"/>
    <n v="116.6"/>
    <n v="109.9"/>
    <n v="117.2"/>
    <n v="126.2"/>
    <n v="112"/>
    <n v="116.2"/>
    <n v="123.2"/>
    <n v="1"/>
  </r>
  <r>
    <x v="2"/>
    <x v="2"/>
    <x v="7"/>
    <x v="54"/>
    <x v="76"/>
    <x v="75"/>
    <x v="77"/>
    <x v="70"/>
    <x v="80"/>
    <x v="91"/>
    <x v="79"/>
    <n v="90.5"/>
    <n v="126.8"/>
    <n v="120.4"/>
    <n v="132.1"/>
    <n v="130.30000000000001"/>
    <n v="131.19999999999999"/>
    <n v="127.2"/>
    <n v="122.9"/>
    <n v="126.6"/>
    <x v="29"/>
    <n v="120.6"/>
    <n v="122"/>
    <n v="119.4"/>
    <n v="111.7"/>
    <n v="117.8"/>
    <n v="125.1"/>
    <n v="112.3"/>
    <n v="117.2"/>
    <n v="124.8"/>
    <n v="1"/>
  </r>
  <r>
    <x v="0"/>
    <x v="2"/>
    <x v="8"/>
    <x v="70"/>
    <x v="77"/>
    <x v="39"/>
    <x v="78"/>
    <x v="71"/>
    <x v="80"/>
    <x v="92"/>
    <x v="80"/>
    <n v="92.5"/>
    <n v="125.4"/>
    <n v="121.9"/>
    <n v="132.69999999999999"/>
    <n v="131"/>
    <n v="131"/>
    <n v="130.4"/>
    <n v="126.8"/>
    <n v="129.9"/>
    <x v="0"/>
    <n v="123.7"/>
    <n v="124.5"/>
    <n v="121.4"/>
    <n v="113.8"/>
    <n v="119.6"/>
    <n v="124.5"/>
    <n v="113.7"/>
    <n v="118.8"/>
    <n v="127"/>
    <n v="1"/>
  </r>
  <r>
    <x v="1"/>
    <x v="2"/>
    <x v="8"/>
    <x v="62"/>
    <x v="78"/>
    <x v="76"/>
    <x v="74"/>
    <x v="72"/>
    <x v="85"/>
    <x v="93"/>
    <x v="81"/>
    <n v="86.3"/>
    <n v="134.4"/>
    <n v="119.1"/>
    <n v="132.30000000000001"/>
    <n v="131.5"/>
    <n v="134.69999999999999"/>
    <n v="124"/>
    <n v="118.6"/>
    <n v="123.2"/>
    <x v="30"/>
    <n v="115.1"/>
    <n v="120.4"/>
    <n v="117.1"/>
    <n v="109.1"/>
    <n v="117.3"/>
    <n v="126.5"/>
    <n v="112.9"/>
    <n v="116.2"/>
    <n v="123.5"/>
    <n v="1"/>
  </r>
  <r>
    <x v="2"/>
    <x v="2"/>
    <x v="8"/>
    <x v="57"/>
    <x v="68"/>
    <x v="29"/>
    <x v="79"/>
    <x v="59"/>
    <x v="86"/>
    <x v="94"/>
    <x v="82"/>
    <n v="90.4"/>
    <n v="128.4"/>
    <n v="120.7"/>
    <n v="132.5"/>
    <n v="131.19999999999999"/>
    <n v="132"/>
    <n v="127.9"/>
    <n v="123.4"/>
    <n v="127.2"/>
    <x v="30"/>
    <n v="120.4"/>
    <n v="122.6"/>
    <n v="119.8"/>
    <n v="111.3"/>
    <n v="118.3"/>
    <n v="125.7"/>
    <n v="113.4"/>
    <n v="117.5"/>
    <n v="125.4"/>
    <n v="1"/>
  </r>
  <r>
    <x v="0"/>
    <x v="2"/>
    <x v="9"/>
    <x v="71"/>
    <x v="68"/>
    <x v="77"/>
    <x v="80"/>
    <x v="73"/>
    <x v="79"/>
    <x v="53"/>
    <x v="83"/>
    <n v="93.7"/>
    <n v="126.6"/>
    <n v="122.3"/>
    <n v="133.1"/>
    <n v="131.80000000000001"/>
    <n v="131.5"/>
    <n v="131.1"/>
    <n v="127.3"/>
    <n v="130.6"/>
    <x v="0"/>
    <n v="124.4"/>
    <n v="125.1"/>
    <n v="122"/>
    <n v="113.8"/>
    <n v="120.1"/>
    <n v="125.1"/>
    <n v="114.2"/>
    <n v="119.2"/>
    <n v="127.7"/>
    <n v="1"/>
  </r>
  <r>
    <x v="1"/>
    <x v="2"/>
    <x v="9"/>
    <x v="66"/>
    <x v="79"/>
    <x v="44"/>
    <x v="77"/>
    <x v="31"/>
    <x v="87"/>
    <x v="95"/>
    <x v="84"/>
    <n v="89.4"/>
    <n v="135.80000000000001"/>
    <n v="119.4"/>
    <n v="132.9"/>
    <n v="132.6"/>
    <n v="135.30000000000001"/>
    <n v="124.4"/>
    <n v="118.8"/>
    <n v="123.6"/>
    <x v="31"/>
    <n v="114.9"/>
    <n v="120.7"/>
    <n v="117.7"/>
    <n v="109.3"/>
    <n v="117.7"/>
    <n v="126.5"/>
    <n v="113.5"/>
    <n v="116.5"/>
    <n v="124.2"/>
    <n v="1"/>
  </r>
  <r>
    <x v="2"/>
    <x v="2"/>
    <x v="9"/>
    <x v="72"/>
    <x v="80"/>
    <x v="64"/>
    <x v="81"/>
    <x v="74"/>
    <x v="88"/>
    <x v="96"/>
    <x v="85"/>
    <n v="92.3"/>
    <n v="129.69999999999999"/>
    <n v="121.1"/>
    <n v="133"/>
    <n v="132.1"/>
    <n v="132.5"/>
    <n v="128.5"/>
    <n v="123.8"/>
    <n v="127.8"/>
    <x v="31"/>
    <n v="120.8"/>
    <n v="123"/>
    <n v="120.4"/>
    <n v="111.4"/>
    <n v="118.7"/>
    <n v="125.9"/>
    <n v="113.9"/>
    <n v="117.9"/>
    <n v="126.1"/>
    <n v="1"/>
  </r>
  <r>
    <x v="0"/>
    <x v="2"/>
    <x v="10"/>
    <x v="73"/>
    <x v="81"/>
    <x v="78"/>
    <x v="82"/>
    <x v="75"/>
    <x v="89"/>
    <x v="97"/>
    <x v="86"/>
    <n v="94.5"/>
    <n v="128.30000000000001"/>
    <n v="123.1"/>
    <n v="134.19999999999999"/>
    <n v="132.4"/>
    <n v="132.19999999999999"/>
    <n v="132.1"/>
    <n v="128.19999999999999"/>
    <n v="131.5"/>
    <x v="0"/>
    <n v="125.6"/>
    <n v="125.6"/>
    <n v="122.6"/>
    <n v="114"/>
    <n v="120.9"/>
    <n v="125.8"/>
    <n v="114.2"/>
    <n v="119.6"/>
    <n v="128.30000000000001"/>
    <n v="1"/>
  </r>
  <r>
    <x v="1"/>
    <x v="2"/>
    <x v="10"/>
    <x v="61"/>
    <x v="80"/>
    <x v="40"/>
    <x v="83"/>
    <x v="76"/>
    <x v="90"/>
    <x v="98"/>
    <x v="87"/>
    <n v="90.8"/>
    <n v="137.1"/>
    <n v="119.8"/>
    <n v="133.69999999999999"/>
    <n v="133.30000000000001"/>
    <n v="137.6"/>
    <n v="125"/>
    <n v="119.3"/>
    <n v="124.2"/>
    <x v="32"/>
    <n v="115.1"/>
    <n v="121"/>
    <n v="118.1"/>
    <n v="109.3"/>
    <n v="117.9"/>
    <n v="126.6"/>
    <n v="113.3"/>
    <n v="116.6"/>
    <n v="124.6"/>
    <n v="1"/>
  </r>
  <r>
    <x v="2"/>
    <x v="2"/>
    <x v="10"/>
    <x v="74"/>
    <x v="82"/>
    <x v="72"/>
    <x v="78"/>
    <x v="77"/>
    <x v="91"/>
    <x v="99"/>
    <x v="88"/>
    <n v="93.3"/>
    <n v="131.19999999999999"/>
    <n v="121.7"/>
    <n v="134"/>
    <n v="132.69999999999999"/>
    <n v="133.6"/>
    <n v="129.30000000000001"/>
    <n v="124.5"/>
    <n v="128.6"/>
    <x v="32"/>
    <n v="121.6"/>
    <n v="123.4"/>
    <n v="120.9"/>
    <n v="111.5"/>
    <n v="119.2"/>
    <n v="126.3"/>
    <n v="113.8"/>
    <n v="118.1"/>
    <n v="126.6"/>
    <n v="1"/>
  </r>
  <r>
    <x v="0"/>
    <x v="2"/>
    <x v="11"/>
    <x v="75"/>
    <x v="74"/>
    <x v="79"/>
    <x v="84"/>
    <x v="78"/>
    <x v="92"/>
    <x v="100"/>
    <x v="89"/>
    <n v="95.4"/>
    <n v="128.9"/>
    <n v="123.3"/>
    <n v="135.1"/>
    <n v="131.4"/>
    <n v="133.1"/>
    <n v="132.5"/>
    <n v="128.5"/>
    <n v="131.9"/>
    <x v="0"/>
    <n v="125.7"/>
    <n v="126"/>
    <n v="123.1"/>
    <n v="114"/>
    <n v="121.6"/>
    <n v="125.6"/>
    <n v="114.1"/>
    <n v="119.8"/>
    <n v="127.9"/>
    <n v="1"/>
  </r>
  <r>
    <x v="1"/>
    <x v="2"/>
    <x v="11"/>
    <x v="63"/>
    <x v="75"/>
    <x v="80"/>
    <x v="83"/>
    <x v="76"/>
    <x v="93"/>
    <x v="101"/>
    <x v="90"/>
    <n v="92.7"/>
    <n v="138.6"/>
    <n v="120.2"/>
    <n v="134.19999999999999"/>
    <n v="131.5"/>
    <n v="138.19999999999999"/>
    <n v="125.4"/>
    <n v="119.5"/>
    <n v="124.5"/>
    <x v="31"/>
    <n v="116"/>
    <n v="121"/>
    <n v="118.6"/>
    <n v="109.3"/>
    <n v="118.1"/>
    <n v="126.6"/>
    <n v="113.2"/>
    <n v="116.7"/>
    <n v="124"/>
    <n v="1"/>
  </r>
  <r>
    <x v="2"/>
    <x v="2"/>
    <x v="11"/>
    <x v="76"/>
    <x v="76"/>
    <x v="81"/>
    <x v="80"/>
    <x v="79"/>
    <x v="94"/>
    <x v="84"/>
    <x v="91"/>
    <n v="94.5"/>
    <n v="132.1"/>
    <n v="122"/>
    <n v="134.69999999999999"/>
    <n v="131.4"/>
    <n v="134.5"/>
    <n v="129.69999999999999"/>
    <n v="124.8"/>
    <n v="129"/>
    <x v="31"/>
    <n v="122"/>
    <n v="123.6"/>
    <n v="121.4"/>
    <n v="111.5"/>
    <n v="119.6"/>
    <n v="126.2"/>
    <n v="113.7"/>
    <n v="118.3"/>
    <n v="126.1"/>
    <n v="1"/>
  </r>
  <r>
    <x v="0"/>
    <x v="3"/>
    <x v="0"/>
    <x v="77"/>
    <x v="83"/>
    <x v="82"/>
    <x v="85"/>
    <x v="80"/>
    <x v="92"/>
    <x v="102"/>
    <x v="92"/>
    <n v="97.7"/>
    <n v="129.6"/>
    <n v="124.3"/>
    <n v="135.9"/>
    <n v="131.4"/>
    <n v="133.6"/>
    <n v="133.19999999999999"/>
    <n v="128.9"/>
    <n v="132.6"/>
    <x v="0"/>
    <n v="126.2"/>
    <n v="126.6"/>
    <n v="123.7"/>
    <n v="113.6"/>
    <n v="121.4"/>
    <n v="126.2"/>
    <n v="114.9"/>
    <n v="120.1"/>
    <n v="128.1"/>
    <n v="1"/>
  </r>
  <r>
    <x v="1"/>
    <x v="3"/>
    <x v="0"/>
    <x v="69"/>
    <x v="84"/>
    <x v="83"/>
    <x v="78"/>
    <x v="38"/>
    <x v="95"/>
    <x v="103"/>
    <x v="93"/>
    <n v="96.7"/>
    <n v="139.5"/>
    <n v="120.5"/>
    <n v="134.69999999999999"/>
    <n v="131.19999999999999"/>
    <n v="139.5"/>
    <n v="125.8"/>
    <n v="119.8"/>
    <n v="124.9"/>
    <x v="33"/>
    <n v="116.9"/>
    <n v="121.6"/>
    <n v="119.1"/>
    <n v="108.9"/>
    <n v="118.5"/>
    <n v="126.4"/>
    <n v="114"/>
    <n v="116.8"/>
    <n v="124.2"/>
    <n v="1"/>
  </r>
  <r>
    <x v="2"/>
    <x v="3"/>
    <x v="0"/>
    <x v="73"/>
    <x v="85"/>
    <x v="84"/>
    <x v="86"/>
    <x v="81"/>
    <x v="62"/>
    <x v="104"/>
    <x v="94"/>
    <n v="97.4"/>
    <n v="132.9"/>
    <n v="122.7"/>
    <n v="135.30000000000001"/>
    <n v="131.30000000000001"/>
    <n v="135.19999999999999"/>
    <n v="130.30000000000001"/>
    <n v="125.1"/>
    <n v="129.5"/>
    <x v="33"/>
    <n v="122.7"/>
    <n v="124.2"/>
    <n v="122"/>
    <n v="111.1"/>
    <n v="119.8"/>
    <n v="126.3"/>
    <n v="114.5"/>
    <n v="118.5"/>
    <n v="126.3"/>
    <n v="1"/>
  </r>
  <r>
    <x v="0"/>
    <x v="3"/>
    <x v="1"/>
    <x v="78"/>
    <x v="86"/>
    <x v="85"/>
    <x v="87"/>
    <x v="82"/>
    <x v="65"/>
    <x v="82"/>
    <x v="95"/>
    <n v="98.7"/>
    <n v="130.6"/>
    <n v="124.8"/>
    <n v="136.4"/>
    <n v="130.30000000000001"/>
    <n v="134.4"/>
    <n v="133.9"/>
    <n v="129.80000000000001"/>
    <n v="133.4"/>
    <x v="0"/>
    <n v="127.5"/>
    <n v="127.1"/>
    <n v="124.3"/>
    <n v="113.9"/>
    <n v="122.3"/>
    <n v="127.1"/>
    <n v="116.8"/>
    <n v="120.9"/>
    <n v="127.9"/>
    <n v="1"/>
  </r>
  <r>
    <x v="1"/>
    <x v="3"/>
    <x v="1"/>
    <x v="52"/>
    <x v="87"/>
    <x v="86"/>
    <x v="88"/>
    <x v="83"/>
    <x v="96"/>
    <x v="17"/>
    <x v="96"/>
    <n v="99.1"/>
    <n v="139.69999999999999"/>
    <n v="120.6"/>
    <n v="135.19999999999999"/>
    <n v="129.1"/>
    <n v="140"/>
    <n v="126.2"/>
    <n v="120.1"/>
    <n v="125.3"/>
    <x v="34"/>
    <n v="116"/>
    <n v="121.8"/>
    <n v="119.5"/>
    <n v="109.1"/>
    <n v="118.8"/>
    <n v="126.3"/>
    <n v="116.2"/>
    <n v="117.2"/>
    <n v="123.8"/>
    <n v="1"/>
  </r>
  <r>
    <x v="2"/>
    <x v="3"/>
    <x v="1"/>
    <x v="79"/>
    <x v="88"/>
    <x v="87"/>
    <x v="85"/>
    <x v="84"/>
    <x v="97"/>
    <x v="105"/>
    <x v="97"/>
    <n v="98.8"/>
    <n v="133.6"/>
    <n v="123"/>
    <n v="135.80000000000001"/>
    <n v="129.9"/>
    <n v="135.9"/>
    <n v="130.9"/>
    <n v="125.8"/>
    <n v="130.19999999999999"/>
    <x v="34"/>
    <n v="123.1"/>
    <n v="124.6"/>
    <n v="122.5"/>
    <n v="111.4"/>
    <n v="120.3"/>
    <n v="126.6"/>
    <n v="116.6"/>
    <n v="119.1"/>
    <n v="126"/>
    <n v="1"/>
  </r>
  <r>
    <x v="0"/>
    <x v="3"/>
    <x v="2"/>
    <x v="80"/>
    <x v="69"/>
    <x v="88"/>
    <x v="89"/>
    <x v="78"/>
    <x v="98"/>
    <x v="106"/>
    <x v="98"/>
    <n v="100.4"/>
    <n v="130.80000000000001"/>
    <n v="124.9"/>
    <n v="137"/>
    <n v="130.4"/>
    <n v="135"/>
    <n v="134.4"/>
    <n v="130.19999999999999"/>
    <n v="133.80000000000001"/>
    <x v="0"/>
    <n v="127"/>
    <n v="127.7"/>
    <n v="124.8"/>
    <n v="113.6"/>
    <n v="122.5"/>
    <n v="127.5"/>
    <n v="117.4"/>
    <n v="121.1"/>
    <n v="128"/>
    <n v="1"/>
  </r>
  <r>
    <x v="1"/>
    <x v="3"/>
    <x v="2"/>
    <x v="52"/>
    <x v="89"/>
    <x v="89"/>
    <x v="90"/>
    <x v="44"/>
    <x v="99"/>
    <x v="107"/>
    <x v="99"/>
    <n v="101.8"/>
    <n v="140.1"/>
    <n v="120.7"/>
    <n v="135.4"/>
    <n v="128.9"/>
    <n v="140.6"/>
    <n v="126.4"/>
    <n v="120.3"/>
    <n v="125.5"/>
    <x v="35"/>
    <n v="114.8"/>
    <n v="122.3"/>
    <n v="119.7"/>
    <n v="108.5"/>
    <n v="119.1"/>
    <n v="126.4"/>
    <n v="117.1"/>
    <n v="117.3"/>
    <n v="123.8"/>
    <n v="1"/>
  </r>
  <r>
    <x v="2"/>
    <x v="3"/>
    <x v="2"/>
    <x v="81"/>
    <x v="87"/>
    <x v="90"/>
    <x v="91"/>
    <x v="85"/>
    <x v="67"/>
    <x v="108"/>
    <x v="100"/>
    <n v="100.9"/>
    <n v="133.9"/>
    <n v="123.1"/>
    <n v="136.30000000000001"/>
    <n v="129.80000000000001"/>
    <n v="136.5"/>
    <n v="131.30000000000001"/>
    <n v="126.1"/>
    <n v="130.5"/>
    <x v="35"/>
    <n v="122.4"/>
    <n v="125.1"/>
    <n v="122.9"/>
    <n v="110.9"/>
    <n v="120.6"/>
    <n v="126.9"/>
    <n v="117.3"/>
    <n v="119.3"/>
    <n v="126"/>
    <n v="1"/>
  </r>
  <r>
    <x v="0"/>
    <x v="3"/>
    <x v="3"/>
    <x v="82"/>
    <x v="90"/>
    <x v="91"/>
    <x v="92"/>
    <x v="86"/>
    <x v="100"/>
    <x v="109"/>
    <x v="101"/>
    <n v="105"/>
    <n v="131.4"/>
    <n v="125.4"/>
    <n v="137.4"/>
    <n v="131.80000000000001"/>
    <n v="135.5"/>
    <n v="135"/>
    <n v="130.6"/>
    <n v="134.4"/>
    <x v="0"/>
    <n v="127"/>
    <n v="128"/>
    <n v="125.2"/>
    <n v="114.4"/>
    <n v="123.2"/>
    <n v="127.9"/>
    <n v="118.4"/>
    <n v="121.7"/>
    <n v="129"/>
    <n v="1"/>
  </r>
  <r>
    <x v="1"/>
    <x v="3"/>
    <x v="3"/>
    <x v="83"/>
    <x v="91"/>
    <x v="55"/>
    <x v="91"/>
    <x v="26"/>
    <x v="53"/>
    <x v="110"/>
    <x v="102"/>
    <n v="109.1"/>
    <n v="140.4"/>
    <n v="121.1"/>
    <n v="135.9"/>
    <n v="131.80000000000001"/>
    <n v="141.5"/>
    <n v="126.8"/>
    <n v="120.5"/>
    <n v="125.8"/>
    <x v="36"/>
    <n v="114.6"/>
    <n v="122.8"/>
    <n v="120"/>
    <n v="110"/>
    <n v="119.5"/>
    <n v="127.6"/>
    <n v="117.6"/>
    <n v="118.2"/>
    <n v="125.3"/>
    <n v="1"/>
  </r>
  <r>
    <x v="2"/>
    <x v="3"/>
    <x v="3"/>
    <x v="84"/>
    <x v="92"/>
    <x v="73"/>
    <x v="93"/>
    <x v="84"/>
    <x v="101"/>
    <x v="111"/>
    <x v="103"/>
    <n v="106.4"/>
    <n v="134.4"/>
    <n v="123.6"/>
    <n v="136.69999999999999"/>
    <n v="131.80000000000001"/>
    <n v="137.1"/>
    <n v="131.80000000000001"/>
    <n v="126.4"/>
    <n v="131"/>
    <x v="36"/>
    <n v="122.3"/>
    <n v="125.5"/>
    <n v="123.2"/>
    <n v="112.1"/>
    <n v="121.1"/>
    <n v="127.7"/>
    <n v="118.1"/>
    <n v="120"/>
    <n v="127.3"/>
    <n v="1"/>
  </r>
  <r>
    <x v="0"/>
    <x v="3"/>
    <x v="4"/>
    <x v="85"/>
    <x v="93"/>
    <x v="92"/>
    <x v="94"/>
    <x v="86"/>
    <x v="100"/>
    <x v="112"/>
    <x v="104"/>
    <n v="107.5"/>
    <n v="132.19999999999999"/>
    <n v="126.1"/>
    <n v="138.30000000000001"/>
    <n v="133.6"/>
    <n v="136"/>
    <n v="135.4"/>
    <n v="131.1"/>
    <n v="134.80000000000001"/>
    <x v="0"/>
    <n v="127.4"/>
    <n v="128.5"/>
    <n v="125.8"/>
    <n v="115.1"/>
    <n v="123.6"/>
    <n v="129.1"/>
    <n v="119.7"/>
    <n v="122.5"/>
    <n v="130.30000000000001"/>
    <n v="1"/>
  </r>
  <r>
    <x v="1"/>
    <x v="3"/>
    <x v="4"/>
    <x v="72"/>
    <x v="94"/>
    <x v="93"/>
    <x v="95"/>
    <x v="87"/>
    <x v="102"/>
    <x v="113"/>
    <x v="105"/>
    <n v="111.1"/>
    <n v="141.5"/>
    <n v="121.5"/>
    <n v="136.30000000000001"/>
    <n v="134.6"/>
    <n v="142.19999999999999"/>
    <n v="127.2"/>
    <n v="120.7"/>
    <n v="126.2"/>
    <x v="37"/>
    <n v="115"/>
    <n v="123.2"/>
    <n v="120.3"/>
    <n v="110.7"/>
    <n v="119.8"/>
    <n v="128"/>
    <n v="118.5"/>
    <n v="118.7"/>
    <n v="126.6"/>
    <n v="1"/>
  </r>
  <r>
    <x v="2"/>
    <x v="3"/>
    <x v="4"/>
    <x v="77"/>
    <x v="95"/>
    <x v="94"/>
    <x v="96"/>
    <x v="88"/>
    <x v="103"/>
    <x v="88"/>
    <x v="106"/>
    <n v="108.7"/>
    <n v="135.30000000000001"/>
    <n v="124.2"/>
    <n v="137.4"/>
    <n v="134"/>
    <n v="137.69999999999999"/>
    <n v="132.19999999999999"/>
    <n v="126.8"/>
    <n v="131.4"/>
    <x v="37"/>
    <n v="122.7"/>
    <n v="126"/>
    <n v="123.7"/>
    <n v="112.8"/>
    <n v="121.5"/>
    <n v="128.5"/>
    <n v="119.2"/>
    <n v="120.7"/>
    <n v="128.6"/>
    <n v="1"/>
  </r>
  <r>
    <x v="0"/>
    <x v="3"/>
    <x v="5"/>
    <x v="86"/>
    <x v="96"/>
    <x v="60"/>
    <x v="97"/>
    <x v="89"/>
    <x v="104"/>
    <x v="114"/>
    <x v="107"/>
    <n v="108.8"/>
    <n v="133.1"/>
    <n v="126.4"/>
    <n v="139.19999999999999"/>
    <n v="136"/>
    <n v="137.19999999999999"/>
    <n v="136.30000000000001"/>
    <n v="131.6"/>
    <n v="135.6"/>
    <x v="0"/>
    <n v="128"/>
    <n v="129.30000000000001"/>
    <n v="126.2"/>
    <n v="116.3"/>
    <n v="124.1"/>
    <n v="130.19999999999999"/>
    <n v="119.9"/>
    <n v="123.3"/>
    <n v="131.9"/>
    <n v="1"/>
  </r>
  <r>
    <x v="1"/>
    <x v="3"/>
    <x v="5"/>
    <x v="87"/>
    <x v="97"/>
    <x v="95"/>
    <x v="98"/>
    <x v="49"/>
    <x v="105"/>
    <x v="115"/>
    <x v="108"/>
    <n v="112"/>
    <n v="142.80000000000001"/>
    <n v="121.6"/>
    <n v="136.9"/>
    <n v="138.19999999999999"/>
    <n v="142.69999999999999"/>
    <n v="127.6"/>
    <n v="121.1"/>
    <n v="126.6"/>
    <x v="38"/>
    <n v="115.5"/>
    <n v="123.2"/>
    <n v="120.6"/>
    <n v="112.3"/>
    <n v="119.9"/>
    <n v="129.30000000000001"/>
    <n v="118.8"/>
    <n v="119.6"/>
    <n v="128.1"/>
    <n v="1"/>
  </r>
  <r>
    <x v="2"/>
    <x v="3"/>
    <x v="5"/>
    <x v="88"/>
    <x v="98"/>
    <x v="96"/>
    <x v="99"/>
    <x v="81"/>
    <x v="106"/>
    <x v="116"/>
    <x v="109"/>
    <n v="109.9"/>
    <n v="136.30000000000001"/>
    <n v="124.4"/>
    <n v="138.1"/>
    <n v="136.80000000000001"/>
    <n v="138.69999999999999"/>
    <n v="132.9"/>
    <n v="127.2"/>
    <n v="132"/>
    <x v="38"/>
    <n v="123.3"/>
    <n v="126.4"/>
    <n v="124.1"/>
    <n v="114.2"/>
    <n v="121.7"/>
    <n v="129.69999999999999"/>
    <n v="119.4"/>
    <n v="121.5"/>
    <n v="130.1"/>
    <n v="1"/>
  </r>
  <r>
    <x v="0"/>
    <x v="3"/>
    <x v="6"/>
    <x v="89"/>
    <x v="99"/>
    <x v="97"/>
    <x v="100"/>
    <x v="90"/>
    <x v="107"/>
    <x v="117"/>
    <x v="110"/>
    <n v="110.3"/>
    <n v="134.30000000000001"/>
    <n v="127.3"/>
    <n v="139.9"/>
    <n v="137.6"/>
    <n v="138"/>
    <n v="137.19999999999999"/>
    <n v="132.19999999999999"/>
    <n v="136.5"/>
    <x v="0"/>
    <n v="128.19999999999999"/>
    <n v="130"/>
    <n v="126.7"/>
    <n v="116.4"/>
    <n v="125.2"/>
    <n v="130.80000000000001"/>
    <n v="120.9"/>
    <n v="123.8"/>
    <n v="133"/>
    <n v="1"/>
  </r>
  <r>
    <x v="1"/>
    <x v="3"/>
    <x v="6"/>
    <x v="77"/>
    <x v="100"/>
    <x v="98"/>
    <x v="101"/>
    <x v="52"/>
    <x v="108"/>
    <x v="118"/>
    <x v="111"/>
    <n v="113.3"/>
    <n v="143.9"/>
    <n v="121.7"/>
    <n v="137.5"/>
    <n v="139.80000000000001"/>
    <n v="142.9"/>
    <n v="127.9"/>
    <n v="121.1"/>
    <n v="126.9"/>
    <x v="39"/>
    <n v="115.5"/>
    <n v="123.5"/>
    <n v="120.9"/>
    <n v="111.7"/>
    <n v="120.3"/>
    <n v="130.80000000000001"/>
    <n v="120"/>
    <n v="119.9"/>
    <n v="129"/>
    <n v="1"/>
  </r>
  <r>
    <x v="2"/>
    <x v="3"/>
    <x v="6"/>
    <x v="90"/>
    <x v="101"/>
    <x v="99"/>
    <x v="102"/>
    <x v="91"/>
    <x v="109"/>
    <x v="119"/>
    <x v="112"/>
    <n v="111.3"/>
    <n v="137.5"/>
    <n v="125"/>
    <n v="138.80000000000001"/>
    <n v="138.4"/>
    <n v="139.30000000000001"/>
    <n v="133.5"/>
    <n v="127.6"/>
    <n v="132.69999999999999"/>
    <x v="39"/>
    <n v="123.4"/>
    <n v="126.9"/>
    <n v="124.5"/>
    <n v="113.9"/>
    <n v="122.4"/>
    <n v="130.80000000000001"/>
    <n v="120.5"/>
    <n v="121.9"/>
    <n v="131.1"/>
    <n v="1"/>
  </r>
  <r>
    <x v="0"/>
    <x v="3"/>
    <x v="7"/>
    <x v="91"/>
    <x v="102"/>
    <x v="86"/>
    <x v="103"/>
    <x v="92"/>
    <x v="110"/>
    <x v="120"/>
    <x v="113"/>
    <n v="112.1"/>
    <n v="134.9"/>
    <n v="128.1"/>
    <n v="140.69999999999999"/>
    <n v="138"/>
    <n v="138.9"/>
    <n v="137.80000000000001"/>
    <n v="133"/>
    <n v="137.1"/>
    <x v="0"/>
    <n v="129.1"/>
    <n v="130.6"/>
    <n v="127"/>
    <n v="116"/>
    <n v="125.5"/>
    <n v="131.9"/>
    <n v="122"/>
    <n v="124.2"/>
    <n v="133.5"/>
    <n v="1"/>
  </r>
  <r>
    <x v="1"/>
    <x v="3"/>
    <x v="7"/>
    <x v="85"/>
    <x v="103"/>
    <x v="100"/>
    <x v="104"/>
    <x v="56"/>
    <x v="111"/>
    <x v="121"/>
    <x v="114"/>
    <n v="114.6"/>
    <n v="144.6"/>
    <n v="121.9"/>
    <n v="138.1"/>
    <n v="137.6"/>
    <n v="143.6"/>
    <n v="128.30000000000001"/>
    <n v="121.4"/>
    <n v="127.3"/>
    <x v="40"/>
    <n v="114.7"/>
    <n v="123.9"/>
    <n v="121.2"/>
    <n v="110.4"/>
    <n v="120.6"/>
    <n v="131.5"/>
    <n v="120.9"/>
    <n v="119.9"/>
    <n v="128.4"/>
    <n v="1"/>
  </r>
  <r>
    <x v="2"/>
    <x v="3"/>
    <x v="7"/>
    <x v="89"/>
    <x v="91"/>
    <x v="101"/>
    <x v="105"/>
    <x v="93"/>
    <x v="100"/>
    <x v="122"/>
    <x v="115"/>
    <n v="112.9"/>
    <n v="138.1"/>
    <n v="125.5"/>
    <n v="139.5"/>
    <n v="137.9"/>
    <n v="140.19999999999999"/>
    <n v="134.1"/>
    <n v="128.19999999999999"/>
    <n v="133.19999999999999"/>
    <x v="40"/>
    <n v="123.6"/>
    <n v="127.4"/>
    <n v="124.8"/>
    <n v="113.1"/>
    <n v="122.7"/>
    <n v="131.69999999999999"/>
    <n v="121.5"/>
    <n v="122.1"/>
    <n v="131.1"/>
    <n v="1"/>
  </r>
  <r>
    <x v="0"/>
    <x v="3"/>
    <x v="8"/>
    <x v="92"/>
    <x v="104"/>
    <x v="102"/>
    <x v="106"/>
    <x v="94"/>
    <x v="112"/>
    <x v="123"/>
    <x v="116"/>
    <n v="113.1"/>
    <n v="135.80000000000001"/>
    <n v="128.80000000000001"/>
    <n v="141.5"/>
    <n v="137.19999999999999"/>
    <n v="139.9"/>
    <n v="138.5"/>
    <n v="133.5"/>
    <n v="137.80000000000001"/>
    <x v="0"/>
    <n v="129.69999999999999"/>
    <n v="131.1"/>
    <n v="127.8"/>
    <n v="117"/>
    <n v="125.7"/>
    <n v="132.19999999999999"/>
    <n v="122.8"/>
    <n v="124.9"/>
    <n v="133.4"/>
    <n v="1"/>
  </r>
  <r>
    <x v="1"/>
    <x v="3"/>
    <x v="8"/>
    <x v="93"/>
    <x v="105"/>
    <x v="103"/>
    <x v="99"/>
    <x v="59"/>
    <x v="75"/>
    <x v="124"/>
    <x v="117"/>
    <n v="115.1"/>
    <n v="144.80000000000001"/>
    <n v="122.1"/>
    <n v="138.80000000000001"/>
    <n v="135.69999999999999"/>
    <n v="143.9"/>
    <n v="128.69999999999999"/>
    <n v="121.6"/>
    <n v="127.7"/>
    <x v="41"/>
    <n v="114.8"/>
    <n v="124.3"/>
    <n v="121.4"/>
    <n v="111.8"/>
    <n v="120.8"/>
    <n v="131.6"/>
    <n v="121.2"/>
    <n v="120.5"/>
    <n v="128"/>
    <n v="1"/>
  </r>
  <r>
    <x v="2"/>
    <x v="3"/>
    <x v="8"/>
    <x v="94"/>
    <x v="106"/>
    <x v="102"/>
    <x v="107"/>
    <x v="95"/>
    <x v="113"/>
    <x v="125"/>
    <x v="91"/>
    <n v="113.8"/>
    <n v="138.80000000000001"/>
    <n v="126"/>
    <n v="140.19999999999999"/>
    <n v="136.6"/>
    <n v="141"/>
    <n v="134.6"/>
    <n v="128.6"/>
    <n v="133.80000000000001"/>
    <x v="41"/>
    <n v="124.1"/>
    <n v="127.9"/>
    <n v="125.4"/>
    <n v="114.3"/>
    <n v="122.9"/>
    <n v="131.80000000000001"/>
    <n v="122.1"/>
    <n v="122.8"/>
    <n v="130.9"/>
    <n v="1"/>
  </r>
  <r>
    <x v="0"/>
    <x v="3"/>
    <x v="9"/>
    <x v="95"/>
    <x v="107"/>
    <x v="104"/>
    <x v="108"/>
    <x v="96"/>
    <x v="114"/>
    <x v="126"/>
    <x v="118"/>
    <n v="113.4"/>
    <n v="136.30000000000001"/>
    <n v="128.69999999999999"/>
    <n v="142.4"/>
    <n v="137.4"/>
    <n v="140.9"/>
    <n v="139.6"/>
    <n v="134.30000000000001"/>
    <n v="138.80000000000001"/>
    <x v="0"/>
    <n v="129.80000000000001"/>
    <n v="131.80000000000001"/>
    <n v="128.69999999999999"/>
    <n v="117.8"/>
    <n v="126.5"/>
    <n v="133"/>
    <n v="123"/>
    <n v="125.7"/>
    <n v="133.80000000000001"/>
    <n v="1"/>
  </r>
  <r>
    <x v="1"/>
    <x v="3"/>
    <x v="9"/>
    <x v="96"/>
    <x v="108"/>
    <x v="86"/>
    <x v="109"/>
    <x v="60"/>
    <x v="65"/>
    <x v="127"/>
    <x v="119"/>
    <n v="115.4"/>
    <n v="145.30000000000001"/>
    <n v="122.5"/>
    <n v="139.6"/>
    <n v="136.30000000000001"/>
    <n v="144.30000000000001"/>
    <n v="129.1"/>
    <n v="121.9"/>
    <n v="128"/>
    <x v="42"/>
    <n v="115.2"/>
    <n v="124.5"/>
    <n v="121.8"/>
    <n v="112.8"/>
    <n v="121.2"/>
    <n v="131.9"/>
    <n v="120.8"/>
    <n v="120.9"/>
    <n v="128.6"/>
    <n v="1"/>
  </r>
  <r>
    <x v="2"/>
    <x v="3"/>
    <x v="9"/>
    <x v="97"/>
    <x v="109"/>
    <x v="105"/>
    <x v="110"/>
    <x v="75"/>
    <x v="115"/>
    <x v="128"/>
    <x v="120"/>
    <n v="114.1"/>
    <n v="139.30000000000001"/>
    <n v="126.1"/>
    <n v="141.1"/>
    <n v="137"/>
    <n v="141.80000000000001"/>
    <n v="135.5"/>
    <n v="129.1"/>
    <n v="134.5"/>
    <x v="42"/>
    <n v="124.3"/>
    <n v="128.4"/>
    <n v="126.1"/>
    <n v="115.2"/>
    <n v="123.5"/>
    <n v="132.4"/>
    <n v="122.1"/>
    <n v="123.4"/>
    <n v="131.4"/>
    <n v="1"/>
  </r>
  <r>
    <x v="0"/>
    <x v="3"/>
    <x v="10"/>
    <x v="98"/>
    <x v="110"/>
    <x v="103"/>
    <x v="111"/>
    <x v="97"/>
    <x v="116"/>
    <x v="112"/>
    <x v="121"/>
    <n v="113.4"/>
    <n v="136.80000000000001"/>
    <n v="128.69999999999999"/>
    <n v="143.1"/>
    <n v="136.6"/>
    <n v="141.19999999999999"/>
    <n v="139.9"/>
    <n v="134.5"/>
    <n v="139.19999999999999"/>
    <x v="0"/>
    <n v="130.30000000000001"/>
    <n v="132.1"/>
    <n v="129.1"/>
    <n v="118.2"/>
    <n v="126.9"/>
    <n v="133.69999999999999"/>
    <n v="123.5"/>
    <n v="126.1"/>
    <n v="133.6"/>
    <n v="1"/>
  </r>
  <r>
    <x v="1"/>
    <x v="3"/>
    <x v="10"/>
    <x v="99"/>
    <x v="111"/>
    <x v="106"/>
    <x v="112"/>
    <x v="98"/>
    <x v="77"/>
    <x v="129"/>
    <x v="122"/>
    <n v="115.6"/>
    <n v="145.4"/>
    <n v="122.7"/>
    <n v="140.30000000000001"/>
    <n v="135.19999999999999"/>
    <n v="144.30000000000001"/>
    <n v="129.6"/>
    <n v="122.1"/>
    <n v="128.5"/>
    <x v="43"/>
    <n v="116.2"/>
    <n v="124.7"/>
    <n v="122.1"/>
    <n v="113.4"/>
    <n v="121.7"/>
    <n v="132.1"/>
    <n v="121.3"/>
    <n v="121.3"/>
    <n v="128.5"/>
    <n v="1"/>
  </r>
  <r>
    <x v="2"/>
    <x v="3"/>
    <x v="10"/>
    <x v="100"/>
    <x v="112"/>
    <x v="83"/>
    <x v="113"/>
    <x v="99"/>
    <x v="76"/>
    <x v="130"/>
    <x v="106"/>
    <n v="114.1"/>
    <n v="139.69999999999999"/>
    <n v="126.2"/>
    <n v="141.80000000000001"/>
    <n v="136.1"/>
    <n v="142"/>
    <n v="135.80000000000001"/>
    <n v="129.30000000000001"/>
    <n v="135"/>
    <x v="43"/>
    <n v="125"/>
    <n v="128.6"/>
    <n v="126.4"/>
    <n v="115.7"/>
    <n v="124"/>
    <n v="132.80000000000001"/>
    <n v="122.6"/>
    <n v="123.8"/>
    <n v="131.19999999999999"/>
    <n v="1"/>
  </r>
  <r>
    <x v="0"/>
    <x v="3"/>
    <x v="11"/>
    <x v="101"/>
    <x v="113"/>
    <x v="101"/>
    <x v="114"/>
    <x v="100"/>
    <x v="117"/>
    <x v="77"/>
    <x v="123"/>
    <n v="113.8"/>
    <n v="137.5"/>
    <n v="129.1"/>
    <n v="143.6"/>
    <n v="134.69999999999999"/>
    <n v="142.4"/>
    <n v="140.4"/>
    <n v="135.19999999999999"/>
    <n v="139.69999999999999"/>
    <x v="0"/>
    <n v="132"/>
    <n v="132.9"/>
    <n v="129.69999999999999"/>
    <n v="118.6"/>
    <n v="127.3"/>
    <n v="134.19999999999999"/>
    <n v="121.9"/>
    <n v="126.3"/>
    <n v="132.80000000000001"/>
    <n v="1"/>
  </r>
  <r>
    <x v="1"/>
    <x v="3"/>
    <x v="11"/>
    <x v="102"/>
    <x v="104"/>
    <x v="107"/>
    <x v="115"/>
    <x v="66"/>
    <x v="118"/>
    <x v="131"/>
    <x v="99"/>
    <n v="115.5"/>
    <n v="145.5"/>
    <n v="123.1"/>
    <n v="140.9"/>
    <n v="132.80000000000001"/>
    <n v="145"/>
    <n v="130"/>
    <n v="122.2"/>
    <n v="128.80000000000001"/>
    <x v="44"/>
    <n v="117.8"/>
    <n v="125"/>
    <n v="122.3"/>
    <n v="113.7"/>
    <n v="121.8"/>
    <n v="132.30000000000001"/>
    <n v="119.9"/>
    <n v="121.4"/>
    <n v="127.6"/>
    <n v="1"/>
  </r>
  <r>
    <x v="2"/>
    <x v="3"/>
    <x v="11"/>
    <x v="103"/>
    <x v="107"/>
    <x v="108"/>
    <x v="116"/>
    <x v="89"/>
    <x v="52"/>
    <x v="132"/>
    <x v="124"/>
    <n v="114.4"/>
    <n v="140.19999999999999"/>
    <n v="126.6"/>
    <n v="142.30000000000001"/>
    <n v="134"/>
    <n v="143.1"/>
    <n v="136.30000000000001"/>
    <n v="129.80000000000001"/>
    <n v="135.4"/>
    <x v="44"/>
    <n v="126.6"/>
    <n v="129.19999999999999"/>
    <n v="126.9"/>
    <n v="116"/>
    <n v="124.2"/>
    <n v="133.1"/>
    <n v="121.1"/>
    <n v="123.9"/>
    <n v="130.4"/>
    <n v="1"/>
  </r>
  <r>
    <x v="0"/>
    <x v="4"/>
    <x v="0"/>
    <x v="104"/>
    <x v="112"/>
    <x v="109"/>
    <x v="117"/>
    <x v="101"/>
    <x v="103"/>
    <x v="133"/>
    <x v="125"/>
    <n v="114.8"/>
    <n v="136.9"/>
    <n v="129"/>
    <n v="143.9"/>
    <n v="133.69999999999999"/>
    <n v="143.1"/>
    <n v="140.69999999999999"/>
    <n v="135.80000000000001"/>
    <n v="140"/>
    <x v="0"/>
    <n v="132.1"/>
    <n v="133.19999999999999"/>
    <n v="129.9"/>
    <n v="119.1"/>
    <n v="127"/>
    <n v="134.6"/>
    <n v="122.3"/>
    <n v="126.6"/>
    <n v="132.4"/>
    <n v="1"/>
  </r>
  <r>
    <x v="1"/>
    <x v="4"/>
    <x v="0"/>
    <x v="105"/>
    <x v="114"/>
    <x v="110"/>
    <x v="115"/>
    <x v="69"/>
    <x v="119"/>
    <x v="134"/>
    <x v="126"/>
    <n v="117.3"/>
    <n v="144.9"/>
    <n v="123.2"/>
    <n v="141.6"/>
    <n v="132"/>
    <n v="145.6"/>
    <n v="130.19999999999999"/>
    <n v="122.3"/>
    <n v="129"/>
    <x v="45"/>
    <n v="118"/>
    <n v="125.1"/>
    <n v="122.6"/>
    <n v="115.2"/>
    <n v="122"/>
    <n v="132.4"/>
    <n v="120.9"/>
    <n v="122.1"/>
    <n v="127.8"/>
    <n v="1"/>
  </r>
  <r>
    <x v="2"/>
    <x v="4"/>
    <x v="0"/>
    <x v="106"/>
    <x v="104"/>
    <x v="111"/>
    <x v="118"/>
    <x v="102"/>
    <x v="120"/>
    <x v="135"/>
    <x v="127"/>
    <n v="115.6"/>
    <n v="139.6"/>
    <n v="126.6"/>
    <n v="142.80000000000001"/>
    <n v="133.1"/>
    <n v="143.80000000000001"/>
    <n v="136.6"/>
    <n v="130.19999999999999"/>
    <n v="135.6"/>
    <x v="45"/>
    <n v="126.8"/>
    <n v="129.4"/>
    <n v="127.1"/>
    <n v="117"/>
    <n v="124.2"/>
    <n v="133.30000000000001"/>
    <n v="121.7"/>
    <n v="124.4"/>
    <n v="130.30000000000001"/>
    <n v="1"/>
  </r>
  <r>
    <x v="0"/>
    <x v="4"/>
    <x v="1"/>
    <x v="107"/>
    <x v="115"/>
    <x v="112"/>
    <x v="119"/>
    <x v="103"/>
    <x v="121"/>
    <x v="136"/>
    <x v="128"/>
    <n v="116.2"/>
    <n v="136"/>
    <n v="129.4"/>
    <n v="144.4"/>
    <n v="133.6"/>
    <n v="143.69999999999999"/>
    <n v="140.9"/>
    <n v="135.80000000000001"/>
    <n v="140.19999999999999"/>
    <x v="0"/>
    <n v="133.19999999999999"/>
    <n v="133.6"/>
    <n v="130.1"/>
    <n v="119.5"/>
    <n v="127.7"/>
    <n v="134.9"/>
    <n v="123.2"/>
    <n v="127"/>
    <n v="132.6"/>
    <n v="1"/>
  </r>
  <r>
    <x v="1"/>
    <x v="4"/>
    <x v="1"/>
    <x v="106"/>
    <x v="116"/>
    <x v="112"/>
    <x v="102"/>
    <x v="104"/>
    <x v="122"/>
    <x v="137"/>
    <x v="129"/>
    <n v="119.5"/>
    <n v="144"/>
    <n v="123.4"/>
    <n v="141.9"/>
    <n v="132.1"/>
    <n v="146.30000000000001"/>
    <n v="130.5"/>
    <n v="122.5"/>
    <n v="129.30000000000001"/>
    <x v="46"/>
    <n v="119.2"/>
    <n v="125.3"/>
    <n v="122.9"/>
    <n v="115.5"/>
    <n v="122.2"/>
    <n v="132.4"/>
    <n v="121.7"/>
    <n v="122.4"/>
    <n v="128.19999999999999"/>
    <n v="1"/>
  </r>
  <r>
    <x v="2"/>
    <x v="4"/>
    <x v="1"/>
    <x v="104"/>
    <x v="102"/>
    <x v="112"/>
    <x v="120"/>
    <x v="105"/>
    <x v="123"/>
    <x v="138"/>
    <x v="130"/>
    <n v="117.3"/>
    <n v="138.69999999999999"/>
    <n v="126.9"/>
    <n v="143.19999999999999"/>
    <n v="133"/>
    <n v="144.4"/>
    <n v="136.80000000000001"/>
    <n v="130.30000000000001"/>
    <n v="135.9"/>
    <x v="46"/>
    <n v="127.9"/>
    <n v="129.69999999999999"/>
    <n v="127.4"/>
    <n v="117.4"/>
    <n v="124.6"/>
    <n v="133.4"/>
    <n v="122.6"/>
    <n v="124.8"/>
    <n v="130.6"/>
    <n v="1"/>
  </r>
  <r>
    <x v="0"/>
    <x v="4"/>
    <x v="2"/>
    <x v="108"/>
    <x v="102"/>
    <x v="113"/>
    <x v="119"/>
    <x v="100"/>
    <x v="124"/>
    <x v="139"/>
    <x v="131"/>
    <n v="116.9"/>
    <n v="135.6"/>
    <n v="129.80000000000001"/>
    <n v="145.4"/>
    <n v="133.4"/>
    <n v="144.19999999999999"/>
    <n v="141.6"/>
    <n v="136.19999999999999"/>
    <n v="140.80000000000001"/>
    <x v="0"/>
    <n v="134.19999999999999"/>
    <n v="134.1"/>
    <n v="130.6"/>
    <n v="119.8"/>
    <n v="128.30000000000001"/>
    <n v="135.19999999999999"/>
    <n v="123.3"/>
    <n v="127.4"/>
    <n v="132.80000000000001"/>
    <n v="1"/>
  </r>
  <r>
    <x v="1"/>
    <x v="4"/>
    <x v="2"/>
    <x v="109"/>
    <x v="117"/>
    <x v="114"/>
    <x v="121"/>
    <x v="69"/>
    <x v="125"/>
    <x v="36"/>
    <x v="132"/>
    <n v="120.3"/>
    <n v="142.6"/>
    <n v="123.6"/>
    <n v="142.4"/>
    <n v="132.6"/>
    <n v="147.5"/>
    <n v="130.80000000000001"/>
    <n v="122.8"/>
    <n v="129.6"/>
    <x v="47"/>
    <n v="120.8"/>
    <n v="125.6"/>
    <n v="123.1"/>
    <n v="115.6"/>
    <n v="122.4"/>
    <n v="132.80000000000001"/>
    <n v="121.7"/>
    <n v="122.6"/>
    <n v="128.69999999999999"/>
    <n v="1"/>
  </r>
  <r>
    <x v="2"/>
    <x v="4"/>
    <x v="2"/>
    <x v="107"/>
    <x v="118"/>
    <x v="84"/>
    <x v="114"/>
    <x v="106"/>
    <x v="126"/>
    <x v="43"/>
    <x v="133"/>
    <n v="118"/>
    <n v="137.9"/>
    <n v="127.2"/>
    <n v="144"/>
    <n v="133.1"/>
    <n v="145.1"/>
    <n v="137.30000000000001"/>
    <n v="130.6"/>
    <n v="136.4"/>
    <x v="47"/>
    <n v="129.1"/>
    <n v="130.1"/>
    <n v="127.8"/>
    <n v="117.6"/>
    <n v="125"/>
    <n v="133.80000000000001"/>
    <n v="122.6"/>
    <n v="125.1"/>
    <n v="130.9"/>
    <n v="1"/>
  </r>
  <r>
    <x v="0"/>
    <x v="4"/>
    <x v="3"/>
    <x v="110"/>
    <x v="119"/>
    <x v="80"/>
    <x v="122"/>
    <x v="107"/>
    <x v="127"/>
    <x v="140"/>
    <x v="134"/>
    <n v="117.4"/>
    <n v="134.1"/>
    <n v="130"/>
    <n v="145.5"/>
    <n v="133.5"/>
    <n v="144.4"/>
    <n v="142.4"/>
    <n v="136.80000000000001"/>
    <n v="141.6"/>
    <x v="0"/>
    <n v="135"/>
    <n v="134.30000000000001"/>
    <n v="131"/>
    <n v="119.2"/>
    <n v="128.30000000000001"/>
    <n v="135.69999999999999"/>
    <n v="123.7"/>
    <n v="127.5"/>
    <n v="132.9"/>
    <n v="1"/>
  </r>
  <r>
    <x v="1"/>
    <x v="4"/>
    <x v="3"/>
    <x v="109"/>
    <x v="120"/>
    <x v="37"/>
    <x v="114"/>
    <x v="66"/>
    <x v="128"/>
    <x v="141"/>
    <x v="74"/>
    <n v="120.8"/>
    <n v="141.30000000000001"/>
    <n v="123.8"/>
    <n v="142.6"/>
    <n v="133.4"/>
    <n v="148"/>
    <n v="131.19999999999999"/>
    <n v="123"/>
    <n v="130"/>
    <x v="48"/>
    <n v="121.4"/>
    <n v="126"/>
    <n v="123.4"/>
    <n v="114.3"/>
    <n v="122.6"/>
    <n v="133.6"/>
    <n v="122.2"/>
    <n v="122.5"/>
    <n v="129.1"/>
    <n v="1"/>
  </r>
  <r>
    <x v="2"/>
    <x v="4"/>
    <x v="3"/>
    <x v="111"/>
    <x v="117"/>
    <x v="115"/>
    <x v="119"/>
    <x v="108"/>
    <x v="129"/>
    <x v="142"/>
    <x v="135"/>
    <n v="118.5"/>
    <n v="136.5"/>
    <n v="127.4"/>
    <n v="144.19999999999999"/>
    <n v="133.5"/>
    <n v="145.4"/>
    <n v="138"/>
    <n v="131.1"/>
    <n v="137"/>
    <x v="48"/>
    <n v="129.80000000000001"/>
    <n v="130.4"/>
    <n v="128.1"/>
    <n v="116.6"/>
    <n v="125.1"/>
    <n v="134.5"/>
    <n v="123.1"/>
    <n v="125.1"/>
    <n v="131.1"/>
    <n v="1"/>
  </r>
  <r>
    <x v="0"/>
    <x v="4"/>
    <x v="4"/>
    <x v="104"/>
    <x v="103"/>
    <x v="116"/>
    <x v="123"/>
    <x v="96"/>
    <x v="110"/>
    <x v="143"/>
    <x v="136"/>
    <n v="118.6"/>
    <n v="134"/>
    <n v="130.30000000000001"/>
    <n v="145.80000000000001"/>
    <n v="133.80000000000001"/>
    <n v="145.5"/>
    <n v="142.5"/>
    <n v="137.30000000000001"/>
    <n v="141.80000000000001"/>
    <x v="0"/>
    <n v="135"/>
    <n v="134.9"/>
    <n v="131.4"/>
    <n v="119.4"/>
    <n v="129.4"/>
    <n v="136.30000000000001"/>
    <n v="123.7"/>
    <n v="127.9"/>
    <n v="133.30000000000001"/>
    <n v="1"/>
  </r>
  <r>
    <x v="1"/>
    <x v="4"/>
    <x v="4"/>
    <x v="101"/>
    <x v="121"/>
    <x v="117"/>
    <x v="124"/>
    <x v="109"/>
    <x v="130"/>
    <x v="17"/>
    <x v="137"/>
    <n v="121"/>
    <n v="139.9"/>
    <n v="123.8"/>
    <n v="142.9"/>
    <n v="133.6"/>
    <n v="148.30000000000001"/>
    <n v="131.5"/>
    <n v="123.2"/>
    <n v="130.19999999999999"/>
    <x v="49"/>
    <n v="120.1"/>
    <n v="126.5"/>
    <n v="123.6"/>
    <n v="114.3"/>
    <n v="122.8"/>
    <n v="133.80000000000001"/>
    <n v="122"/>
    <n v="122.6"/>
    <n v="129.30000000000001"/>
    <n v="1"/>
  </r>
  <r>
    <x v="2"/>
    <x v="4"/>
    <x v="4"/>
    <x v="112"/>
    <x v="122"/>
    <x v="58"/>
    <x v="122"/>
    <x v="110"/>
    <x v="131"/>
    <x v="144"/>
    <x v="138"/>
    <n v="119.4"/>
    <n v="136"/>
    <n v="127.6"/>
    <n v="144.5"/>
    <n v="133.69999999999999"/>
    <n v="146.19999999999999"/>
    <n v="138.19999999999999"/>
    <n v="131.4"/>
    <n v="137.19999999999999"/>
    <x v="49"/>
    <n v="129.4"/>
    <n v="130.9"/>
    <n v="128.4"/>
    <n v="116.7"/>
    <n v="125.7"/>
    <n v="134.80000000000001"/>
    <n v="123"/>
    <n v="125.3"/>
    <n v="131.4"/>
    <n v="1"/>
  </r>
  <r>
    <x v="0"/>
    <x v="4"/>
    <x v="5"/>
    <x v="113"/>
    <x v="123"/>
    <x v="118"/>
    <x v="125"/>
    <x v="111"/>
    <x v="132"/>
    <x v="145"/>
    <x v="139"/>
    <n v="118.9"/>
    <n v="133.5"/>
    <n v="130.4"/>
    <n v="146.5"/>
    <n v="134.9"/>
    <n v="145.80000000000001"/>
    <n v="143.1"/>
    <n v="137.69999999999999"/>
    <n v="142.30000000000001"/>
    <x v="0"/>
    <n v="134.80000000000001"/>
    <n v="135.19999999999999"/>
    <n v="131.30000000000001"/>
    <n v="119.4"/>
    <n v="129.80000000000001"/>
    <n v="136.9"/>
    <n v="124.1"/>
    <n v="128.1"/>
    <n v="133.9"/>
    <n v="1"/>
  </r>
  <r>
    <x v="1"/>
    <x v="4"/>
    <x v="5"/>
    <x v="112"/>
    <x v="124"/>
    <x v="96"/>
    <x v="126"/>
    <x v="66"/>
    <x v="133"/>
    <x v="146"/>
    <x v="140"/>
    <n v="120.9"/>
    <n v="138.80000000000001"/>
    <n v="124.2"/>
    <n v="143.1"/>
    <n v="135.69999999999999"/>
    <n v="148.6"/>
    <n v="131.5"/>
    <n v="123.2"/>
    <n v="130.19999999999999"/>
    <x v="50"/>
    <n v="119"/>
    <n v="126.8"/>
    <n v="123.8"/>
    <n v="113.9"/>
    <n v="122.9"/>
    <n v="134.30000000000001"/>
    <n v="122.5"/>
    <n v="122.7"/>
    <n v="129.9"/>
    <n v="1"/>
  </r>
  <r>
    <x v="2"/>
    <x v="4"/>
    <x v="5"/>
    <x v="107"/>
    <x v="125"/>
    <x v="119"/>
    <x v="127"/>
    <x v="86"/>
    <x v="112"/>
    <x v="147"/>
    <x v="141"/>
    <n v="119.6"/>
    <n v="135.30000000000001"/>
    <n v="127.8"/>
    <n v="144.9"/>
    <n v="135.19999999999999"/>
    <n v="146.5"/>
    <n v="138.5"/>
    <n v="131.69999999999999"/>
    <n v="137.5"/>
    <x v="50"/>
    <n v="128.80000000000001"/>
    <n v="131.19999999999999"/>
    <n v="128.5"/>
    <n v="116.5"/>
    <n v="125.9"/>
    <n v="135.4"/>
    <n v="123.4"/>
    <n v="125.5"/>
    <n v="132"/>
    <n v="1"/>
  </r>
  <r>
    <x v="0"/>
    <x v="4"/>
    <x v="6"/>
    <x v="114"/>
    <x v="100"/>
    <x v="120"/>
    <x v="128"/>
    <x v="111"/>
    <x v="134"/>
    <x v="148"/>
    <x v="142"/>
    <n v="120"/>
    <n v="133.9"/>
    <n v="131.4"/>
    <n v="147.69999999999999"/>
    <n v="138.5"/>
    <n v="147.4"/>
    <n v="144.30000000000001"/>
    <n v="138.1"/>
    <n v="143.5"/>
    <x v="0"/>
    <n v="135.30000000000001"/>
    <n v="136.1"/>
    <n v="132.1"/>
    <n v="119.1"/>
    <n v="130.6"/>
    <n v="138.6"/>
    <n v="124.4"/>
    <n v="128.6"/>
    <n v="136.19999999999999"/>
    <n v="1"/>
  </r>
  <r>
    <x v="1"/>
    <x v="4"/>
    <x v="6"/>
    <x v="106"/>
    <x v="126"/>
    <x v="121"/>
    <x v="122"/>
    <x v="109"/>
    <x v="135"/>
    <x v="149"/>
    <x v="143"/>
    <n v="121.5"/>
    <n v="137.80000000000001"/>
    <n v="124.4"/>
    <n v="143.69999999999999"/>
    <n v="139.80000000000001"/>
    <n v="150.5"/>
    <n v="131.6"/>
    <n v="123.7"/>
    <n v="130.4"/>
    <x v="51"/>
    <n v="119.7"/>
    <n v="127.2"/>
    <n v="125"/>
    <n v="113.2"/>
    <n v="123.5"/>
    <n v="135.5"/>
    <n v="122.4"/>
    <n v="123"/>
    <n v="131.80000000000001"/>
    <n v="1"/>
  </r>
  <r>
    <x v="2"/>
    <x v="4"/>
    <x v="6"/>
    <x v="108"/>
    <x v="127"/>
    <x v="97"/>
    <x v="129"/>
    <x v="110"/>
    <x v="127"/>
    <x v="150"/>
    <x v="144"/>
    <n v="120.5"/>
    <n v="135.19999999999999"/>
    <n v="128.5"/>
    <n v="145.80000000000001"/>
    <n v="139"/>
    <n v="148.19999999999999"/>
    <n v="139.30000000000001"/>
    <n v="132.1"/>
    <n v="138.30000000000001"/>
    <x v="51"/>
    <n v="129.4"/>
    <n v="131.9"/>
    <n v="129.4"/>
    <n v="116"/>
    <n v="126.6"/>
    <n v="136.80000000000001"/>
    <n v="123.6"/>
    <n v="125.9"/>
    <n v="134.19999999999999"/>
    <n v="1"/>
  </r>
  <r>
    <x v="0"/>
    <x v="4"/>
    <x v="7"/>
    <x v="115"/>
    <x v="128"/>
    <x v="122"/>
    <x v="130"/>
    <x v="112"/>
    <x v="136"/>
    <x v="151"/>
    <x v="73"/>
    <n v="120.8"/>
    <n v="134.69999999999999"/>
    <n v="131.6"/>
    <n v="148.69999999999999"/>
    <n v="140.6"/>
    <n v="149"/>
    <n v="145.30000000000001"/>
    <n v="139.19999999999999"/>
    <n v="144.5"/>
    <x v="0"/>
    <n v="136.4"/>
    <n v="137.30000000000001"/>
    <n v="133"/>
    <n v="120.3"/>
    <n v="131.5"/>
    <n v="140.19999999999999"/>
    <n v="125.4"/>
    <n v="129.69999999999999"/>
    <n v="137.80000000000001"/>
    <n v="1"/>
  </r>
  <r>
    <x v="1"/>
    <x v="4"/>
    <x v="7"/>
    <x v="110"/>
    <x v="97"/>
    <x v="96"/>
    <x v="131"/>
    <x v="63"/>
    <x v="137"/>
    <x v="152"/>
    <x v="145"/>
    <n v="122.1"/>
    <n v="137.5"/>
    <n v="124.6"/>
    <n v="144.5"/>
    <n v="140.5"/>
    <n v="152.1"/>
    <n v="132.69999999999999"/>
    <n v="124.3"/>
    <n v="131.4"/>
    <x v="52"/>
    <n v="118.9"/>
    <n v="127.7"/>
    <n v="125.7"/>
    <n v="114.6"/>
    <n v="124.1"/>
    <n v="135.69999999999999"/>
    <n v="123.3"/>
    <n v="123.8"/>
    <n v="132.69999999999999"/>
    <n v="1"/>
  </r>
  <r>
    <x v="2"/>
    <x v="4"/>
    <x v="7"/>
    <x v="116"/>
    <x v="129"/>
    <x v="112"/>
    <x v="128"/>
    <x v="110"/>
    <x v="138"/>
    <x v="58"/>
    <x v="146"/>
    <n v="121.2"/>
    <n v="135.6"/>
    <n v="128.69999999999999"/>
    <n v="146.80000000000001"/>
    <n v="140.6"/>
    <n v="149.80000000000001"/>
    <n v="140.30000000000001"/>
    <n v="133"/>
    <n v="139.30000000000001"/>
    <x v="52"/>
    <n v="129.80000000000001"/>
    <n v="132.80000000000001"/>
    <n v="130.19999999999999"/>
    <n v="117.3"/>
    <n v="127.3"/>
    <n v="137.6"/>
    <n v="124.5"/>
    <n v="126.8"/>
    <n v="135.4"/>
    <n v="1"/>
  </r>
  <r>
    <x v="0"/>
    <x v="4"/>
    <x v="8"/>
    <x v="117"/>
    <x v="130"/>
    <x v="102"/>
    <x v="132"/>
    <x v="113"/>
    <x v="139"/>
    <x v="153"/>
    <x v="147"/>
    <n v="121"/>
    <n v="134.69999999999999"/>
    <n v="131.69999999999999"/>
    <n v="149.30000000000001"/>
    <n v="139.6"/>
    <n v="149.80000000000001"/>
    <n v="146.1"/>
    <n v="139.69999999999999"/>
    <n v="145.19999999999999"/>
    <x v="0"/>
    <n v="137.4"/>
    <n v="137.9"/>
    <n v="133.4"/>
    <n v="121.2"/>
    <n v="132.30000000000001"/>
    <n v="139.6"/>
    <n v="126.7"/>
    <n v="130.30000000000001"/>
    <n v="137.6"/>
    <n v="1"/>
  </r>
  <r>
    <x v="1"/>
    <x v="4"/>
    <x v="8"/>
    <x v="108"/>
    <x v="131"/>
    <x v="123"/>
    <x v="133"/>
    <x v="85"/>
    <x v="140"/>
    <x v="154"/>
    <x v="148"/>
    <n v="122.4"/>
    <n v="137.30000000000001"/>
    <n v="124.8"/>
    <n v="145"/>
    <n v="138"/>
    <n v="153.6"/>
    <n v="133.30000000000001"/>
    <n v="124.6"/>
    <n v="132"/>
    <x v="53"/>
    <n v="120.6"/>
    <n v="128.1"/>
    <n v="126.1"/>
    <n v="115.7"/>
    <n v="124.5"/>
    <n v="135.9"/>
    <n v="124.4"/>
    <n v="124.5"/>
    <n v="132.4"/>
    <n v="1"/>
  </r>
  <r>
    <x v="2"/>
    <x v="4"/>
    <x v="8"/>
    <x v="118"/>
    <x v="132"/>
    <x v="105"/>
    <x v="134"/>
    <x v="108"/>
    <x v="141"/>
    <x v="155"/>
    <x v="149"/>
    <n v="121.5"/>
    <n v="135.6"/>
    <n v="128.80000000000001"/>
    <n v="147.30000000000001"/>
    <n v="139"/>
    <n v="150.80000000000001"/>
    <n v="141.1"/>
    <n v="133.4"/>
    <n v="140"/>
    <x v="53"/>
    <n v="131"/>
    <n v="133.30000000000001"/>
    <n v="130.6"/>
    <n v="118.3"/>
    <n v="127.9"/>
    <n v="137.4"/>
    <n v="125.7"/>
    <n v="127.5"/>
    <n v="135.19999999999999"/>
    <n v="1"/>
  </r>
  <r>
    <x v="0"/>
    <x v="4"/>
    <x v="9"/>
    <x v="119"/>
    <x v="133"/>
    <x v="124"/>
    <x v="135"/>
    <x v="114"/>
    <x v="142"/>
    <x v="156"/>
    <x v="150"/>
    <n v="121.4"/>
    <n v="135.6"/>
    <n v="131.30000000000001"/>
    <n v="150.30000000000001"/>
    <n v="140.4"/>
    <n v="150.5"/>
    <n v="147.19999999999999"/>
    <n v="140.6"/>
    <n v="146.19999999999999"/>
    <x v="0"/>
    <n v="138.1"/>
    <n v="138.4"/>
    <n v="134.19999999999999"/>
    <n v="121"/>
    <n v="133"/>
    <n v="140.1"/>
    <n v="127.4"/>
    <n v="130.69999999999999"/>
    <n v="138.30000000000001"/>
    <n v="1"/>
  </r>
  <r>
    <x v="1"/>
    <x v="4"/>
    <x v="9"/>
    <x v="120"/>
    <x v="134"/>
    <x v="125"/>
    <x v="136"/>
    <x v="77"/>
    <x v="117"/>
    <x v="157"/>
    <x v="151"/>
    <n v="122.6"/>
    <n v="137.80000000000001"/>
    <n v="125.1"/>
    <n v="145.5"/>
    <n v="139.69999999999999"/>
    <n v="154.6"/>
    <n v="134"/>
    <n v="124.9"/>
    <n v="132.6"/>
    <x v="54"/>
    <n v="122.6"/>
    <n v="128.30000000000001"/>
    <n v="126.6"/>
    <n v="115"/>
    <n v="124.8"/>
    <n v="136.30000000000001"/>
    <n v="124.6"/>
    <n v="124.5"/>
    <n v="133.5"/>
    <n v="1"/>
  </r>
  <r>
    <x v="2"/>
    <x v="4"/>
    <x v="9"/>
    <x v="121"/>
    <x v="135"/>
    <x v="126"/>
    <x v="137"/>
    <x v="115"/>
    <x v="143"/>
    <x v="158"/>
    <x v="152"/>
    <n v="121.8"/>
    <n v="136.30000000000001"/>
    <n v="128.69999999999999"/>
    <n v="148.1"/>
    <n v="140.1"/>
    <n v="151.6"/>
    <n v="142"/>
    <n v="134.1"/>
    <n v="140.80000000000001"/>
    <x v="54"/>
    <n v="132.19999999999999"/>
    <n v="133.6"/>
    <n v="131.30000000000001"/>
    <n v="117.8"/>
    <n v="128.4"/>
    <n v="137.9"/>
    <n v="126.2"/>
    <n v="127.7"/>
    <n v="136.1"/>
    <n v="1"/>
  </r>
  <r>
    <x v="0"/>
    <x v="4"/>
    <x v="10"/>
    <x v="122"/>
    <x v="136"/>
    <x v="127"/>
    <x v="135"/>
    <x v="100"/>
    <x v="144"/>
    <x v="159"/>
    <x v="132"/>
    <n v="122.5"/>
    <n v="136"/>
    <n v="131.9"/>
    <n v="151.4"/>
    <n v="142.4"/>
    <n v="152.1"/>
    <n v="148.19999999999999"/>
    <n v="141.5"/>
    <n v="147.30000000000001"/>
    <x v="0"/>
    <n v="141.1"/>
    <n v="139.4"/>
    <n v="135.80000000000001"/>
    <n v="121.6"/>
    <n v="133.69999999999999"/>
    <n v="141.5"/>
    <n v="128.1"/>
    <n v="131.69999999999999"/>
    <n v="140"/>
    <n v="1"/>
  </r>
  <r>
    <x v="1"/>
    <x v="4"/>
    <x v="10"/>
    <x v="116"/>
    <x v="94"/>
    <x v="128"/>
    <x v="138"/>
    <x v="116"/>
    <x v="145"/>
    <x v="160"/>
    <x v="153"/>
    <n v="123.9"/>
    <n v="138.30000000000001"/>
    <n v="125.4"/>
    <n v="146"/>
    <n v="141.5"/>
    <n v="156.19999999999999"/>
    <n v="135"/>
    <n v="125.4"/>
    <n v="133.5"/>
    <x v="55"/>
    <n v="125.7"/>
    <n v="128.80000000000001"/>
    <n v="127.4"/>
    <n v="115.3"/>
    <n v="125.1"/>
    <n v="136.6"/>
    <n v="124.9"/>
    <n v="124.9"/>
    <n v="134.80000000000001"/>
    <n v="1"/>
  </r>
  <r>
    <x v="2"/>
    <x v="4"/>
    <x v="10"/>
    <x v="123"/>
    <x v="132"/>
    <x v="129"/>
    <x v="139"/>
    <x v="105"/>
    <x v="146"/>
    <x v="161"/>
    <x v="154"/>
    <n v="123"/>
    <n v="136.80000000000001"/>
    <n v="129.19999999999999"/>
    <n v="148.9"/>
    <n v="142.1"/>
    <n v="153.19999999999999"/>
    <n v="143"/>
    <n v="134.80000000000001"/>
    <n v="141.80000000000001"/>
    <x v="55"/>
    <n v="135.30000000000001"/>
    <n v="134.4"/>
    <n v="132.6"/>
    <n v="118.3"/>
    <n v="128.9"/>
    <n v="138.6"/>
    <n v="126.8"/>
    <n v="128.4"/>
    <n v="137.6"/>
    <n v="1"/>
  </r>
  <r>
    <x v="0"/>
    <x v="4"/>
    <x v="11"/>
    <x v="124"/>
    <x v="123"/>
    <x v="130"/>
    <x v="140"/>
    <x v="117"/>
    <x v="147"/>
    <x v="162"/>
    <x v="74"/>
    <n v="121.9"/>
    <n v="135.80000000000001"/>
    <n v="131.1"/>
    <n v="151.4"/>
    <n v="141.5"/>
    <n v="153.19999999999999"/>
    <n v="148"/>
    <n v="141.9"/>
    <n v="147.19999999999999"/>
    <x v="0"/>
    <n v="142.6"/>
    <n v="139.5"/>
    <n v="136.1"/>
    <n v="122"/>
    <n v="133.4"/>
    <n v="141.1"/>
    <n v="127.8"/>
    <n v="131.9"/>
    <n v="139.80000000000001"/>
    <n v="1"/>
  </r>
  <r>
    <x v="1"/>
    <x v="4"/>
    <x v="11"/>
    <x v="125"/>
    <x v="137"/>
    <x v="131"/>
    <x v="138"/>
    <x v="118"/>
    <x v="148"/>
    <x v="163"/>
    <x v="155"/>
    <n v="120.7"/>
    <n v="139.69999999999999"/>
    <n v="125.7"/>
    <n v="146.30000000000001"/>
    <n v="138.80000000000001"/>
    <n v="157"/>
    <n v="135.6"/>
    <n v="125.6"/>
    <n v="134"/>
    <x v="56"/>
    <n v="126.8"/>
    <n v="129.30000000000001"/>
    <n v="128.19999999999999"/>
    <n v="115.3"/>
    <n v="125.6"/>
    <n v="136.69999999999999"/>
    <n v="124.6"/>
    <n v="125.1"/>
    <n v="134.1"/>
    <n v="1"/>
  </r>
  <r>
    <x v="2"/>
    <x v="4"/>
    <x v="11"/>
    <x v="126"/>
    <x v="138"/>
    <x v="132"/>
    <x v="141"/>
    <x v="112"/>
    <x v="143"/>
    <x v="164"/>
    <x v="156"/>
    <n v="121.5"/>
    <n v="137.1"/>
    <n v="128.80000000000001"/>
    <n v="149"/>
    <n v="140.5"/>
    <n v="154.19999999999999"/>
    <n v="143.1"/>
    <n v="135.1"/>
    <n v="142"/>
    <x v="56"/>
    <n v="136.6"/>
    <n v="134.69999999999999"/>
    <n v="133.1"/>
    <n v="118.5"/>
    <n v="129"/>
    <n v="138.5"/>
    <n v="126.5"/>
    <n v="128.6"/>
    <n v="137.19999999999999"/>
    <n v="1"/>
  </r>
  <r>
    <x v="0"/>
    <x v="5"/>
    <x v="0"/>
    <x v="127"/>
    <x v="139"/>
    <x v="133"/>
    <x v="142"/>
    <x v="119"/>
    <x v="149"/>
    <x v="165"/>
    <x v="157"/>
    <n v="119.5"/>
    <n v="136"/>
    <n v="131.19999999999999"/>
    <n v="151.80000000000001"/>
    <n v="140.4"/>
    <n v="153.6"/>
    <n v="148.30000000000001"/>
    <n v="142.30000000000001"/>
    <n v="147.5"/>
    <x v="0"/>
    <n v="142.30000000000001"/>
    <n v="139.80000000000001"/>
    <n v="136"/>
    <n v="122.7"/>
    <n v="134.30000000000001"/>
    <n v="141.6"/>
    <n v="128.6"/>
    <n v="132.30000000000001"/>
    <n v="139.30000000000001"/>
    <n v="1"/>
  </r>
  <r>
    <x v="1"/>
    <x v="5"/>
    <x v="0"/>
    <x v="128"/>
    <x v="123"/>
    <x v="134"/>
    <x v="134"/>
    <x v="91"/>
    <x v="150"/>
    <x v="166"/>
    <x v="158"/>
    <n v="117.3"/>
    <n v="140.5"/>
    <n v="125.9"/>
    <n v="146.80000000000001"/>
    <n v="137.19999999999999"/>
    <n v="157.69999999999999"/>
    <n v="136"/>
    <n v="125.9"/>
    <n v="134.4"/>
    <x v="57"/>
    <n v="127.3"/>
    <n v="129.5"/>
    <n v="129"/>
    <n v="116.3"/>
    <n v="126.2"/>
    <n v="137.1"/>
    <n v="125.5"/>
    <n v="125.8"/>
    <n v="134.1"/>
    <n v="1"/>
  </r>
  <r>
    <x v="2"/>
    <x v="5"/>
    <x v="0"/>
    <x v="129"/>
    <x v="100"/>
    <x v="135"/>
    <x v="143"/>
    <x v="113"/>
    <x v="151"/>
    <x v="167"/>
    <x v="159"/>
    <n v="118.8"/>
    <n v="137.5"/>
    <n v="129"/>
    <n v="149.5"/>
    <n v="139.19999999999999"/>
    <n v="154.69999999999999"/>
    <n v="143.5"/>
    <n v="135.5"/>
    <n v="142.30000000000001"/>
    <x v="57"/>
    <n v="136.6"/>
    <n v="134.9"/>
    <n v="133.30000000000001"/>
    <n v="119.3"/>
    <n v="129.69999999999999"/>
    <n v="139"/>
    <n v="127.3"/>
    <n v="129.1"/>
    <n v="136.9"/>
    <n v="1"/>
  </r>
  <r>
    <x v="0"/>
    <x v="5"/>
    <x v="1"/>
    <x v="124"/>
    <x v="123"/>
    <x v="136"/>
    <x v="135"/>
    <x v="120"/>
    <x v="152"/>
    <x v="168"/>
    <x v="160"/>
    <n v="117.9"/>
    <n v="135.6"/>
    <n v="130.5"/>
    <n v="151.69999999999999"/>
    <n v="138.69999999999999"/>
    <n v="153.30000000000001"/>
    <n v="148.69999999999999"/>
    <n v="142.4"/>
    <n v="147.80000000000001"/>
    <x v="0"/>
    <n v="142.4"/>
    <n v="139.9"/>
    <n v="136.19999999999999"/>
    <n v="123.3"/>
    <n v="134.30000000000001"/>
    <n v="141.5"/>
    <n v="128.80000000000001"/>
    <n v="132.5"/>
    <n v="138.5"/>
    <n v="1"/>
  </r>
  <r>
    <x v="1"/>
    <x v="5"/>
    <x v="1"/>
    <x v="115"/>
    <x v="131"/>
    <x v="137"/>
    <x v="144"/>
    <x v="121"/>
    <x v="105"/>
    <x v="169"/>
    <x v="161"/>
    <n v="115.4"/>
    <n v="140.69999999999999"/>
    <n v="125.9"/>
    <n v="147.1"/>
    <n v="135.6"/>
    <n v="159.30000000000001"/>
    <n v="136.30000000000001"/>
    <n v="126.1"/>
    <n v="134.69999999999999"/>
    <x v="58"/>
    <n v="127.3"/>
    <n v="129.9"/>
    <n v="129.80000000000001"/>
    <n v="117.4"/>
    <n v="126.5"/>
    <n v="137.19999999999999"/>
    <n v="126.2"/>
    <n v="126.5"/>
    <n v="134"/>
    <n v="1"/>
  </r>
  <r>
    <x v="2"/>
    <x v="5"/>
    <x v="1"/>
    <x v="119"/>
    <x v="140"/>
    <x v="138"/>
    <x v="145"/>
    <x v="122"/>
    <x v="153"/>
    <x v="68"/>
    <x v="162"/>
    <n v="117.1"/>
    <n v="137.30000000000001"/>
    <n v="128.6"/>
    <n v="149.6"/>
    <n v="137.6"/>
    <n v="154.9"/>
    <n v="143.80000000000001"/>
    <n v="135.6"/>
    <n v="142.6"/>
    <x v="58"/>
    <n v="136.69999999999999"/>
    <n v="135.19999999999999"/>
    <n v="133.80000000000001"/>
    <n v="120.2"/>
    <n v="129.9"/>
    <n v="139"/>
    <n v="127.7"/>
    <n v="129.6"/>
    <n v="136.4"/>
    <n v="1"/>
  </r>
  <r>
    <x v="0"/>
    <x v="5"/>
    <x v="2"/>
    <x v="130"/>
    <x v="141"/>
    <x v="139"/>
    <x v="142"/>
    <x v="119"/>
    <x v="154"/>
    <x v="170"/>
    <x v="163"/>
    <n v="117.1"/>
    <n v="136.30000000000001"/>
    <n v="131.19999999999999"/>
    <n v="152.80000000000001"/>
    <n v="138.6"/>
    <n v="155.1"/>
    <n v="149.19999999999999"/>
    <n v="143"/>
    <n v="148.30000000000001"/>
    <x v="0"/>
    <n v="142.6"/>
    <n v="139.9"/>
    <n v="136.69999999999999"/>
    <n v="124.6"/>
    <n v="135.1"/>
    <n v="142.69999999999999"/>
    <n v="129.30000000000001"/>
    <n v="133.30000000000001"/>
    <n v="138.69999999999999"/>
    <n v="1"/>
  </r>
  <r>
    <x v="1"/>
    <x v="5"/>
    <x v="2"/>
    <x v="131"/>
    <x v="128"/>
    <x v="140"/>
    <x v="144"/>
    <x v="123"/>
    <x v="107"/>
    <x v="75"/>
    <x v="48"/>
    <n v="114.2"/>
    <n v="140.69999999999999"/>
    <n v="126.2"/>
    <n v="147.6"/>
    <n v="134.80000000000001"/>
    <n v="159.69999999999999"/>
    <n v="136.69999999999999"/>
    <n v="126.7"/>
    <n v="135.19999999999999"/>
    <x v="59"/>
    <n v="126.4"/>
    <n v="130.80000000000001"/>
    <n v="130.5"/>
    <n v="117.8"/>
    <n v="126.8"/>
    <n v="137.80000000000001"/>
    <n v="126.7"/>
    <n v="127.1"/>
    <n v="134"/>
    <n v="1"/>
  </r>
  <r>
    <x v="2"/>
    <x v="5"/>
    <x v="2"/>
    <x v="132"/>
    <x v="142"/>
    <x v="141"/>
    <x v="146"/>
    <x v="113"/>
    <x v="155"/>
    <x v="171"/>
    <x v="164"/>
    <n v="116.1"/>
    <n v="137.80000000000001"/>
    <n v="129.1"/>
    <n v="150.4"/>
    <n v="137.19999999999999"/>
    <n v="156.30000000000001"/>
    <n v="144.30000000000001"/>
    <n v="136.19999999999999"/>
    <n v="143.1"/>
    <x v="59"/>
    <n v="136.5"/>
    <n v="135.6"/>
    <n v="134.30000000000001"/>
    <n v="121"/>
    <n v="130.4"/>
    <n v="139.80000000000001"/>
    <n v="128.19999999999999"/>
    <n v="130.30000000000001"/>
    <n v="136.5"/>
    <n v="1"/>
  </r>
  <r>
    <x v="0"/>
    <x v="5"/>
    <x v="3"/>
    <x v="133"/>
    <x v="143"/>
    <x v="142"/>
    <x v="147"/>
    <x v="124"/>
    <x v="156"/>
    <x v="172"/>
    <x v="165"/>
    <n v="115.2"/>
    <n v="137.19999999999999"/>
    <n v="131.9"/>
    <n v="153.80000000000001"/>
    <n v="138.6"/>
    <n v="156.1"/>
    <n v="150.1"/>
    <n v="143.30000000000001"/>
    <n v="149.1"/>
    <x v="0"/>
    <n v="143.80000000000001"/>
    <n v="140.9"/>
    <n v="137.6"/>
    <n v="125.3"/>
    <n v="136"/>
    <n v="143.69999999999999"/>
    <n v="130.4"/>
    <n v="134.19999999999999"/>
    <n v="139.1"/>
    <n v="1"/>
  </r>
  <r>
    <x v="1"/>
    <x v="5"/>
    <x v="3"/>
    <x v="131"/>
    <x v="144"/>
    <x v="143"/>
    <x v="148"/>
    <x v="125"/>
    <x v="157"/>
    <x v="173"/>
    <x v="166"/>
    <n v="110.6"/>
    <n v="140.19999999999999"/>
    <n v="126.5"/>
    <n v="148.30000000000001"/>
    <n v="135.69999999999999"/>
    <n v="159.19999999999999"/>
    <n v="137.80000000000001"/>
    <n v="127.4"/>
    <n v="136.19999999999999"/>
    <x v="60"/>
    <n v="124.6"/>
    <n v="131.80000000000001"/>
    <n v="131.30000000000001"/>
    <n v="118.9"/>
    <n v="127.6"/>
    <n v="139.69999999999999"/>
    <n v="127.6"/>
    <n v="128.19999999999999"/>
    <n v="134.80000000000001"/>
    <n v="1"/>
  </r>
  <r>
    <x v="2"/>
    <x v="5"/>
    <x v="3"/>
    <x v="124"/>
    <x v="139"/>
    <x v="144"/>
    <x v="149"/>
    <x v="126"/>
    <x v="158"/>
    <x v="174"/>
    <x v="145"/>
    <n v="113.7"/>
    <n v="138.19999999999999"/>
    <n v="129.6"/>
    <n v="151.19999999999999"/>
    <n v="137.5"/>
    <n v="156.9"/>
    <n v="145.30000000000001"/>
    <n v="136.69999999999999"/>
    <n v="144"/>
    <x v="60"/>
    <n v="136.5"/>
    <n v="136.6"/>
    <n v="135.19999999999999"/>
    <n v="121.9"/>
    <n v="131.30000000000001"/>
    <n v="141.4"/>
    <n v="129.19999999999999"/>
    <n v="131.30000000000001"/>
    <n v="137.1"/>
    <n v="1"/>
  </r>
  <r>
    <x v="0"/>
    <x v="5"/>
    <x v="4"/>
    <x v="134"/>
    <x v="127"/>
    <x v="140"/>
    <x v="150"/>
    <x v="127"/>
    <x v="159"/>
    <x v="175"/>
    <x v="63"/>
    <n v="111.8"/>
    <n v="137.4"/>
    <n v="132.19999999999999"/>
    <n v="154.30000000000001"/>
    <n v="139.1"/>
    <n v="157"/>
    <n v="150.80000000000001"/>
    <n v="144.1"/>
    <n v="149.80000000000001"/>
    <x v="0"/>
    <n v="144.30000000000001"/>
    <n v="141.80000000000001"/>
    <n v="138.4"/>
    <n v="126.4"/>
    <n v="136.80000000000001"/>
    <n v="144.4"/>
    <n v="131.19999999999999"/>
    <n v="135.1"/>
    <n v="139.80000000000001"/>
    <n v="1"/>
  </r>
  <r>
    <x v="1"/>
    <x v="5"/>
    <x v="4"/>
    <x v="131"/>
    <x v="145"/>
    <x v="102"/>
    <x v="151"/>
    <x v="91"/>
    <x v="160"/>
    <x v="76"/>
    <x v="38"/>
    <n v="105.3"/>
    <n v="139.6"/>
    <n v="126.6"/>
    <n v="148.69999999999999"/>
    <n v="136.4"/>
    <n v="160.30000000000001"/>
    <n v="138.6"/>
    <n v="127.9"/>
    <n v="137"/>
    <x v="61"/>
    <n v="124.7"/>
    <n v="132.5"/>
    <n v="132"/>
    <n v="119.8"/>
    <n v="128"/>
    <n v="140.4"/>
    <n v="128.1"/>
    <n v="128.9"/>
    <n v="135.4"/>
    <n v="1"/>
  </r>
  <r>
    <x v="2"/>
    <x v="5"/>
    <x v="4"/>
    <x v="127"/>
    <x v="146"/>
    <x v="145"/>
    <x v="152"/>
    <x v="126"/>
    <x v="161"/>
    <x v="81"/>
    <x v="167"/>
    <n v="109.6"/>
    <n v="138.1"/>
    <n v="129.9"/>
    <n v="151.69999999999999"/>
    <n v="138.1"/>
    <n v="157.9"/>
    <n v="146"/>
    <n v="137.4"/>
    <n v="144.69999999999999"/>
    <x v="61"/>
    <n v="136.9"/>
    <n v="137.4"/>
    <n v="136"/>
    <n v="122.9"/>
    <n v="131.80000000000001"/>
    <n v="142.1"/>
    <n v="129.9"/>
    <n v="132.1"/>
    <n v="137.80000000000001"/>
    <n v="1"/>
  </r>
  <r>
    <x v="0"/>
    <x v="5"/>
    <x v="5"/>
    <x v="135"/>
    <x v="147"/>
    <x v="146"/>
    <x v="153"/>
    <x v="128"/>
    <x v="162"/>
    <x v="176"/>
    <x v="168"/>
    <n v="112.4"/>
    <n v="137.6"/>
    <n v="132.80000000000001"/>
    <n v="154.30000000000001"/>
    <n v="140"/>
    <n v="157.30000000000001"/>
    <n v="151.30000000000001"/>
    <n v="144.69999999999999"/>
    <n v="150.30000000000001"/>
    <x v="0"/>
    <n v="145.1"/>
    <n v="142.19999999999999"/>
    <n v="138.4"/>
    <n v="127.4"/>
    <n v="137.80000000000001"/>
    <n v="145.1"/>
    <n v="131.4"/>
    <n v="135.6"/>
    <n v="140.5"/>
    <n v="1"/>
  </r>
  <r>
    <x v="1"/>
    <x v="5"/>
    <x v="5"/>
    <x v="121"/>
    <x v="148"/>
    <x v="144"/>
    <x v="139"/>
    <x v="125"/>
    <x v="163"/>
    <x v="177"/>
    <x v="169"/>
    <n v="108.4"/>
    <n v="140"/>
    <n v="126.7"/>
    <n v="149"/>
    <n v="138.4"/>
    <n v="161"/>
    <n v="138.9"/>
    <n v="128.69999999999999"/>
    <n v="137.4"/>
    <x v="62"/>
    <n v="126.5"/>
    <n v="133.1"/>
    <n v="132.6"/>
    <n v="120.4"/>
    <n v="128.5"/>
    <n v="141.19999999999999"/>
    <n v="128.19999999999999"/>
    <n v="129.5"/>
    <n v="136.19999999999999"/>
    <n v="1"/>
  </r>
  <r>
    <x v="2"/>
    <x v="5"/>
    <x v="5"/>
    <x v="136"/>
    <x v="124"/>
    <x v="147"/>
    <x v="154"/>
    <x v="107"/>
    <x v="164"/>
    <x v="178"/>
    <x v="170"/>
    <n v="111.1"/>
    <n v="138.4"/>
    <n v="130.30000000000001"/>
    <n v="151.80000000000001"/>
    <n v="139.4"/>
    <n v="158.30000000000001"/>
    <n v="146.4"/>
    <n v="138.1"/>
    <n v="145.19999999999999"/>
    <x v="62"/>
    <n v="138.1"/>
    <n v="137.9"/>
    <n v="136.19999999999999"/>
    <n v="123.7"/>
    <n v="132.6"/>
    <n v="142.80000000000001"/>
    <n v="130.1"/>
    <n v="132.6"/>
    <n v="138.5"/>
    <n v="1"/>
  </r>
  <r>
    <x v="0"/>
    <x v="5"/>
    <x v="6"/>
    <x v="137"/>
    <x v="149"/>
    <x v="148"/>
    <x v="155"/>
    <x v="129"/>
    <x v="165"/>
    <x v="179"/>
    <x v="171"/>
    <n v="114.3"/>
    <n v="138.19999999999999"/>
    <n v="132.80000000000001"/>
    <n v="154.80000000000001"/>
    <n v="142"/>
    <n v="156.1"/>
    <n v="151.5"/>
    <n v="145.1"/>
    <n v="150.6"/>
    <x v="0"/>
    <n v="146.80000000000001"/>
    <n v="143.1"/>
    <n v="139"/>
    <n v="127.5"/>
    <n v="138.4"/>
    <n v="145.80000000000001"/>
    <n v="131.4"/>
    <n v="136"/>
    <n v="141.80000000000001"/>
    <n v="1"/>
  </r>
  <r>
    <x v="1"/>
    <x v="5"/>
    <x v="6"/>
    <x v="138"/>
    <x v="150"/>
    <x v="149"/>
    <x v="141"/>
    <x v="130"/>
    <x v="166"/>
    <x v="180"/>
    <x v="35"/>
    <n v="111.8"/>
    <n v="140.30000000000001"/>
    <n v="126.8"/>
    <n v="149.4"/>
    <n v="140.30000000000001"/>
    <n v="161.4"/>
    <n v="139.6"/>
    <n v="128.9"/>
    <n v="137.9"/>
    <x v="63"/>
    <n v="128.1"/>
    <n v="133.6"/>
    <n v="133.6"/>
    <n v="120.1"/>
    <n v="129"/>
    <n v="144"/>
    <n v="128.19999999999999"/>
    <n v="130.19999999999999"/>
    <n v="137.5"/>
    <n v="1"/>
  </r>
  <r>
    <x v="2"/>
    <x v="5"/>
    <x v="6"/>
    <x v="139"/>
    <x v="151"/>
    <x v="150"/>
    <x v="156"/>
    <x v="114"/>
    <x v="167"/>
    <x v="181"/>
    <x v="172"/>
    <n v="113.5"/>
    <n v="138.9"/>
    <n v="130.30000000000001"/>
    <n v="152.30000000000001"/>
    <n v="141.4"/>
    <n v="157.5"/>
    <n v="146.80000000000001"/>
    <n v="138.4"/>
    <n v="145.6"/>
    <x v="63"/>
    <n v="139.69999999999999"/>
    <n v="138.6"/>
    <n v="137"/>
    <n v="123.6"/>
    <n v="133.1"/>
    <n v="144.69999999999999"/>
    <n v="130.1"/>
    <n v="133.19999999999999"/>
    <n v="139.80000000000001"/>
    <n v="1"/>
  </r>
  <r>
    <x v="0"/>
    <x v="5"/>
    <x v="7"/>
    <x v="140"/>
    <x v="152"/>
    <x v="149"/>
    <x v="157"/>
    <x v="131"/>
    <x v="168"/>
    <x v="182"/>
    <x v="173"/>
    <n v="115.4"/>
    <n v="138.6"/>
    <n v="133.80000000000001"/>
    <n v="155.19999999999999"/>
    <n v="142.69999999999999"/>
    <n v="156.4"/>
    <n v="152.1"/>
    <n v="145.80000000000001"/>
    <n v="151.30000000000001"/>
    <x v="0"/>
    <n v="147.69999999999999"/>
    <n v="143.80000000000001"/>
    <n v="139.4"/>
    <n v="128.30000000000001"/>
    <n v="138.6"/>
    <n v="146.9"/>
    <n v="131.30000000000001"/>
    <n v="136.6"/>
    <n v="142.5"/>
    <n v="1"/>
  </r>
  <r>
    <x v="1"/>
    <x v="5"/>
    <x v="7"/>
    <x v="141"/>
    <x v="153"/>
    <x v="98"/>
    <x v="146"/>
    <x v="132"/>
    <x v="169"/>
    <x v="183"/>
    <x v="174"/>
    <n v="113.3"/>
    <n v="141.1"/>
    <n v="127.4"/>
    <n v="150.4"/>
    <n v="140.1"/>
    <n v="162.1"/>
    <n v="140"/>
    <n v="129"/>
    <n v="138.30000000000001"/>
    <x v="64"/>
    <n v="129.80000000000001"/>
    <n v="134.4"/>
    <n v="134.9"/>
    <n v="120.7"/>
    <n v="129.80000000000001"/>
    <n v="145.30000000000001"/>
    <n v="128.30000000000001"/>
    <n v="131"/>
    <n v="138"/>
    <n v="1"/>
  </r>
  <r>
    <x v="2"/>
    <x v="5"/>
    <x v="7"/>
    <x v="142"/>
    <x v="154"/>
    <x v="151"/>
    <x v="158"/>
    <x v="133"/>
    <x v="170"/>
    <x v="155"/>
    <x v="64"/>
    <n v="114.7"/>
    <n v="139.4"/>
    <n v="131.1"/>
    <n v="153"/>
    <n v="141.69999999999999"/>
    <n v="157.9"/>
    <n v="147.30000000000001"/>
    <n v="138.80000000000001"/>
    <n v="146.1"/>
    <x v="64"/>
    <n v="140.9"/>
    <n v="139.4"/>
    <n v="137.69999999999999"/>
    <n v="124.3"/>
    <n v="133.6"/>
    <n v="146"/>
    <n v="130.1"/>
    <n v="133.9"/>
    <n v="140.4"/>
    <n v="1"/>
  </r>
  <r>
    <x v="0"/>
    <x v="5"/>
    <x v="8"/>
    <x v="143"/>
    <x v="155"/>
    <x v="98"/>
    <x v="159"/>
    <x v="134"/>
    <x v="157"/>
    <x v="184"/>
    <x v="175"/>
    <n v="114.4"/>
    <n v="138.69999999999999"/>
    <n v="133.1"/>
    <n v="155.9"/>
    <n v="141.30000000000001"/>
    <n v="157.69999999999999"/>
    <n v="152.1"/>
    <n v="146.1"/>
    <n v="151.30000000000001"/>
    <x v="0"/>
    <n v="149"/>
    <n v="144"/>
    <n v="140"/>
    <n v="129.9"/>
    <n v="140"/>
    <n v="147.6"/>
    <n v="132"/>
    <n v="137.4"/>
    <n v="142.1"/>
    <n v="1"/>
  </r>
  <r>
    <x v="1"/>
    <x v="5"/>
    <x v="8"/>
    <x v="144"/>
    <x v="128"/>
    <x v="152"/>
    <x v="135"/>
    <x v="75"/>
    <x v="171"/>
    <x v="185"/>
    <x v="176"/>
    <n v="112.3"/>
    <n v="141.19999999999999"/>
    <n v="127.7"/>
    <n v="151.30000000000001"/>
    <n v="138.9"/>
    <n v="163.30000000000001"/>
    <n v="140.80000000000001"/>
    <n v="129.30000000000001"/>
    <n v="139.1"/>
    <x v="65"/>
    <n v="131.19999999999999"/>
    <n v="134.9"/>
    <n v="135.69999999999999"/>
    <n v="122.5"/>
    <n v="130.19999999999999"/>
    <n v="145.19999999999999"/>
    <n v="129.30000000000001"/>
    <n v="131.9"/>
    <n v="138.1"/>
    <n v="1"/>
  </r>
  <r>
    <x v="2"/>
    <x v="5"/>
    <x v="8"/>
    <x v="145"/>
    <x v="156"/>
    <x v="153"/>
    <x v="150"/>
    <x v="103"/>
    <x v="172"/>
    <x v="186"/>
    <x v="170"/>
    <n v="113.7"/>
    <n v="139.5"/>
    <n v="130.80000000000001"/>
    <n v="153.80000000000001"/>
    <n v="140.4"/>
    <n v="159.19999999999999"/>
    <n v="147.69999999999999"/>
    <n v="139.1"/>
    <n v="146.5"/>
    <x v="65"/>
    <n v="142.30000000000001"/>
    <n v="139.69999999999999"/>
    <n v="138.4"/>
    <n v="126"/>
    <n v="134.5"/>
    <n v="146.19999999999999"/>
    <n v="130.9"/>
    <n v="134.69999999999999"/>
    <n v="140.19999999999999"/>
    <n v="1"/>
  </r>
  <r>
    <x v="0"/>
    <x v="5"/>
    <x v="9"/>
    <x v="146"/>
    <x v="157"/>
    <x v="154"/>
    <x v="140"/>
    <x v="124"/>
    <x v="173"/>
    <x v="187"/>
    <x v="170"/>
    <n v="112.3"/>
    <n v="139.5"/>
    <n v="134.6"/>
    <n v="155.19999999999999"/>
    <n v="140.19999999999999"/>
    <n v="159.6"/>
    <n v="150.69999999999999"/>
    <n v="144.5"/>
    <n v="149.80000000000001"/>
    <x v="0"/>
    <n v="149.69999999999999"/>
    <n v="147.5"/>
    <n v="144.80000000000001"/>
    <n v="130.80000000000001"/>
    <n v="140.1"/>
    <n v="148"/>
    <n v="134.4"/>
    <n v="139.80000000000001"/>
    <n v="142.19999999999999"/>
    <n v="1"/>
  </r>
  <r>
    <x v="1"/>
    <x v="5"/>
    <x v="9"/>
    <x v="135"/>
    <x v="158"/>
    <x v="155"/>
    <x v="135"/>
    <x v="99"/>
    <x v="174"/>
    <x v="188"/>
    <x v="40"/>
    <n v="112.8"/>
    <n v="141.1"/>
    <n v="127.6"/>
    <n v="152"/>
    <n v="139.4"/>
    <n v="164"/>
    <n v="141.5"/>
    <n v="129.80000000000001"/>
    <n v="139.69999999999999"/>
    <x v="66"/>
    <n v="133.4"/>
    <n v="135.1"/>
    <n v="136.19999999999999"/>
    <n v="123.3"/>
    <n v="130.69999999999999"/>
    <n v="145.5"/>
    <n v="130.4"/>
    <n v="132.5"/>
    <n v="138.9"/>
    <n v="1"/>
  </r>
  <r>
    <x v="2"/>
    <x v="5"/>
    <x v="9"/>
    <x v="134"/>
    <x v="159"/>
    <x v="156"/>
    <x v="140"/>
    <x v="97"/>
    <x v="175"/>
    <x v="84"/>
    <x v="58"/>
    <n v="111.9"/>
    <n v="141"/>
    <n v="133.6"/>
    <n v="154.5"/>
    <n v="139.69999999999999"/>
    <n v="162.6"/>
    <n v="148"/>
    <n v="139.19999999999999"/>
    <n v="146.80000000000001"/>
    <x v="67"/>
    <n v="145.30000000000001"/>
    <n v="142.19999999999999"/>
    <n v="142.1"/>
    <n v="125.5"/>
    <n v="136.5"/>
    <n v="147.80000000000001"/>
    <n v="132"/>
    <n v="136.30000000000001"/>
    <n v="140.80000000000001"/>
    <n v="1"/>
  </r>
  <r>
    <x v="0"/>
    <x v="5"/>
    <x v="10"/>
    <x v="133"/>
    <x v="160"/>
    <x v="146"/>
    <x v="140"/>
    <x v="135"/>
    <x v="134"/>
    <x v="189"/>
    <x v="177"/>
    <n v="111.6"/>
    <n v="140.6"/>
    <n v="137.5"/>
    <n v="156.1"/>
    <n v="140"/>
    <n v="161.9"/>
    <n v="151.69999999999999"/>
    <n v="145.5"/>
    <n v="150.80000000000001"/>
    <x v="0"/>
    <n v="150.30000000000001"/>
    <n v="148"/>
    <n v="145.4"/>
    <n v="130.30000000000001"/>
    <n v="143.1"/>
    <n v="150.19999999999999"/>
    <n v="133.1"/>
    <n v="140.1"/>
    <n v="142.4"/>
    <n v="1"/>
  </r>
  <r>
    <x v="1"/>
    <x v="5"/>
    <x v="10"/>
    <x v="147"/>
    <x v="161"/>
    <x v="157"/>
    <x v="149"/>
    <x v="110"/>
    <x v="143"/>
    <x v="190"/>
    <x v="178"/>
    <n v="112.5"/>
    <n v="141.4"/>
    <n v="128"/>
    <n v="152.6"/>
    <n v="139.1"/>
    <n v="164.4"/>
    <n v="142.4"/>
    <n v="130.19999999999999"/>
    <n v="140.5"/>
    <x v="67"/>
    <n v="136.69999999999999"/>
    <n v="135.80000000000001"/>
    <n v="136.80000000000001"/>
    <n v="121.2"/>
    <n v="131.30000000000001"/>
    <n v="146.1"/>
    <n v="130.5"/>
    <n v="132.19999999999999"/>
    <n v="139"/>
    <n v="1"/>
  </r>
  <r>
    <x v="2"/>
    <x v="5"/>
    <x v="10"/>
    <x v="134"/>
    <x v="162"/>
    <x v="158"/>
    <x v="160"/>
    <x v="97"/>
    <x v="176"/>
    <x v="84"/>
    <x v="58"/>
    <n v="111.9"/>
    <n v="140.9"/>
    <n v="133.5"/>
    <n v="154.5"/>
    <n v="139.69999999999999"/>
    <n v="162.6"/>
    <n v="148"/>
    <n v="139.1"/>
    <n v="146.69999999999999"/>
    <x v="67"/>
    <n v="145.1"/>
    <n v="142.19999999999999"/>
    <n v="142.1"/>
    <n v="125.5"/>
    <n v="136.5"/>
    <n v="147.80000000000001"/>
    <n v="132"/>
    <n v="136.30000000000001"/>
    <n v="140.80000000000001"/>
    <n v="1"/>
  </r>
  <r>
    <x v="0"/>
    <x v="5"/>
    <x v="11"/>
    <x v="133"/>
    <x v="163"/>
    <x v="159"/>
    <x v="147"/>
    <x v="136"/>
    <x v="110"/>
    <x v="191"/>
    <x v="61"/>
    <n v="109.9"/>
    <n v="140.19999999999999"/>
    <n v="137.80000000000001"/>
    <n v="156"/>
    <n v="138.5"/>
    <n v="162.4"/>
    <n v="151.6"/>
    <n v="145.9"/>
    <n v="150.80000000000001"/>
    <x v="0"/>
    <n v="149"/>
    <n v="149.5"/>
    <n v="149.6"/>
    <n v="128.9"/>
    <n v="143.30000000000001"/>
    <n v="155.1"/>
    <n v="133.19999999999999"/>
    <n v="141.6"/>
    <n v="141.9"/>
    <n v="1"/>
  </r>
  <r>
    <x v="1"/>
    <x v="5"/>
    <x v="11"/>
    <x v="148"/>
    <x v="164"/>
    <x v="160"/>
    <x v="149"/>
    <x v="110"/>
    <x v="107"/>
    <x v="192"/>
    <x v="179"/>
    <n v="111"/>
    <n v="141.5"/>
    <n v="128.1"/>
    <n v="152.9"/>
    <n v="137.6"/>
    <n v="164.6"/>
    <n v="142.69999999999999"/>
    <n v="130.30000000000001"/>
    <n v="140.80000000000001"/>
    <x v="68"/>
    <n v="132.4"/>
    <n v="136.19999999999999"/>
    <n v="137.30000000000001"/>
    <n v="118.8"/>
    <n v="131.69999999999999"/>
    <n v="146.5"/>
    <n v="130.80000000000001"/>
    <n v="131.69999999999999"/>
    <n v="138"/>
    <n v="1"/>
  </r>
  <r>
    <x v="2"/>
    <x v="5"/>
    <x v="11"/>
    <x v="139"/>
    <x v="165"/>
    <x v="161"/>
    <x v="152"/>
    <x v="101"/>
    <x v="135"/>
    <x v="83"/>
    <x v="155"/>
    <n v="110.3"/>
    <n v="140.6"/>
    <n v="133.80000000000001"/>
    <n v="154.6"/>
    <n v="138.19999999999999"/>
    <n v="163"/>
    <n v="148.1"/>
    <n v="139.4"/>
    <n v="146.80000000000001"/>
    <x v="68"/>
    <n v="142.69999999999999"/>
    <n v="143.19999999999999"/>
    <n v="144.9"/>
    <n v="123.6"/>
    <n v="136.80000000000001"/>
    <n v="150.1"/>
    <n v="132.19999999999999"/>
    <n v="136.80000000000001"/>
    <n v="140.1"/>
    <n v="1"/>
  </r>
  <r>
    <x v="0"/>
    <x v="6"/>
    <x v="0"/>
    <x v="127"/>
    <x v="166"/>
    <x v="162"/>
    <x v="147"/>
    <x v="137"/>
    <x v="105"/>
    <x v="193"/>
    <x v="180"/>
    <n v="108.4"/>
    <n v="138.9"/>
    <n v="137"/>
    <n v="155.80000000000001"/>
    <n v="137.4"/>
    <n v="162.69999999999999"/>
    <n v="150.6"/>
    <n v="145.1"/>
    <n v="149.9"/>
    <x v="0"/>
    <n v="146.19999999999999"/>
    <n v="150.1"/>
    <n v="149.6"/>
    <n v="128.6"/>
    <n v="142.9"/>
    <n v="155.19999999999999"/>
    <n v="133.5"/>
    <n v="141.69999999999999"/>
    <n v="141"/>
    <n v="1"/>
  </r>
  <r>
    <x v="1"/>
    <x v="6"/>
    <x v="0"/>
    <x v="142"/>
    <x v="167"/>
    <x v="163"/>
    <x v="161"/>
    <x v="110"/>
    <x v="130"/>
    <x v="194"/>
    <x v="181"/>
    <n v="110.4"/>
    <n v="140.4"/>
    <n v="128.1"/>
    <n v="153.19999999999999"/>
    <n v="137.30000000000001"/>
    <n v="164.7"/>
    <n v="143"/>
    <n v="130.4"/>
    <n v="141.1"/>
    <x v="69"/>
    <n v="128.6"/>
    <n v="136.30000000000001"/>
    <n v="137.80000000000001"/>
    <n v="118.6"/>
    <n v="131.9"/>
    <n v="146.6"/>
    <n v="131.69999999999999"/>
    <n v="131.80000000000001"/>
    <n v="138"/>
    <n v="1"/>
  </r>
  <r>
    <x v="2"/>
    <x v="6"/>
    <x v="0"/>
    <x v="133"/>
    <x v="168"/>
    <x v="164"/>
    <x v="152"/>
    <x v="138"/>
    <x v="177"/>
    <x v="195"/>
    <x v="182"/>
    <n v="109.1"/>
    <n v="139.4"/>
    <n v="133.30000000000001"/>
    <n v="154.6"/>
    <n v="137.4"/>
    <n v="163.19999999999999"/>
    <n v="147.6"/>
    <n v="139"/>
    <n v="146.4"/>
    <x v="69"/>
    <n v="139.5"/>
    <n v="143.6"/>
    <n v="145.1"/>
    <n v="123.3"/>
    <n v="136.69999999999999"/>
    <n v="150.19999999999999"/>
    <n v="132.80000000000001"/>
    <n v="136.9"/>
    <n v="139.6"/>
    <n v="1"/>
  </r>
  <r>
    <x v="0"/>
    <x v="6"/>
    <x v="1"/>
    <x v="130"/>
    <x v="169"/>
    <x v="149"/>
    <x v="156"/>
    <x v="129"/>
    <x v="111"/>
    <x v="196"/>
    <x v="65"/>
    <n v="108.3"/>
    <n v="139.19999999999999"/>
    <n v="137.4"/>
    <n v="156.19999999999999"/>
    <n v="137.19999999999999"/>
    <n v="162.80000000000001"/>
    <n v="150.5"/>
    <n v="146.1"/>
    <n v="149.9"/>
    <x v="0"/>
    <n v="145.30000000000001"/>
    <n v="150.1"/>
    <n v="149.9"/>
    <n v="129.19999999999999"/>
    <n v="143.4"/>
    <n v="155.5"/>
    <n v="134.9"/>
    <n v="142.19999999999999"/>
    <n v="141"/>
    <n v="1"/>
  </r>
  <r>
    <x v="1"/>
    <x v="6"/>
    <x v="1"/>
    <x v="143"/>
    <x v="170"/>
    <x v="165"/>
    <x v="161"/>
    <x v="108"/>
    <x v="108"/>
    <x v="197"/>
    <x v="62"/>
    <n v="110.4"/>
    <n v="140.80000000000001"/>
    <n v="128.30000000000001"/>
    <n v="153.5"/>
    <n v="138"/>
    <n v="164.9"/>
    <n v="143.30000000000001"/>
    <n v="130.80000000000001"/>
    <n v="141.4"/>
    <x v="70"/>
    <n v="127.1"/>
    <n v="136.6"/>
    <n v="138.5"/>
    <n v="119.2"/>
    <n v="132.19999999999999"/>
    <n v="146.6"/>
    <n v="133"/>
    <n v="132.4"/>
    <n v="138.6"/>
    <n v="1"/>
  </r>
  <r>
    <x v="2"/>
    <x v="6"/>
    <x v="1"/>
    <x v="135"/>
    <x v="171"/>
    <x v="166"/>
    <x v="162"/>
    <x v="101"/>
    <x v="145"/>
    <x v="198"/>
    <x v="177"/>
    <n v="109"/>
    <n v="139.69999999999999"/>
    <n v="133.6"/>
    <n v="154.9"/>
    <n v="137.5"/>
    <n v="163.4"/>
    <n v="147.69999999999999"/>
    <n v="139.69999999999999"/>
    <n v="146.5"/>
    <x v="70"/>
    <n v="138.4"/>
    <n v="143.69999999999999"/>
    <n v="145.6"/>
    <n v="123.9"/>
    <n v="137.1"/>
    <n v="150.30000000000001"/>
    <n v="134.1"/>
    <n v="137.4"/>
    <n v="139.9"/>
    <n v="1"/>
  </r>
  <r>
    <x v="0"/>
    <x v="6"/>
    <x v="2"/>
    <x v="136"/>
    <x v="172"/>
    <x v="167"/>
    <x v="156"/>
    <x v="129"/>
    <x v="113"/>
    <x v="72"/>
    <x v="167"/>
    <n v="108.3"/>
    <n v="138.9"/>
    <n v="137.4"/>
    <n v="156.4"/>
    <n v="137.30000000000001"/>
    <n v="162.9"/>
    <n v="150.80000000000001"/>
    <n v="146.1"/>
    <n v="150.1"/>
    <x v="0"/>
    <n v="146.4"/>
    <n v="150"/>
    <n v="150.4"/>
    <n v="129.9"/>
    <n v="143.80000000000001"/>
    <n v="155.5"/>
    <n v="134"/>
    <n v="142.4"/>
    <n v="141.19999999999999"/>
    <n v="1"/>
  </r>
  <r>
    <x v="1"/>
    <x v="6"/>
    <x v="2"/>
    <x v="149"/>
    <x v="173"/>
    <x v="129"/>
    <x v="140"/>
    <x v="108"/>
    <x v="135"/>
    <x v="199"/>
    <x v="183"/>
    <n v="110.4"/>
    <n v="140.69999999999999"/>
    <n v="128.5"/>
    <n v="153.9"/>
    <n v="139.6"/>
    <n v="165.3"/>
    <n v="143.5"/>
    <n v="131.19999999999999"/>
    <n v="141.6"/>
    <x v="71"/>
    <n v="128.80000000000001"/>
    <n v="136.80000000000001"/>
    <n v="139.19999999999999"/>
    <n v="119.9"/>
    <n v="133"/>
    <n v="146.69999999999999"/>
    <n v="132.5"/>
    <n v="132.80000000000001"/>
    <n v="139.5"/>
    <n v="1"/>
  </r>
  <r>
    <x v="2"/>
    <x v="6"/>
    <x v="2"/>
    <x v="150"/>
    <x v="169"/>
    <x v="138"/>
    <x v="154"/>
    <x v="101"/>
    <x v="178"/>
    <x v="174"/>
    <x v="184"/>
    <n v="109"/>
    <n v="139.5"/>
    <n v="133.69999999999999"/>
    <n v="155.19999999999999"/>
    <n v="138.1"/>
    <n v="163.5"/>
    <n v="147.9"/>
    <n v="139.9"/>
    <n v="146.69999999999999"/>
    <x v="71"/>
    <n v="139.69999999999999"/>
    <n v="143.80000000000001"/>
    <n v="146.19999999999999"/>
    <n v="124.6"/>
    <n v="137.69999999999999"/>
    <n v="150.30000000000001"/>
    <n v="133.4"/>
    <n v="137.69999999999999"/>
    <n v="140.4"/>
    <n v="1"/>
  </r>
  <r>
    <x v="0"/>
    <x v="6"/>
    <x v="4"/>
    <x v="134"/>
    <x v="174"/>
    <x v="168"/>
    <x v="158"/>
    <x v="128"/>
    <x v="179"/>
    <x v="200"/>
    <x v="60"/>
    <n v="109.3"/>
    <n v="139.30000000000001"/>
    <n v="137.69999999999999"/>
    <n v="156.4"/>
    <n v="139.19999999999999"/>
    <n v="163.30000000000001"/>
    <n v="151.30000000000001"/>
    <n v="146.6"/>
    <n v="150.69999999999999"/>
    <x v="0"/>
    <n v="146.9"/>
    <n v="149.5"/>
    <n v="151.30000000000001"/>
    <n v="130.19999999999999"/>
    <n v="145.9"/>
    <n v="156.69999999999999"/>
    <n v="133.9"/>
    <n v="142.9"/>
    <n v="142.4"/>
    <n v="1"/>
  </r>
  <r>
    <x v="1"/>
    <x v="6"/>
    <x v="4"/>
    <x v="151"/>
    <x v="175"/>
    <x v="141"/>
    <x v="147"/>
    <x v="89"/>
    <x v="166"/>
    <x v="201"/>
    <x v="185"/>
    <n v="111.2"/>
    <n v="141"/>
    <n v="128.9"/>
    <n v="154.5"/>
    <n v="143.80000000000001"/>
    <n v="166.2"/>
    <n v="144"/>
    <n v="131.69999999999999"/>
    <n v="142.19999999999999"/>
    <x v="72"/>
    <n v="129.4"/>
    <n v="137.19999999999999"/>
    <n v="139.80000000000001"/>
    <n v="120.1"/>
    <n v="134"/>
    <n v="148"/>
    <n v="132.6"/>
    <n v="133.30000000000001"/>
    <n v="141.5"/>
    <n v="1"/>
  </r>
  <r>
    <x v="2"/>
    <x v="6"/>
    <x v="4"/>
    <x v="142"/>
    <x v="176"/>
    <x v="169"/>
    <x v="156"/>
    <x v="101"/>
    <x v="180"/>
    <x v="202"/>
    <x v="186"/>
    <n v="109.9"/>
    <n v="139.9"/>
    <n v="134"/>
    <n v="155.5"/>
    <n v="140.9"/>
    <n v="164.1"/>
    <n v="148.4"/>
    <n v="140.4"/>
    <n v="147.30000000000001"/>
    <x v="72"/>
    <n v="140.30000000000001"/>
    <n v="143.69999999999999"/>
    <n v="146.9"/>
    <n v="124.9"/>
    <n v="139.19999999999999"/>
    <n v="151.6"/>
    <n v="133.4"/>
    <n v="138.19999999999999"/>
    <n v="142"/>
    <n v="1"/>
  </r>
  <r>
    <x v="0"/>
    <x v="6"/>
    <x v="5"/>
    <x v="150"/>
    <x v="177"/>
    <x v="170"/>
    <x v="153"/>
    <x v="139"/>
    <x v="181"/>
    <x v="203"/>
    <x v="187"/>
    <n v="110.6"/>
    <n v="140.4"/>
    <n v="138"/>
    <n v="156.6"/>
    <n v="141"/>
    <n v="164.2"/>
    <n v="151.4"/>
    <n v="146.5"/>
    <n v="150.69999999999999"/>
    <x v="0"/>
    <n v="147.80000000000001"/>
    <n v="149.6"/>
    <n v="151.69999999999999"/>
    <n v="130.19999999999999"/>
    <n v="146.4"/>
    <n v="157.69999999999999"/>
    <n v="134.80000000000001"/>
    <n v="143.30000000000001"/>
    <n v="143.6"/>
    <n v="1"/>
  </r>
  <r>
    <x v="1"/>
    <x v="6"/>
    <x v="5"/>
    <x v="152"/>
    <x v="178"/>
    <x v="171"/>
    <x v="155"/>
    <x v="89"/>
    <x v="182"/>
    <x v="204"/>
    <x v="188"/>
    <n v="111.8"/>
    <n v="141"/>
    <n v="129"/>
    <n v="155.1"/>
    <n v="145.6"/>
    <n v="166.7"/>
    <n v="144.30000000000001"/>
    <n v="131.69999999999999"/>
    <n v="142.4"/>
    <x v="73"/>
    <n v="130.5"/>
    <n v="137.4"/>
    <n v="140.30000000000001"/>
    <n v="119.6"/>
    <n v="134.30000000000001"/>
    <n v="148.9"/>
    <n v="133.69999999999999"/>
    <n v="133.6"/>
    <n v="142.1"/>
    <n v="1"/>
  </r>
  <r>
    <x v="2"/>
    <x v="6"/>
    <x v="5"/>
    <x v="153"/>
    <x v="179"/>
    <x v="157"/>
    <x v="163"/>
    <x v="133"/>
    <x v="183"/>
    <x v="166"/>
    <x v="189"/>
    <n v="111"/>
    <n v="140.6"/>
    <n v="134.19999999999999"/>
    <n v="155.9"/>
    <n v="142.69999999999999"/>
    <n v="164.9"/>
    <n v="148.6"/>
    <n v="140.4"/>
    <n v="147.4"/>
    <x v="73"/>
    <n v="141.19999999999999"/>
    <n v="143.80000000000001"/>
    <n v="147.4"/>
    <n v="124.6"/>
    <n v="139.6"/>
    <n v="152.5"/>
    <n v="134.30000000000001"/>
    <n v="138.6"/>
    <n v="142.9"/>
    <n v="1"/>
  </r>
  <r>
    <x v="0"/>
    <x v="6"/>
    <x v="6"/>
    <x v="137"/>
    <x v="180"/>
    <x v="172"/>
    <x v="164"/>
    <x v="140"/>
    <x v="184"/>
    <x v="51"/>
    <x v="190"/>
    <n v="110.8"/>
    <n v="141.69999999999999"/>
    <n v="138.5"/>
    <n v="156.69999999999999"/>
    <n v="143"/>
    <n v="164.5"/>
    <n v="151.6"/>
    <n v="146.6"/>
    <n v="150.9"/>
    <x v="0"/>
    <n v="146.80000000000001"/>
    <n v="150"/>
    <n v="152.19999999999999"/>
    <n v="131.19999999999999"/>
    <n v="147.5"/>
    <n v="159.1"/>
    <n v="136.1"/>
    <n v="144.19999999999999"/>
    <n v="144.9"/>
    <n v="1"/>
  </r>
  <r>
    <x v="1"/>
    <x v="6"/>
    <x v="6"/>
    <x v="154"/>
    <x v="181"/>
    <x v="173"/>
    <x v="165"/>
    <x v="141"/>
    <x v="185"/>
    <x v="205"/>
    <x v="191"/>
    <n v="111.8"/>
    <n v="141.6"/>
    <n v="129.5"/>
    <n v="155.6"/>
    <n v="147.69999999999999"/>
    <n v="167.2"/>
    <n v="144.69999999999999"/>
    <n v="131.9"/>
    <n v="142.69999999999999"/>
    <x v="74"/>
    <n v="127"/>
    <n v="137.69999999999999"/>
    <n v="140.80000000000001"/>
    <n v="120.6"/>
    <n v="135"/>
    <n v="150.4"/>
    <n v="135.1"/>
    <n v="134.5"/>
    <n v="143.30000000000001"/>
    <n v="1"/>
  </r>
  <r>
    <x v="2"/>
    <x v="6"/>
    <x v="6"/>
    <x v="146"/>
    <x v="182"/>
    <x v="139"/>
    <x v="166"/>
    <x v="142"/>
    <x v="186"/>
    <x v="206"/>
    <x v="192"/>
    <n v="111.1"/>
    <n v="141.69999999999999"/>
    <n v="134.69999999999999"/>
    <n v="156.19999999999999"/>
    <n v="144.69999999999999"/>
    <n v="165.2"/>
    <n v="148.9"/>
    <n v="140.5"/>
    <n v="147.6"/>
    <x v="74"/>
    <n v="139.30000000000001"/>
    <n v="144.19999999999999"/>
    <n v="147.9"/>
    <n v="125.6"/>
    <n v="140.5"/>
    <n v="154"/>
    <n v="135.69999999999999"/>
    <n v="139.5"/>
    <n v="144.19999999999999"/>
    <n v="1"/>
  </r>
  <r>
    <x v="0"/>
    <x v="6"/>
    <x v="7"/>
    <x v="140"/>
    <x v="183"/>
    <x v="158"/>
    <x v="167"/>
    <x v="143"/>
    <x v="138"/>
    <x v="207"/>
    <x v="137"/>
    <n v="111.7"/>
    <n v="142.69999999999999"/>
    <n v="138.5"/>
    <n v="156.9"/>
    <n v="144"/>
    <n v="165.1"/>
    <n v="151.80000000000001"/>
    <n v="146.6"/>
    <n v="151.1"/>
    <x v="0"/>
    <n v="146.4"/>
    <n v="150.19999999999999"/>
    <n v="152.69999999999999"/>
    <n v="131.4"/>
    <n v="148"/>
    <n v="159.69999999999999"/>
    <n v="138.80000000000001"/>
    <n v="144.9"/>
    <n v="145.69999999999999"/>
    <n v="1"/>
  </r>
  <r>
    <x v="1"/>
    <x v="6"/>
    <x v="7"/>
    <x v="155"/>
    <x v="184"/>
    <x v="174"/>
    <x v="168"/>
    <x v="92"/>
    <x v="187"/>
    <x v="208"/>
    <x v="193"/>
    <n v="112.7"/>
    <n v="142.5"/>
    <n v="129.80000000000001"/>
    <n v="156.19999999999999"/>
    <n v="149.1"/>
    <n v="167.9"/>
    <n v="145"/>
    <n v="132.19999999999999"/>
    <n v="143"/>
    <x v="75"/>
    <n v="125.5"/>
    <n v="138.1"/>
    <n v="141.5"/>
    <n v="120.8"/>
    <n v="135.4"/>
    <n v="151.5"/>
    <n v="137.80000000000001"/>
    <n v="135.30000000000001"/>
    <n v="144.19999999999999"/>
    <n v="1"/>
  </r>
  <r>
    <x v="2"/>
    <x v="6"/>
    <x v="7"/>
    <x v="156"/>
    <x v="185"/>
    <x v="175"/>
    <x v="169"/>
    <x v="120"/>
    <x v="152"/>
    <x v="209"/>
    <x v="194"/>
    <n v="112"/>
    <n v="142.6"/>
    <n v="134.9"/>
    <n v="156.6"/>
    <n v="145.9"/>
    <n v="165.8"/>
    <n v="149.1"/>
    <n v="140.6"/>
    <n v="147.9"/>
    <x v="75"/>
    <n v="138.5"/>
    <n v="144.5"/>
    <n v="148.5"/>
    <n v="125.8"/>
    <n v="140.9"/>
    <n v="154.9"/>
    <n v="138.4"/>
    <n v="140.19999999999999"/>
    <n v="145"/>
    <n v="1"/>
  </r>
  <r>
    <x v="0"/>
    <x v="6"/>
    <x v="8"/>
    <x v="156"/>
    <x v="183"/>
    <x v="141"/>
    <x v="170"/>
    <x v="144"/>
    <x v="188"/>
    <x v="210"/>
    <x v="195"/>
    <n v="112.8"/>
    <n v="144.19999999999999"/>
    <n v="138.5"/>
    <n v="157.19999999999999"/>
    <n v="145.5"/>
    <n v="165.7"/>
    <n v="151.69999999999999"/>
    <n v="146.6"/>
    <n v="151"/>
    <x v="0"/>
    <n v="146.9"/>
    <n v="150.30000000000001"/>
    <n v="153.4"/>
    <n v="131.6"/>
    <n v="148.30000000000001"/>
    <n v="160.19999999999999"/>
    <n v="140.19999999999999"/>
    <n v="145.4"/>
    <n v="146.69999999999999"/>
    <n v="1"/>
  </r>
  <r>
    <x v="1"/>
    <x v="6"/>
    <x v="8"/>
    <x v="157"/>
    <x v="186"/>
    <x v="176"/>
    <x v="168"/>
    <x v="96"/>
    <x v="189"/>
    <x v="211"/>
    <x v="196"/>
    <n v="114"/>
    <n v="143.80000000000001"/>
    <n v="130"/>
    <n v="156.4"/>
    <n v="149.5"/>
    <n v="168.6"/>
    <n v="145.30000000000001"/>
    <n v="132.19999999999999"/>
    <n v="143.30000000000001"/>
    <x v="76"/>
    <n v="126.6"/>
    <n v="138.30000000000001"/>
    <n v="141.9"/>
    <n v="121.2"/>
    <n v="135.9"/>
    <n v="151.6"/>
    <n v="139"/>
    <n v="135.69999999999999"/>
    <n v="144.69999999999999"/>
    <n v="1"/>
  </r>
  <r>
    <x v="2"/>
    <x v="6"/>
    <x v="8"/>
    <x v="158"/>
    <x v="187"/>
    <x v="177"/>
    <x v="171"/>
    <x v="124"/>
    <x v="190"/>
    <x v="157"/>
    <x v="197"/>
    <n v="113.2"/>
    <n v="144.1"/>
    <n v="135"/>
    <n v="156.80000000000001"/>
    <n v="147"/>
    <n v="166.5"/>
    <n v="149.19999999999999"/>
    <n v="140.6"/>
    <n v="147.9"/>
    <x v="76"/>
    <n v="139.19999999999999"/>
    <n v="144.6"/>
    <n v="149"/>
    <n v="126.1"/>
    <n v="141.30000000000001"/>
    <n v="155.19999999999999"/>
    <n v="139.69999999999999"/>
    <n v="140.69999999999999"/>
    <n v="145.80000000000001"/>
    <n v="1"/>
  </r>
  <r>
    <x v="0"/>
    <x v="6"/>
    <x v="9"/>
    <x v="159"/>
    <x v="188"/>
    <x v="178"/>
    <x v="172"/>
    <x v="145"/>
    <x v="191"/>
    <x v="212"/>
    <x v="198"/>
    <n v="113.6"/>
    <n v="145.5"/>
    <n v="138.6"/>
    <n v="157.4"/>
    <n v="148.30000000000001"/>
    <n v="166.3"/>
    <n v="151.69999999999999"/>
    <n v="146.69999999999999"/>
    <n v="151"/>
    <x v="0"/>
    <n v="147.69999999999999"/>
    <n v="150.6"/>
    <n v="153.69999999999999"/>
    <n v="131.69999999999999"/>
    <n v="148.69999999999999"/>
    <n v="160.69999999999999"/>
    <n v="140.30000000000001"/>
    <n v="145.69999999999999"/>
    <n v="148.30000000000001"/>
    <n v="1"/>
  </r>
  <r>
    <x v="1"/>
    <x v="6"/>
    <x v="9"/>
    <x v="160"/>
    <x v="189"/>
    <x v="179"/>
    <x v="173"/>
    <x v="97"/>
    <x v="170"/>
    <x v="213"/>
    <x v="154"/>
    <n v="114.8"/>
    <n v="145.19999999999999"/>
    <n v="130.19999999999999"/>
    <n v="156.80000000000001"/>
    <n v="151.9"/>
    <n v="169.3"/>
    <n v="145.9"/>
    <n v="132.4"/>
    <n v="143.9"/>
    <x v="77"/>
    <n v="128.9"/>
    <n v="138.69999999999999"/>
    <n v="142.4"/>
    <n v="121.5"/>
    <n v="136.19999999999999"/>
    <n v="151.69999999999999"/>
    <n v="139.5"/>
    <n v="136"/>
    <n v="146"/>
    <n v="1"/>
  </r>
  <r>
    <x v="2"/>
    <x v="6"/>
    <x v="9"/>
    <x v="161"/>
    <x v="190"/>
    <x v="180"/>
    <x v="174"/>
    <x v="137"/>
    <x v="136"/>
    <x v="214"/>
    <x v="199"/>
    <n v="114"/>
    <n v="145.4"/>
    <n v="135.1"/>
    <n v="157.1"/>
    <n v="149.6"/>
    <n v="167.1"/>
    <n v="149.4"/>
    <n v="140.80000000000001"/>
    <n v="148.19999999999999"/>
    <x v="77"/>
    <n v="140.6"/>
    <n v="145"/>
    <n v="149.4"/>
    <n v="126.3"/>
    <n v="141.69999999999999"/>
    <n v="155.4"/>
    <n v="140"/>
    <n v="141"/>
    <n v="147.19999999999999"/>
    <n v="1"/>
  </r>
  <r>
    <x v="0"/>
    <x v="6"/>
    <x v="10"/>
    <x v="161"/>
    <x v="191"/>
    <x v="133"/>
    <x v="175"/>
    <x v="146"/>
    <x v="155"/>
    <x v="215"/>
    <x v="141"/>
    <n v="113.8"/>
    <n v="147.30000000000001"/>
    <n v="138.69999999999999"/>
    <n v="157.69999999999999"/>
    <n v="150.9"/>
    <n v="167.2"/>
    <n v="152.30000000000001"/>
    <n v="147"/>
    <n v="151.5"/>
    <x v="0"/>
    <n v="148.4"/>
    <n v="150.9"/>
    <n v="154.30000000000001"/>
    <n v="132.1"/>
    <n v="149.1"/>
    <n v="160.80000000000001"/>
    <n v="140.6"/>
    <n v="146.1"/>
    <n v="149.9"/>
    <n v="1"/>
  </r>
  <r>
    <x v="1"/>
    <x v="6"/>
    <x v="10"/>
    <x v="162"/>
    <x v="192"/>
    <x v="181"/>
    <x v="176"/>
    <x v="147"/>
    <x v="192"/>
    <x v="216"/>
    <x v="200"/>
    <n v="115"/>
    <n v="146.30000000000001"/>
    <n v="130.5"/>
    <n v="157.19999999999999"/>
    <n v="153.6"/>
    <n v="169.9"/>
    <n v="146.30000000000001"/>
    <n v="132.6"/>
    <n v="144.19999999999999"/>
    <x v="78"/>
    <n v="132.19999999999999"/>
    <n v="139.1"/>
    <n v="142.80000000000001"/>
    <n v="121.7"/>
    <n v="136.69999999999999"/>
    <n v="151.80000000000001"/>
    <n v="139.80000000000001"/>
    <n v="136.30000000000001"/>
    <n v="147"/>
    <n v="1"/>
  </r>
  <r>
    <x v="2"/>
    <x v="6"/>
    <x v="10"/>
    <x v="163"/>
    <x v="193"/>
    <x v="182"/>
    <x v="177"/>
    <x v="139"/>
    <x v="193"/>
    <x v="217"/>
    <x v="201"/>
    <n v="114.2"/>
    <n v="147"/>
    <n v="135.30000000000001"/>
    <n v="157.5"/>
    <n v="151.9"/>
    <n v="167.9"/>
    <n v="149.9"/>
    <n v="141"/>
    <n v="148.6"/>
    <x v="78"/>
    <n v="142.30000000000001"/>
    <n v="145.30000000000001"/>
    <n v="149.9"/>
    <n v="126.6"/>
    <n v="142.1"/>
    <n v="155.5"/>
    <n v="140.30000000000001"/>
    <n v="141.30000000000001"/>
    <n v="148.6"/>
    <n v="1"/>
  </r>
  <r>
    <x v="0"/>
    <x v="6"/>
    <x v="11"/>
    <x v="164"/>
    <x v="194"/>
    <x v="183"/>
    <x v="178"/>
    <x v="148"/>
    <x v="194"/>
    <x v="218"/>
    <x v="202"/>
    <n v="113.6"/>
    <n v="149.1"/>
    <n v="139.30000000000001"/>
    <n v="158.30000000000001"/>
    <n v="154.30000000000001"/>
    <n v="167.8"/>
    <n v="152.6"/>
    <n v="147.30000000000001"/>
    <n v="151.9"/>
    <x v="0"/>
    <n v="149.9"/>
    <n v="151.19999999999999"/>
    <n v="154.80000000000001"/>
    <n v="135"/>
    <n v="149.5"/>
    <n v="161.1"/>
    <n v="140.6"/>
    <n v="147.1"/>
    <n v="152.30000000000001"/>
    <n v="1"/>
  </r>
  <r>
    <x v="1"/>
    <x v="6"/>
    <x v="11"/>
    <x v="165"/>
    <x v="195"/>
    <x v="184"/>
    <x v="179"/>
    <x v="149"/>
    <x v="147"/>
    <x v="219"/>
    <x v="203"/>
    <n v="114.7"/>
    <n v="148"/>
    <n v="130.80000000000001"/>
    <n v="157.69999999999999"/>
    <n v="156.30000000000001"/>
    <n v="170.4"/>
    <n v="146.80000000000001"/>
    <n v="132.80000000000001"/>
    <n v="144.6"/>
    <x v="79"/>
    <n v="133.6"/>
    <n v="139.80000000000001"/>
    <n v="143.19999999999999"/>
    <n v="125.2"/>
    <n v="136.80000000000001"/>
    <n v="151.9"/>
    <n v="140.19999999999999"/>
    <n v="137.69999999999999"/>
    <n v="148.30000000000001"/>
    <n v="1"/>
  </r>
  <r>
    <x v="2"/>
    <x v="6"/>
    <x v="11"/>
    <x v="160"/>
    <x v="196"/>
    <x v="185"/>
    <x v="180"/>
    <x v="150"/>
    <x v="191"/>
    <x v="220"/>
    <x v="138"/>
    <n v="114"/>
    <n v="148.69999999999999"/>
    <n v="135.80000000000001"/>
    <n v="158"/>
    <n v="155"/>
    <n v="168.5"/>
    <n v="150.30000000000001"/>
    <n v="141.30000000000001"/>
    <n v="149"/>
    <x v="79"/>
    <n v="143.69999999999999"/>
    <n v="145.80000000000001"/>
    <n v="150.4"/>
    <n v="129.80000000000001"/>
    <n v="142.30000000000001"/>
    <n v="155.69999999999999"/>
    <n v="140.4"/>
    <n v="142.5"/>
    <n v="150.4"/>
    <n v="1"/>
  </r>
  <r>
    <x v="0"/>
    <x v="7"/>
    <x v="0"/>
    <x v="166"/>
    <x v="197"/>
    <x v="186"/>
    <x v="181"/>
    <x v="151"/>
    <x v="146"/>
    <x v="221"/>
    <x v="204"/>
    <n v="113.8"/>
    <n v="151.6"/>
    <n v="139.69999999999999"/>
    <n v="158.69999999999999"/>
    <n v="153"/>
    <n v="168.6"/>
    <n v="152.80000000000001"/>
    <n v="147.4"/>
    <n v="152.1"/>
    <x v="0"/>
    <n v="150.4"/>
    <n v="151.69999999999999"/>
    <n v="155.69999999999999"/>
    <n v="136.30000000000001"/>
    <n v="150.1"/>
    <n v="161.69999999999999"/>
    <n v="142.5"/>
    <n v="148.1"/>
    <n v="151.9"/>
    <n v="1"/>
  </r>
  <r>
    <x v="1"/>
    <x v="7"/>
    <x v="0"/>
    <x v="167"/>
    <x v="198"/>
    <x v="187"/>
    <x v="182"/>
    <x v="152"/>
    <x v="195"/>
    <x v="222"/>
    <x v="76"/>
    <n v="114.8"/>
    <n v="149.5"/>
    <n v="131.1"/>
    <n v="158.5"/>
    <n v="154.4"/>
    <n v="170.8"/>
    <n v="147"/>
    <n v="133.19999999999999"/>
    <n v="144.9"/>
    <x v="80"/>
    <n v="135.1"/>
    <n v="140.1"/>
    <n v="143.80000000000001"/>
    <n v="126.1"/>
    <n v="137.19999999999999"/>
    <n v="152.1"/>
    <n v="142.1"/>
    <n v="138.4"/>
    <n v="148.19999999999999"/>
    <n v="1"/>
  </r>
  <r>
    <x v="2"/>
    <x v="7"/>
    <x v="0"/>
    <x v="168"/>
    <x v="199"/>
    <x v="188"/>
    <x v="183"/>
    <x v="153"/>
    <x v="196"/>
    <x v="223"/>
    <x v="205"/>
    <n v="114.1"/>
    <n v="150.9"/>
    <n v="136.1"/>
    <n v="158.6"/>
    <n v="153.5"/>
    <n v="169.2"/>
    <n v="150.5"/>
    <n v="141.5"/>
    <n v="149.19999999999999"/>
    <x v="80"/>
    <n v="144.6"/>
    <n v="146.19999999999999"/>
    <n v="151.19999999999999"/>
    <n v="130.9"/>
    <n v="142.80000000000001"/>
    <n v="156.1"/>
    <n v="142.30000000000001"/>
    <n v="143.4"/>
    <n v="150.19999999999999"/>
    <n v="1"/>
  </r>
  <r>
    <x v="0"/>
    <x v="7"/>
    <x v="1"/>
    <x v="169"/>
    <x v="200"/>
    <x v="189"/>
    <x v="184"/>
    <x v="154"/>
    <x v="197"/>
    <x v="224"/>
    <x v="136"/>
    <n v="113.1"/>
    <n v="152.80000000000001"/>
    <n v="140.1"/>
    <n v="159.19999999999999"/>
    <n v="149.80000000000001"/>
    <n v="169.4"/>
    <n v="153"/>
    <n v="147.5"/>
    <n v="152.30000000000001"/>
    <x v="0"/>
    <n v="152.30000000000001"/>
    <n v="151.80000000000001"/>
    <n v="156.19999999999999"/>
    <n v="136"/>
    <n v="150.4"/>
    <n v="161.9"/>
    <n v="143.4"/>
    <n v="148.4"/>
    <n v="150.4"/>
    <n v="1"/>
  </r>
  <r>
    <x v="1"/>
    <x v="7"/>
    <x v="1"/>
    <x v="170"/>
    <x v="198"/>
    <x v="190"/>
    <x v="185"/>
    <x v="155"/>
    <x v="198"/>
    <x v="225"/>
    <x v="206"/>
    <n v="114.6"/>
    <n v="150.4"/>
    <n v="131.5"/>
    <n v="159"/>
    <n v="151.69999999999999"/>
    <n v="172"/>
    <n v="147.30000000000001"/>
    <n v="133.5"/>
    <n v="145.19999999999999"/>
    <x v="81"/>
    <n v="138.9"/>
    <n v="140.4"/>
    <n v="144.4"/>
    <n v="125.2"/>
    <n v="137.69999999999999"/>
    <n v="152.19999999999999"/>
    <n v="143.5"/>
    <n v="138.4"/>
    <n v="147.69999999999999"/>
    <n v="1"/>
  </r>
  <r>
    <x v="2"/>
    <x v="7"/>
    <x v="1"/>
    <x v="171"/>
    <x v="200"/>
    <x v="191"/>
    <x v="186"/>
    <x v="156"/>
    <x v="127"/>
    <x v="226"/>
    <x v="204"/>
    <n v="113.6"/>
    <n v="152"/>
    <n v="136.5"/>
    <n v="159.1"/>
    <n v="150.5"/>
    <n v="170.1"/>
    <n v="150.80000000000001"/>
    <n v="141.69999999999999"/>
    <n v="149.5"/>
    <x v="81"/>
    <n v="147.19999999999999"/>
    <n v="146.4"/>
    <n v="151.69999999999999"/>
    <n v="130.30000000000001"/>
    <n v="143.19999999999999"/>
    <n v="156.19999999999999"/>
    <n v="143.4"/>
    <n v="143.6"/>
    <n v="149.1"/>
    <n v="1"/>
  </r>
  <r>
    <x v="0"/>
    <x v="7"/>
    <x v="2"/>
    <x v="172"/>
    <x v="201"/>
    <x v="192"/>
    <x v="187"/>
    <x v="157"/>
    <x v="127"/>
    <x v="227"/>
    <x v="136"/>
    <n v="112.6"/>
    <n v="154"/>
    <n v="140.1"/>
    <n v="160"/>
    <n v="148.19999999999999"/>
    <n v="170.5"/>
    <n v="153.4"/>
    <n v="147.6"/>
    <n v="152.5"/>
    <x v="0"/>
    <n v="153.4"/>
    <n v="151.5"/>
    <n v="156.69999999999999"/>
    <n v="135.80000000000001"/>
    <n v="151.19999999999999"/>
    <n v="161.19999999999999"/>
    <n v="145.1"/>
    <n v="148.6"/>
    <n v="149.80000000000001"/>
    <n v="1"/>
  </r>
  <r>
    <x v="1"/>
    <x v="7"/>
    <x v="2"/>
    <x v="173"/>
    <x v="200"/>
    <x v="193"/>
    <x v="188"/>
    <x v="148"/>
    <x v="181"/>
    <x v="228"/>
    <x v="207"/>
    <n v="114.4"/>
    <n v="151.5"/>
    <n v="131.9"/>
    <n v="159.1"/>
    <n v="150.1"/>
    <n v="173.3"/>
    <n v="147.69999999999999"/>
    <n v="133.80000000000001"/>
    <n v="145.6"/>
    <x v="82"/>
    <n v="141.4"/>
    <n v="140.80000000000001"/>
    <n v="145"/>
    <n v="124.6"/>
    <n v="137.9"/>
    <n v="152.5"/>
    <n v="145.30000000000001"/>
    <n v="138.69999999999999"/>
    <n v="147.30000000000001"/>
    <n v="1"/>
  </r>
  <r>
    <x v="2"/>
    <x v="7"/>
    <x v="2"/>
    <x v="174"/>
    <x v="202"/>
    <x v="194"/>
    <x v="189"/>
    <x v="158"/>
    <x v="175"/>
    <x v="183"/>
    <x v="204"/>
    <n v="113.2"/>
    <n v="153.19999999999999"/>
    <n v="136.69999999999999"/>
    <n v="159.6"/>
    <n v="148.9"/>
    <n v="171.2"/>
    <n v="151.19999999999999"/>
    <n v="141.9"/>
    <n v="149.80000000000001"/>
    <x v="82"/>
    <n v="148.9"/>
    <n v="146.4"/>
    <n v="152.30000000000001"/>
    <n v="129.9"/>
    <n v="143.69999999999999"/>
    <n v="156.1"/>
    <n v="145.19999999999999"/>
    <n v="143.80000000000001"/>
    <n v="148.6"/>
    <n v="1"/>
  </r>
  <r>
    <x v="0"/>
    <x v="7"/>
    <x v="3"/>
    <x v="175"/>
    <x v="203"/>
    <x v="195"/>
    <x v="190"/>
    <x v="159"/>
    <x v="144"/>
    <x v="229"/>
    <x v="208"/>
    <n v="119.8"/>
    <n v="158.69999999999999"/>
    <n v="139.19999999999999"/>
    <s v="NA"/>
    <n v="150.1"/>
    <s v="NA"/>
    <s v="NA"/>
    <s v="NA"/>
    <s v="NA"/>
    <x v="0"/>
    <n v="148.4"/>
    <s v="NA"/>
    <n v="154.30000000000001"/>
    <s v="NA"/>
    <s v="NA"/>
    <s v="NA"/>
    <s v="NA"/>
    <s v="NA"/>
    <s v="NA"/>
    <n v="1"/>
  </r>
  <r>
    <x v="1"/>
    <x v="7"/>
    <x v="3"/>
    <x v="176"/>
    <x v="203"/>
    <x v="196"/>
    <x v="191"/>
    <x v="160"/>
    <x v="154"/>
    <x v="230"/>
    <x v="209"/>
    <n v="121.2"/>
    <n v="154"/>
    <n v="133.5"/>
    <s v="NA"/>
    <n v="153.5"/>
    <s v="NA"/>
    <s v="NA"/>
    <s v="NA"/>
    <s v="NA"/>
    <x v="83"/>
    <n v="137.1"/>
    <s v="NA"/>
    <n v="144.80000000000001"/>
    <s v="NA"/>
    <s v="NA"/>
    <s v="NA"/>
    <s v="NA"/>
    <s v="NA"/>
    <s v="NA"/>
    <n v="1"/>
  </r>
  <r>
    <x v="2"/>
    <x v="7"/>
    <x v="3"/>
    <x v="177"/>
    <x v="203"/>
    <x v="197"/>
    <x v="190"/>
    <x v="161"/>
    <x v="199"/>
    <x v="58"/>
    <x v="210"/>
    <n v="120.3"/>
    <n v="157.1"/>
    <n v="136.80000000000001"/>
    <s v="NA"/>
    <n v="151.4"/>
    <s v="NA"/>
    <s v="NA"/>
    <s v="NA"/>
    <s v="NA"/>
    <x v="83"/>
    <n v="144.1"/>
    <s v="NA"/>
    <n v="150.69999999999999"/>
    <s v="NA"/>
    <s v="NA"/>
    <s v="NA"/>
    <s v="NA"/>
    <s v="NA"/>
    <s v="NA"/>
    <n v="1"/>
  </r>
  <r>
    <x v="0"/>
    <x v="7"/>
    <x v="4"/>
    <x v="178"/>
    <x v="203"/>
    <x v="198"/>
    <x v="192"/>
    <x v="162"/>
    <x v="200"/>
    <x v="231"/>
    <x v="211"/>
    <s v="NA"/>
    <s v="NA"/>
    <s v="NA"/>
    <s v="NA"/>
    <s v="NA"/>
    <s v="NA"/>
    <s v="NA"/>
    <s v="NA"/>
    <s v="NA"/>
    <x v="0"/>
    <s v="NA"/>
    <s v="NA"/>
    <s v="NA"/>
    <s v="NA"/>
    <s v="NA"/>
    <s v="NA"/>
    <s v="NA"/>
    <s v="NA"/>
    <s v="NA"/>
    <n v="1"/>
  </r>
  <r>
    <x v="1"/>
    <x v="7"/>
    <x v="4"/>
    <x v="178"/>
    <x v="203"/>
    <x v="198"/>
    <x v="192"/>
    <x v="162"/>
    <x v="200"/>
    <x v="231"/>
    <x v="211"/>
    <s v="NA"/>
    <s v="NA"/>
    <s v="NA"/>
    <s v="NA"/>
    <s v="NA"/>
    <s v="NA"/>
    <s v="NA"/>
    <s v="NA"/>
    <s v="NA"/>
    <x v="0"/>
    <s v="NA"/>
    <s v="NA"/>
    <s v="NA"/>
    <s v="NA"/>
    <s v="NA"/>
    <s v="NA"/>
    <s v="NA"/>
    <s v="NA"/>
    <s v="NA"/>
    <n v="1"/>
  </r>
  <r>
    <x v="2"/>
    <x v="7"/>
    <x v="4"/>
    <x v="178"/>
    <x v="203"/>
    <x v="198"/>
    <x v="192"/>
    <x v="162"/>
    <x v="200"/>
    <x v="231"/>
    <x v="211"/>
    <s v="NA"/>
    <s v="NA"/>
    <s v="NA"/>
    <s v="NA"/>
    <s v="NA"/>
    <s v="NA"/>
    <s v="NA"/>
    <s v="NA"/>
    <s v="NA"/>
    <x v="0"/>
    <s v="NA"/>
    <s v="NA"/>
    <s v="NA"/>
    <s v="NA"/>
    <s v="NA"/>
    <s v="NA"/>
    <s v="NA"/>
    <s v="NA"/>
    <s v="NA"/>
    <n v="1"/>
  </r>
  <r>
    <x v="0"/>
    <x v="7"/>
    <x v="5"/>
    <x v="179"/>
    <x v="204"/>
    <x v="199"/>
    <x v="193"/>
    <x v="163"/>
    <x v="196"/>
    <x v="232"/>
    <x v="212"/>
    <n v="113.2"/>
    <n v="159.80000000000001"/>
    <n v="142.1"/>
    <n v="161.80000000000001"/>
    <n v="152.30000000000001"/>
    <n v="182.4"/>
    <n v="154.69999999999999"/>
    <n v="150"/>
    <n v="154.1"/>
    <x v="0"/>
    <n v="144.9"/>
    <n v="151.69999999999999"/>
    <n v="158.19999999999999"/>
    <n v="141.4"/>
    <n v="153.19999999999999"/>
    <n v="161.80000000000001"/>
    <n v="151.19999999999999"/>
    <n v="151.69999999999999"/>
    <n v="152.69999999999999"/>
    <n v="1"/>
  </r>
  <r>
    <x v="1"/>
    <x v="7"/>
    <x v="5"/>
    <x v="180"/>
    <x v="205"/>
    <x v="200"/>
    <x v="194"/>
    <x v="164"/>
    <x v="201"/>
    <x v="27"/>
    <x v="213"/>
    <n v="116.3"/>
    <n v="158.80000000000001"/>
    <n v="135.6"/>
    <n v="161.69999999999999"/>
    <n v="157"/>
    <n v="186.7"/>
    <n v="149.1"/>
    <n v="136.6"/>
    <n v="147.19999999999999"/>
    <x v="84"/>
    <n v="137.1"/>
    <n v="140.4"/>
    <n v="148.1"/>
    <n v="129.30000000000001"/>
    <n v="144.5"/>
    <n v="152.5"/>
    <n v="152.19999999999999"/>
    <n v="142"/>
    <n v="150.80000000000001"/>
    <n v="1"/>
  </r>
  <r>
    <x v="2"/>
    <x v="7"/>
    <x v="5"/>
    <x v="181"/>
    <x v="206"/>
    <x v="201"/>
    <x v="193"/>
    <x v="165"/>
    <x v="147"/>
    <x v="233"/>
    <x v="214"/>
    <n v="114.2"/>
    <n v="159.5"/>
    <n v="139.4"/>
    <n v="161.80000000000001"/>
    <n v="154"/>
    <n v="183.5"/>
    <n v="152.5"/>
    <n v="144.4"/>
    <n v="151.4"/>
    <x v="84"/>
    <n v="141.9"/>
    <n v="146.4"/>
    <n v="154.4"/>
    <n v="135"/>
    <n v="148.30000000000001"/>
    <n v="156.4"/>
    <n v="151.6"/>
    <n v="147"/>
    <n v="151.80000000000001"/>
    <n v="1"/>
  </r>
  <r>
    <x v="0"/>
    <x v="7"/>
    <x v="6"/>
    <x v="179"/>
    <x v="204"/>
    <x v="199"/>
    <x v="193"/>
    <x v="163"/>
    <x v="196"/>
    <x v="232"/>
    <x v="212"/>
    <n v="113.2"/>
    <n v="159.80000000000001"/>
    <n v="142.1"/>
    <n v="161.80000000000001"/>
    <n v="152.30000000000001"/>
    <n v="182.4"/>
    <n v="154.69999999999999"/>
    <n v="150"/>
    <n v="154.1"/>
    <x v="0"/>
    <n v="144.9"/>
    <n v="151.69999999999999"/>
    <n v="158.19999999999999"/>
    <n v="141.4"/>
    <n v="153.19999999999999"/>
    <n v="161.80000000000001"/>
    <n v="151.19999999999999"/>
    <n v="151.69999999999999"/>
    <n v="152.69999999999999"/>
    <n v="1"/>
  </r>
  <r>
    <x v="1"/>
    <x v="7"/>
    <x v="6"/>
    <x v="180"/>
    <x v="205"/>
    <x v="200"/>
    <x v="194"/>
    <x v="164"/>
    <x v="201"/>
    <x v="27"/>
    <x v="213"/>
    <n v="116.3"/>
    <n v="158.80000000000001"/>
    <n v="135.6"/>
    <n v="161.69999999999999"/>
    <n v="157"/>
    <n v="186.7"/>
    <n v="149.1"/>
    <n v="136.6"/>
    <n v="147.19999999999999"/>
    <x v="84"/>
    <n v="137.1"/>
    <n v="140.4"/>
    <n v="148.1"/>
    <n v="129.30000000000001"/>
    <n v="144.5"/>
    <n v="152.5"/>
    <n v="152.19999999999999"/>
    <n v="142"/>
    <n v="150.80000000000001"/>
    <n v="1"/>
  </r>
  <r>
    <x v="2"/>
    <x v="7"/>
    <x v="6"/>
    <x v="181"/>
    <x v="206"/>
    <x v="201"/>
    <x v="193"/>
    <x v="165"/>
    <x v="147"/>
    <x v="233"/>
    <x v="214"/>
    <n v="114.2"/>
    <n v="159.5"/>
    <n v="139.4"/>
    <n v="161.80000000000001"/>
    <n v="154"/>
    <n v="183.5"/>
    <n v="152.5"/>
    <n v="144.4"/>
    <n v="151.4"/>
    <x v="84"/>
    <n v="141.9"/>
    <n v="146.4"/>
    <n v="154.4"/>
    <n v="135"/>
    <n v="148.30000000000001"/>
    <n v="156.4"/>
    <n v="151.6"/>
    <n v="147"/>
    <n v="151.80000000000001"/>
    <n v="1"/>
  </r>
  <r>
    <x v="0"/>
    <x v="7"/>
    <x v="7"/>
    <x v="182"/>
    <x v="207"/>
    <x v="181"/>
    <x v="193"/>
    <x v="166"/>
    <x v="202"/>
    <x v="234"/>
    <x v="215"/>
    <n v="114.2"/>
    <n v="160"/>
    <n v="143.5"/>
    <n v="161.5"/>
    <n v="155.30000000000001"/>
    <n v="180.9"/>
    <n v="155.1"/>
    <n v="149.30000000000001"/>
    <n v="154.30000000000001"/>
    <x v="0"/>
    <n v="145.80000000000001"/>
    <n v="151.9"/>
    <n v="158.80000000000001"/>
    <n v="143.6"/>
    <n v="152.19999999999999"/>
    <n v="162.69999999999999"/>
    <n v="153.6"/>
    <n v="153"/>
    <n v="154.69999999999999"/>
    <n v="1"/>
  </r>
  <r>
    <x v="1"/>
    <x v="7"/>
    <x v="7"/>
    <x v="183"/>
    <x v="208"/>
    <x v="202"/>
    <x v="194"/>
    <x v="167"/>
    <x v="203"/>
    <x v="235"/>
    <x v="216"/>
    <n v="116.8"/>
    <n v="160"/>
    <n v="136.5"/>
    <n v="163.30000000000001"/>
    <n v="159.9"/>
    <n v="187.2"/>
    <n v="150"/>
    <n v="135.19999999999999"/>
    <n v="147.80000000000001"/>
    <x v="85"/>
    <n v="138.30000000000001"/>
    <n v="144.5"/>
    <n v="148.69999999999999"/>
    <n v="133.9"/>
    <n v="141.19999999999999"/>
    <n v="155.5"/>
    <n v="155.19999999999999"/>
    <n v="144.80000000000001"/>
    <n v="152.9"/>
    <n v="1"/>
  </r>
  <r>
    <x v="2"/>
    <x v="7"/>
    <x v="7"/>
    <x v="184"/>
    <x v="209"/>
    <x v="203"/>
    <x v="193"/>
    <x v="168"/>
    <x v="204"/>
    <x v="28"/>
    <x v="210"/>
    <n v="115.1"/>
    <n v="160"/>
    <n v="140.6"/>
    <n v="162.30000000000001"/>
    <n v="157"/>
    <n v="182.6"/>
    <n v="153.1"/>
    <n v="143.4"/>
    <n v="151.69999999999999"/>
    <x v="85"/>
    <n v="143"/>
    <n v="148.4"/>
    <n v="155"/>
    <n v="138.5"/>
    <n v="146"/>
    <n v="158.5"/>
    <n v="154.30000000000001"/>
    <n v="149"/>
    <n v="153.9"/>
    <n v="1"/>
  </r>
  <r>
    <x v="0"/>
    <x v="7"/>
    <x v="8"/>
    <x v="185"/>
    <x v="210"/>
    <x v="183"/>
    <x v="194"/>
    <x v="169"/>
    <x v="205"/>
    <x v="212"/>
    <x v="217"/>
    <n v="115.1"/>
    <n v="160"/>
    <n v="145.4"/>
    <n v="161.6"/>
    <n v="156.1"/>
    <n v="182.9"/>
    <n v="155.4"/>
    <n v="149.9"/>
    <n v="154.6"/>
    <x v="0"/>
    <n v="146.4"/>
    <n v="151.6"/>
    <n v="159.1"/>
    <n v="144.6"/>
    <n v="152.80000000000001"/>
    <n v="161.1"/>
    <n v="157.4"/>
    <n v="153.69999999999999"/>
    <n v="155.4"/>
    <n v="1"/>
  </r>
  <r>
    <x v="1"/>
    <x v="7"/>
    <x v="8"/>
    <x v="186"/>
    <x v="211"/>
    <x v="204"/>
    <x v="195"/>
    <x v="170"/>
    <x v="206"/>
    <x v="236"/>
    <x v="209"/>
    <n v="118.9"/>
    <n v="160.9"/>
    <n v="137.69999999999999"/>
    <n v="164.4"/>
    <n v="161.30000000000001"/>
    <n v="188.7"/>
    <n v="150.19999999999999"/>
    <n v="136.30000000000001"/>
    <n v="148.1"/>
    <x v="86"/>
    <n v="137.19999999999999"/>
    <n v="145.4"/>
    <n v="150"/>
    <n v="135.1"/>
    <n v="141.80000000000001"/>
    <n v="154.9"/>
    <n v="159.80000000000001"/>
    <n v="146"/>
    <n v="154"/>
    <n v="1"/>
  </r>
  <r>
    <x v="2"/>
    <x v="7"/>
    <x v="8"/>
    <x v="187"/>
    <x v="212"/>
    <x v="205"/>
    <x v="196"/>
    <x v="163"/>
    <x v="182"/>
    <x v="237"/>
    <x v="218"/>
    <n v="116.4"/>
    <n v="160.30000000000001"/>
    <n v="142.19999999999999"/>
    <n v="162.9"/>
    <n v="158"/>
    <n v="184.4"/>
    <n v="153.4"/>
    <n v="144.30000000000001"/>
    <n v="152"/>
    <x v="86"/>
    <n v="142.9"/>
    <n v="148.69999999999999"/>
    <n v="155.6"/>
    <n v="139.6"/>
    <n v="146.6"/>
    <n v="157.5"/>
    <n v="158.4"/>
    <n v="150"/>
    <n v="154.69999999999999"/>
    <n v="1"/>
  </r>
  <r>
    <x v="0"/>
    <x v="7"/>
    <x v="9"/>
    <x v="188"/>
    <x v="213"/>
    <x v="206"/>
    <x v="196"/>
    <x v="171"/>
    <x v="147"/>
    <x v="238"/>
    <x v="212"/>
    <n v="115.3"/>
    <n v="160.9"/>
    <n v="147.4"/>
    <n v="161.9"/>
    <n v="159.6"/>
    <n v="182.7"/>
    <n v="155.69999999999999"/>
    <n v="150.6"/>
    <n v="155"/>
    <x v="0"/>
    <n v="146.80000000000001"/>
    <n v="152"/>
    <n v="159.5"/>
    <n v="146.4"/>
    <n v="152.4"/>
    <n v="162.5"/>
    <n v="156.19999999999999"/>
    <n v="154.30000000000001"/>
    <n v="157.5"/>
    <n v="1"/>
  </r>
  <r>
    <x v="1"/>
    <x v="7"/>
    <x v="9"/>
    <x v="189"/>
    <x v="214"/>
    <x v="207"/>
    <x v="197"/>
    <x v="172"/>
    <x v="207"/>
    <x v="239"/>
    <x v="130"/>
    <n v="118.1"/>
    <n v="161.30000000000001"/>
    <n v="139.19999999999999"/>
    <n v="164.8"/>
    <n v="164.4"/>
    <n v="188.7"/>
    <n v="150.5"/>
    <n v="136.1"/>
    <n v="148.30000000000001"/>
    <x v="87"/>
    <n v="137.1"/>
    <n v="145.1"/>
    <n v="151"/>
    <n v="135.4"/>
    <n v="142"/>
    <n v="155.69999999999999"/>
    <n v="158.1"/>
    <n v="146.19999999999999"/>
    <n v="155.19999999999999"/>
    <n v="1"/>
  </r>
  <r>
    <x v="2"/>
    <x v="7"/>
    <x v="9"/>
    <x v="190"/>
    <x v="215"/>
    <x v="208"/>
    <x v="196"/>
    <x v="173"/>
    <x v="208"/>
    <x v="240"/>
    <x v="214"/>
    <n v="116.2"/>
    <n v="161"/>
    <n v="144"/>
    <n v="163.19999999999999"/>
    <n v="161.4"/>
    <n v="184.3"/>
    <n v="153.69999999999999"/>
    <n v="144.6"/>
    <n v="152.30000000000001"/>
    <x v="87"/>
    <n v="143.1"/>
    <n v="148.69999999999999"/>
    <n v="156.30000000000001"/>
    <n v="140.6"/>
    <n v="146.5"/>
    <n v="158.5"/>
    <n v="157"/>
    <n v="150.4"/>
    <n v="156.4"/>
    <n v="1"/>
  </r>
  <r>
    <x v="0"/>
    <x v="7"/>
    <x v="10"/>
    <x v="191"/>
    <x v="216"/>
    <x v="209"/>
    <x v="198"/>
    <x v="174"/>
    <x v="180"/>
    <x v="241"/>
    <x v="219"/>
    <n v="114.9"/>
    <n v="162"/>
    <n v="150"/>
    <n v="162.69999999999999"/>
    <n v="163.4"/>
    <n v="183.4"/>
    <n v="156.30000000000001"/>
    <n v="151"/>
    <n v="155.5"/>
    <x v="0"/>
    <n v="147.5"/>
    <n v="152.80000000000001"/>
    <n v="160.4"/>
    <n v="146.1"/>
    <n v="153.6"/>
    <n v="161.6"/>
    <n v="156.19999999999999"/>
    <n v="154.5"/>
    <n v="159.80000000000001"/>
    <n v="1"/>
  </r>
  <r>
    <x v="1"/>
    <x v="7"/>
    <x v="10"/>
    <x v="192"/>
    <x v="217"/>
    <x v="210"/>
    <x v="195"/>
    <x v="175"/>
    <x v="209"/>
    <x v="242"/>
    <x v="220"/>
    <n v="117.2"/>
    <n v="161.4"/>
    <n v="141.5"/>
    <n v="165.1"/>
    <n v="167"/>
    <n v="188.8"/>
    <n v="151.1"/>
    <n v="136.4"/>
    <n v="148.80000000000001"/>
    <x v="88"/>
    <n v="137.30000000000001"/>
    <n v="145.1"/>
    <n v="152"/>
    <n v="135.19999999999999"/>
    <n v="144.4"/>
    <n v="156.4"/>
    <n v="157.9"/>
    <n v="146.6"/>
    <n v="156.69999999999999"/>
    <n v="1"/>
  </r>
  <r>
    <x v="2"/>
    <x v="7"/>
    <x v="10"/>
    <x v="193"/>
    <x v="218"/>
    <x v="211"/>
    <x v="198"/>
    <x v="176"/>
    <x v="210"/>
    <x v="243"/>
    <x v="221"/>
    <n v="115.7"/>
    <n v="161.80000000000001"/>
    <n v="146.5"/>
    <n v="163.80000000000001"/>
    <n v="164.7"/>
    <n v="184.8"/>
    <n v="154.30000000000001"/>
    <n v="144.9"/>
    <n v="152.80000000000001"/>
    <x v="88"/>
    <n v="143.6"/>
    <n v="149.19999999999999"/>
    <n v="157.19999999999999"/>
    <n v="140.4"/>
    <n v="148.4"/>
    <n v="158.6"/>
    <n v="156.9"/>
    <n v="150.69999999999999"/>
    <n v="158.4"/>
    <n v="1"/>
  </r>
  <r>
    <x v="0"/>
    <x v="7"/>
    <x v="11"/>
    <x v="194"/>
    <x v="219"/>
    <x v="212"/>
    <x v="199"/>
    <x v="177"/>
    <x v="211"/>
    <x v="244"/>
    <x v="127"/>
    <n v="114.4"/>
    <n v="163.5"/>
    <n v="153.4"/>
    <n v="163.6"/>
    <n v="164.5"/>
    <n v="183.6"/>
    <n v="157"/>
    <n v="151.6"/>
    <n v="156.30000000000001"/>
    <x v="0"/>
    <n v="148.69999999999999"/>
    <n v="153.4"/>
    <n v="161.6"/>
    <n v="146.4"/>
    <n v="153.9"/>
    <n v="162.9"/>
    <n v="156.6"/>
    <n v="155.19999999999999"/>
    <n v="160.69999999999999"/>
    <n v="1"/>
  </r>
  <r>
    <x v="1"/>
    <x v="7"/>
    <x v="11"/>
    <x v="195"/>
    <x v="220"/>
    <x v="213"/>
    <x v="200"/>
    <x v="178"/>
    <x v="166"/>
    <x v="245"/>
    <x v="222"/>
    <n v="117.1"/>
    <n v="161.9"/>
    <n v="143.30000000000001"/>
    <n v="166.1"/>
    <n v="167"/>
    <n v="190.2"/>
    <n v="151.9"/>
    <n v="136.69999999999999"/>
    <n v="149.6"/>
    <x v="89"/>
    <n v="137.9"/>
    <n v="145.5"/>
    <n v="152.9"/>
    <n v="135.5"/>
    <n v="144.30000000000001"/>
    <n v="156.9"/>
    <n v="157.9"/>
    <n v="146.9"/>
    <n v="156.9"/>
    <n v="1"/>
  </r>
  <r>
    <x v="2"/>
    <x v="7"/>
    <x v="11"/>
    <x v="188"/>
    <x v="218"/>
    <x v="214"/>
    <x v="201"/>
    <x v="179"/>
    <x v="212"/>
    <x v="246"/>
    <x v="223"/>
    <n v="115.3"/>
    <n v="163"/>
    <n v="149.19999999999999"/>
    <n v="164.8"/>
    <n v="165.4"/>
    <n v="185.4"/>
    <n v="155"/>
    <n v="145.4"/>
    <n v="153.6"/>
    <x v="89"/>
    <n v="144.6"/>
    <n v="149.69999999999999"/>
    <n v="158.30000000000001"/>
    <n v="140.69999999999999"/>
    <n v="148.5"/>
    <n v="159.4"/>
    <n v="157.1"/>
    <n v="151.19999999999999"/>
    <n v="158.9"/>
    <n v="1"/>
  </r>
  <r>
    <x v="0"/>
    <x v="8"/>
    <x v="0"/>
    <x v="196"/>
    <x v="221"/>
    <x v="212"/>
    <x v="199"/>
    <x v="180"/>
    <x v="205"/>
    <x v="247"/>
    <x v="127"/>
    <n v="113.8"/>
    <n v="164.5"/>
    <n v="156.1"/>
    <n v="164.3"/>
    <n v="159.6"/>
    <n v="184.6"/>
    <n v="157.5"/>
    <n v="152.4"/>
    <n v="156.80000000000001"/>
    <x v="0"/>
    <n v="150.9"/>
    <n v="153.9"/>
    <n v="162.5"/>
    <n v="147.5"/>
    <n v="155.1"/>
    <n v="163.5"/>
    <n v="156.19999999999999"/>
    <n v="155.9"/>
    <n v="158.5"/>
    <n v="1"/>
  </r>
  <r>
    <x v="1"/>
    <x v="8"/>
    <x v="0"/>
    <x v="197"/>
    <x v="222"/>
    <x v="215"/>
    <x v="202"/>
    <x v="181"/>
    <x v="213"/>
    <x v="248"/>
    <x v="89"/>
    <n v="116.3"/>
    <n v="163"/>
    <n v="145.9"/>
    <n v="167.2"/>
    <n v="163.4"/>
    <n v="191.8"/>
    <n v="152.5"/>
    <n v="137.30000000000001"/>
    <n v="150.19999999999999"/>
    <x v="90"/>
    <n v="142.9"/>
    <n v="145.69999999999999"/>
    <n v="154.1"/>
    <n v="136.9"/>
    <n v="145.4"/>
    <n v="156.1"/>
    <n v="157.69999999999999"/>
    <n v="147.6"/>
    <n v="156"/>
    <n v="1"/>
  </r>
  <r>
    <x v="2"/>
    <x v="8"/>
    <x v="0"/>
    <x v="165"/>
    <x v="223"/>
    <x v="214"/>
    <x v="201"/>
    <x v="182"/>
    <x v="214"/>
    <x v="249"/>
    <x v="224"/>
    <n v="114.6"/>
    <n v="164"/>
    <n v="151.80000000000001"/>
    <n v="165.6"/>
    <n v="161"/>
    <n v="186.5"/>
    <n v="155.5"/>
    <n v="146.1"/>
    <n v="154.19999999999999"/>
    <x v="90"/>
    <n v="147.9"/>
    <n v="150"/>
    <n v="159.30000000000001"/>
    <n v="141.9"/>
    <n v="149.6"/>
    <n v="159.19999999999999"/>
    <n v="156.80000000000001"/>
    <n v="151.9"/>
    <n v="157.30000000000001"/>
    <n v="1"/>
  </r>
  <r>
    <x v="0"/>
    <x v="8"/>
    <x v="1"/>
    <x v="164"/>
    <x v="224"/>
    <x v="216"/>
    <x v="202"/>
    <x v="183"/>
    <x v="139"/>
    <x v="250"/>
    <x v="225"/>
    <n v="111.8"/>
    <n v="165"/>
    <n v="160"/>
    <n v="165.8"/>
    <n v="154.69999999999999"/>
    <n v="186.5"/>
    <n v="159.1"/>
    <n v="153.9"/>
    <n v="158.4"/>
    <x v="0"/>
    <n v="154.4"/>
    <n v="154.80000000000001"/>
    <n v="164.3"/>
    <n v="150.19999999999999"/>
    <n v="157"/>
    <n v="163.6"/>
    <n v="155.19999999999999"/>
    <n v="157.19999999999999"/>
    <n v="156.69999999999999"/>
    <n v="1"/>
  </r>
  <r>
    <x v="1"/>
    <x v="8"/>
    <x v="1"/>
    <x v="182"/>
    <x v="225"/>
    <x v="217"/>
    <x v="203"/>
    <x v="184"/>
    <x v="215"/>
    <x v="251"/>
    <x v="226"/>
    <n v="114.9"/>
    <n v="162.5"/>
    <n v="149.19999999999999"/>
    <n v="169.4"/>
    <n v="160.80000000000001"/>
    <n v="193.3"/>
    <n v="154.19999999999999"/>
    <n v="138.19999999999999"/>
    <n v="151.80000000000001"/>
    <x v="91"/>
    <n v="149.1"/>
    <n v="146.5"/>
    <n v="156.30000000000001"/>
    <n v="140.5"/>
    <n v="147.30000000000001"/>
    <n v="156.6"/>
    <n v="156.69999999999999"/>
    <n v="149.30000000000001"/>
    <n v="156.5"/>
    <n v="1"/>
  </r>
  <r>
    <x v="2"/>
    <x v="8"/>
    <x v="1"/>
    <x v="168"/>
    <x v="226"/>
    <x v="218"/>
    <x v="204"/>
    <x v="185"/>
    <x v="216"/>
    <x v="252"/>
    <x v="227"/>
    <n v="112.8"/>
    <n v="164.2"/>
    <n v="155.5"/>
    <n v="167.5"/>
    <n v="156.9"/>
    <n v="188.3"/>
    <n v="157.19999999999999"/>
    <n v="147.4"/>
    <n v="155.80000000000001"/>
    <x v="91"/>
    <n v="152.4"/>
    <n v="150.9"/>
    <n v="161.30000000000001"/>
    <n v="145.1"/>
    <n v="151.5"/>
    <n v="159.5"/>
    <n v="155.80000000000001"/>
    <n v="153.4"/>
    <n v="156.6"/>
    <n v="1"/>
  </r>
  <r>
    <x v="0"/>
    <x v="8"/>
    <x v="2"/>
    <x v="163"/>
    <x v="227"/>
    <x v="219"/>
    <x v="205"/>
    <x v="186"/>
    <x v="209"/>
    <x v="67"/>
    <x v="228"/>
    <n v="111.7"/>
    <n v="164"/>
    <n v="160.6"/>
    <n v="166.4"/>
    <n v="154.5"/>
    <n v="186.1"/>
    <n v="159.6"/>
    <n v="154.4"/>
    <n v="158.9"/>
    <x v="92"/>
    <n v="156"/>
    <n v="154.80000000000001"/>
    <n v="164.6"/>
    <n v="151.30000000000001"/>
    <n v="157.80000000000001"/>
    <n v="163.80000000000001"/>
    <n v="153.1"/>
    <n v="157.30000000000001"/>
    <n v="156.69999999999999"/>
    <n v="1"/>
  </r>
  <r>
    <x v="1"/>
    <x v="8"/>
    <x v="2"/>
    <x v="190"/>
    <x v="228"/>
    <x v="220"/>
    <x v="190"/>
    <x v="187"/>
    <x v="217"/>
    <x v="253"/>
    <x v="229"/>
    <n v="114.3"/>
    <n v="162.6"/>
    <n v="150.69999999999999"/>
    <n v="170.3"/>
    <n v="160.4"/>
    <n v="193.5"/>
    <n v="155.1"/>
    <n v="138.69999999999999"/>
    <n v="152.6"/>
    <x v="93"/>
    <n v="154.80000000000001"/>
    <n v="147.19999999999999"/>
    <n v="156.9"/>
    <n v="141.69999999999999"/>
    <n v="148.6"/>
    <n v="157.6"/>
    <n v="154.9"/>
    <n v="150"/>
    <n v="156.9"/>
    <n v="1"/>
  </r>
  <r>
    <x v="2"/>
    <x v="8"/>
    <x v="2"/>
    <x v="162"/>
    <x v="229"/>
    <x v="221"/>
    <x v="206"/>
    <x v="188"/>
    <x v="218"/>
    <x v="123"/>
    <x v="226"/>
    <n v="112.6"/>
    <n v="163.5"/>
    <n v="156.5"/>
    <n v="168.2"/>
    <n v="156.69999999999999"/>
    <n v="188.1"/>
    <n v="157.80000000000001"/>
    <n v="147.9"/>
    <n v="156.4"/>
    <x v="93"/>
    <n v="155.5"/>
    <n v="151.19999999999999"/>
    <n v="161.69999999999999"/>
    <n v="146.19999999999999"/>
    <n v="152.6"/>
    <n v="160.19999999999999"/>
    <n v="153.80000000000001"/>
    <n v="153.80000000000001"/>
    <n v="156.80000000000001"/>
    <n v="1"/>
  </r>
  <r>
    <x v="0"/>
    <x v="8"/>
    <x v="3"/>
    <x v="157"/>
    <x v="217"/>
    <x v="222"/>
    <x v="207"/>
    <x v="189"/>
    <x v="219"/>
    <x v="172"/>
    <x v="229"/>
    <n v="112.2"/>
    <n v="164.4"/>
    <n v="161.9"/>
    <n v="166.8"/>
    <n v="155.6"/>
    <n v="186.8"/>
    <n v="160.69999999999999"/>
    <n v="155.1"/>
    <n v="159.9"/>
    <x v="92"/>
    <n v="156"/>
    <n v="155.5"/>
    <n v="165.3"/>
    <n v="151.69999999999999"/>
    <n v="158.6"/>
    <n v="164.1"/>
    <n v="154.6"/>
    <n v="158"/>
    <n v="157.6"/>
    <n v="1"/>
  </r>
  <r>
    <x v="1"/>
    <x v="8"/>
    <x v="3"/>
    <x v="182"/>
    <x v="230"/>
    <x v="223"/>
    <x v="208"/>
    <x v="190"/>
    <x v="220"/>
    <x v="201"/>
    <x v="95"/>
    <n v="114.8"/>
    <n v="162.80000000000001"/>
    <n v="151.5"/>
    <n v="171.4"/>
    <n v="162"/>
    <n v="194.4"/>
    <n v="155.9"/>
    <n v="139.30000000000001"/>
    <n v="153.4"/>
    <x v="94"/>
    <n v="154.9"/>
    <n v="147.6"/>
    <n v="157.5"/>
    <n v="142.1"/>
    <n v="149.1"/>
    <n v="157.6"/>
    <n v="156.6"/>
    <n v="150.5"/>
    <n v="158"/>
    <n v="1"/>
  </r>
  <r>
    <x v="2"/>
    <x v="8"/>
    <x v="3"/>
    <x v="168"/>
    <x v="231"/>
    <x v="224"/>
    <x v="209"/>
    <x v="191"/>
    <x v="221"/>
    <x v="103"/>
    <x v="125"/>
    <n v="113.1"/>
    <n v="163.9"/>
    <n v="157.6"/>
    <n v="168.9"/>
    <n v="158"/>
    <n v="188.8"/>
    <n v="158.80000000000001"/>
    <n v="148.5"/>
    <n v="157.30000000000001"/>
    <x v="94"/>
    <n v="155.6"/>
    <n v="151.80000000000001"/>
    <n v="162.30000000000001"/>
    <n v="146.6"/>
    <n v="153.19999999999999"/>
    <n v="160.30000000000001"/>
    <n v="155.4"/>
    <n v="154.4"/>
    <n v="157.80000000000001"/>
    <n v="1"/>
  </r>
  <r>
    <x v="0"/>
    <x v="8"/>
    <x v="4"/>
    <x v="174"/>
    <x v="232"/>
    <x v="225"/>
    <x v="210"/>
    <x v="192"/>
    <x v="222"/>
    <x v="254"/>
    <x v="230"/>
    <n v="114.3"/>
    <n v="169.7"/>
    <n v="164.6"/>
    <n v="169.8"/>
    <n v="158.69999999999999"/>
    <n v="189.6"/>
    <n v="165.3"/>
    <n v="160.6"/>
    <n v="164.5"/>
    <x v="0"/>
    <n v="161.69999999999999"/>
    <n v="158.80000000000001"/>
    <n v="169.1"/>
    <n v="153.19999999999999"/>
    <n v="160"/>
    <n v="167.6"/>
    <n v="159.30000000000001"/>
    <n v="161.1"/>
    <n v="161.1"/>
    <n v="1"/>
  </r>
  <r>
    <x v="1"/>
    <x v="8"/>
    <x v="4"/>
    <x v="198"/>
    <x v="233"/>
    <x v="226"/>
    <x v="211"/>
    <x v="193"/>
    <x v="223"/>
    <x v="255"/>
    <x v="231"/>
    <n v="115.9"/>
    <n v="165.2"/>
    <n v="152"/>
    <n v="171.1"/>
    <n v="164.2"/>
    <n v="198.2"/>
    <n v="156.5"/>
    <n v="140.19999999999999"/>
    <n v="154.1"/>
    <x v="95"/>
    <n v="155.5"/>
    <n v="150.1"/>
    <n v="160.4"/>
    <n v="145"/>
    <n v="152.6"/>
    <n v="156.6"/>
    <n v="157.5"/>
    <n v="152.30000000000001"/>
    <n v="159.5"/>
    <n v="1"/>
  </r>
  <r>
    <x v="2"/>
    <x v="8"/>
    <x v="4"/>
    <x v="199"/>
    <x v="234"/>
    <x v="227"/>
    <x v="212"/>
    <x v="194"/>
    <x v="224"/>
    <x v="256"/>
    <x v="81"/>
    <n v="114.8"/>
    <n v="168.2"/>
    <n v="159.30000000000001"/>
    <n v="170.4"/>
    <n v="160.69999999999999"/>
    <n v="191.9"/>
    <n v="161.80000000000001"/>
    <n v="152.1"/>
    <n v="160.4"/>
    <x v="95"/>
    <n v="159.4"/>
    <n v="154.69999999999999"/>
    <n v="165.8"/>
    <n v="148.9"/>
    <n v="155.80000000000001"/>
    <n v="161.19999999999999"/>
    <n v="158.6"/>
    <n v="156.80000000000001"/>
    <n v="160.4"/>
    <n v="1"/>
  </r>
  <r>
    <x v="0"/>
    <x v="8"/>
    <x v="5"/>
    <x v="167"/>
    <x v="235"/>
    <x v="228"/>
    <x v="212"/>
    <x v="195"/>
    <x v="225"/>
    <x v="257"/>
    <x v="232"/>
    <n v="114.6"/>
    <n v="170"/>
    <n v="165.5"/>
    <n v="171.7"/>
    <n v="160.5"/>
    <n v="189.1"/>
    <n v="165.3"/>
    <n v="159.9"/>
    <n v="164.6"/>
    <x v="0"/>
    <n v="162.1"/>
    <n v="159.19999999999999"/>
    <n v="169.7"/>
    <n v="154.19999999999999"/>
    <n v="160.4"/>
    <n v="166.8"/>
    <n v="159.4"/>
    <n v="161.5"/>
    <n v="162.1"/>
    <n v="1"/>
  </r>
  <r>
    <x v="1"/>
    <x v="8"/>
    <x v="5"/>
    <x v="200"/>
    <x v="236"/>
    <x v="229"/>
    <x v="211"/>
    <x v="196"/>
    <x v="226"/>
    <x v="258"/>
    <x v="233"/>
    <n v="116.1"/>
    <n v="165.5"/>
    <n v="152.30000000000001"/>
    <n v="173.3"/>
    <n v="166.2"/>
    <n v="195.6"/>
    <n v="157.30000000000001"/>
    <n v="140.5"/>
    <n v="154.80000000000001"/>
    <x v="96"/>
    <n v="156.1"/>
    <n v="149.80000000000001"/>
    <n v="160.80000000000001"/>
    <n v="147.5"/>
    <n v="150.69999999999999"/>
    <n v="158.1"/>
    <n v="158"/>
    <n v="153.4"/>
    <n v="160.4"/>
    <n v="1"/>
  </r>
  <r>
    <x v="2"/>
    <x v="8"/>
    <x v="5"/>
    <x v="201"/>
    <x v="237"/>
    <x v="230"/>
    <x v="213"/>
    <x v="197"/>
    <x v="227"/>
    <x v="259"/>
    <x v="104"/>
    <n v="115.1"/>
    <n v="168.5"/>
    <n v="160"/>
    <n v="172.4"/>
    <n v="162.6"/>
    <n v="190.8"/>
    <n v="162.19999999999999"/>
    <n v="151.80000000000001"/>
    <n v="160.69999999999999"/>
    <x v="96"/>
    <n v="159.80000000000001"/>
    <n v="154.80000000000001"/>
    <n v="166.3"/>
    <n v="150.69999999999999"/>
    <n v="154.9"/>
    <n v="161.69999999999999"/>
    <n v="158.80000000000001"/>
    <n v="157.6"/>
    <n v="161.30000000000001"/>
    <n v="1"/>
  </r>
  <r>
    <x v="0"/>
    <x v="8"/>
    <x v="6"/>
    <x v="174"/>
    <x v="238"/>
    <x v="231"/>
    <x v="214"/>
    <x v="198"/>
    <x v="228"/>
    <x v="260"/>
    <x v="234"/>
    <n v="113.9"/>
    <n v="169.7"/>
    <n v="166.2"/>
    <n v="171"/>
    <n v="161.69999999999999"/>
    <n v="189.7"/>
    <n v="166"/>
    <n v="161.1"/>
    <n v="165.3"/>
    <x v="0"/>
    <n v="162.5"/>
    <n v="160.30000000000001"/>
    <n v="170.4"/>
    <n v="157.1"/>
    <n v="160.69999999999999"/>
    <n v="167.2"/>
    <n v="160.4"/>
    <n v="162.80000000000001"/>
    <n v="163.19999999999999"/>
    <n v="1"/>
  </r>
  <r>
    <x v="1"/>
    <x v="8"/>
    <x v="6"/>
    <x v="202"/>
    <x v="239"/>
    <x v="232"/>
    <x v="215"/>
    <x v="199"/>
    <x v="229"/>
    <x v="261"/>
    <x v="235"/>
    <n v="115.7"/>
    <n v="165.5"/>
    <n v="153.4"/>
    <n v="173.5"/>
    <n v="167.9"/>
    <n v="195.5"/>
    <n v="157.9"/>
    <n v="141.9"/>
    <n v="155.5"/>
    <x v="97"/>
    <n v="157.69999999999999"/>
    <n v="150.69999999999999"/>
    <n v="161.5"/>
    <n v="149.5"/>
    <n v="151.19999999999999"/>
    <n v="160.30000000000001"/>
    <n v="159.6"/>
    <n v="155"/>
    <n v="161.80000000000001"/>
    <n v="1"/>
  </r>
  <r>
    <x v="2"/>
    <x v="8"/>
    <x v="6"/>
    <x v="203"/>
    <x v="240"/>
    <x v="233"/>
    <x v="216"/>
    <x v="200"/>
    <x v="230"/>
    <x v="262"/>
    <x v="236"/>
    <n v="114.5"/>
    <n v="168.3"/>
    <n v="160.9"/>
    <n v="172.2"/>
    <n v="164"/>
    <n v="191.2"/>
    <n v="162.80000000000001"/>
    <n v="153.1"/>
    <n v="161.4"/>
    <x v="97"/>
    <n v="160.69999999999999"/>
    <n v="155.80000000000001"/>
    <n v="167"/>
    <n v="153.1"/>
    <n v="155.30000000000001"/>
    <n v="163.19999999999999"/>
    <n v="160.1"/>
    <n v="159"/>
    <n v="162.5"/>
    <n v="1"/>
  </r>
  <r>
    <x v="0"/>
    <x v="8"/>
    <x v="7"/>
    <x v="165"/>
    <x v="241"/>
    <x v="234"/>
    <x v="216"/>
    <x v="201"/>
    <x v="207"/>
    <x v="263"/>
    <x v="95"/>
    <n v="115.2"/>
    <n v="169.8"/>
    <n v="167.6"/>
    <n v="171.9"/>
    <n v="161.80000000000001"/>
    <n v="190.2"/>
    <n v="167"/>
    <n v="162.6"/>
    <n v="166.3"/>
    <x v="0"/>
    <n v="163.1"/>
    <n v="160.9"/>
    <n v="171.1"/>
    <n v="157.69999999999999"/>
    <n v="161.1"/>
    <n v="167.5"/>
    <n v="160.30000000000001"/>
    <n v="163.30000000000001"/>
    <n v="163.6"/>
    <n v="1"/>
  </r>
  <r>
    <x v="1"/>
    <x v="8"/>
    <x v="7"/>
    <x v="204"/>
    <x v="242"/>
    <x v="235"/>
    <x v="217"/>
    <x v="202"/>
    <x v="231"/>
    <x v="264"/>
    <x v="237"/>
    <n v="120.4"/>
    <n v="166.2"/>
    <n v="154.80000000000001"/>
    <n v="175.1"/>
    <n v="167.3"/>
    <n v="196.5"/>
    <n v="159.80000000000001"/>
    <n v="143.6"/>
    <n v="157.30000000000001"/>
    <x v="98"/>
    <n v="160.69999999999999"/>
    <n v="153.19999999999999"/>
    <n v="162.80000000000001"/>
    <n v="150.4"/>
    <n v="153.69999999999999"/>
    <n v="160.4"/>
    <n v="159.6"/>
    <n v="156"/>
    <n v="162.30000000000001"/>
    <n v="1"/>
  </r>
  <r>
    <x v="2"/>
    <x v="8"/>
    <x v="7"/>
    <x v="205"/>
    <x v="243"/>
    <x v="236"/>
    <x v="218"/>
    <x v="203"/>
    <x v="232"/>
    <x v="94"/>
    <x v="238"/>
    <n v="119.7"/>
    <n v="168.8"/>
    <n v="162.69999999999999"/>
    <n v="173.9"/>
    <n v="164"/>
    <n v="192.1"/>
    <n v="164.5"/>
    <n v="155.30000000000001"/>
    <n v="163.19999999999999"/>
    <x v="98"/>
    <n v="162.6"/>
    <n v="157.5"/>
    <n v="168.4"/>
    <n v="154"/>
    <n v="157.6"/>
    <n v="163.80000000000001"/>
    <n v="160"/>
    <n v="160"/>
    <n v="163.19999999999999"/>
    <n v="1"/>
  </r>
  <r>
    <x v="0"/>
    <x v="8"/>
    <x v="8"/>
    <x v="191"/>
    <x v="244"/>
    <x v="237"/>
    <x v="219"/>
    <x v="204"/>
    <x v="233"/>
    <x v="113"/>
    <x v="239"/>
    <n v="119.3"/>
    <n v="170.1"/>
    <n v="168.3"/>
    <n v="172.8"/>
    <n v="162.1"/>
    <n v="190.5"/>
    <n v="167.7"/>
    <n v="163.6"/>
    <n v="167.1"/>
    <x v="0"/>
    <n v="163.69999999999999"/>
    <n v="161.30000000000001"/>
    <n v="171.9"/>
    <n v="157.80000000000001"/>
    <n v="162.69999999999999"/>
    <n v="168.5"/>
    <n v="160.19999999999999"/>
    <n v="163.80000000000001"/>
    <n v="164"/>
    <n v="1"/>
  </r>
  <r>
    <x v="1"/>
    <x v="8"/>
    <x v="8"/>
    <x v="204"/>
    <x v="242"/>
    <x v="235"/>
    <x v="220"/>
    <x v="202"/>
    <x v="234"/>
    <x v="26"/>
    <x v="237"/>
    <n v="120.4"/>
    <n v="166.2"/>
    <n v="154.80000000000001"/>
    <n v="175.1"/>
    <n v="167.3"/>
    <n v="196.5"/>
    <n v="159.80000000000001"/>
    <n v="143.6"/>
    <n v="157.4"/>
    <x v="98"/>
    <n v="160.80000000000001"/>
    <n v="153.30000000000001"/>
    <n v="162.80000000000001"/>
    <n v="150.5"/>
    <n v="153.9"/>
    <n v="160.30000000000001"/>
    <n v="159.6"/>
    <n v="156"/>
    <n v="162.30000000000001"/>
    <n v="1"/>
  </r>
  <r>
    <x v="2"/>
    <x v="8"/>
    <x v="8"/>
    <x v="205"/>
    <x v="243"/>
    <x v="236"/>
    <x v="218"/>
    <x v="203"/>
    <x v="235"/>
    <x v="265"/>
    <x v="238"/>
    <n v="119.7"/>
    <n v="168.8"/>
    <n v="162.69999999999999"/>
    <n v="173.9"/>
    <n v="164"/>
    <n v="192.1"/>
    <n v="164.6"/>
    <n v="155.30000000000001"/>
    <n v="163.30000000000001"/>
    <x v="98"/>
    <n v="162.6"/>
    <n v="157.5"/>
    <n v="168.4"/>
    <n v="154"/>
    <n v="157.69999999999999"/>
    <n v="163.69999999999999"/>
    <n v="160"/>
    <n v="160"/>
    <n v="163.19999999999999"/>
    <n v="1"/>
  </r>
  <r>
    <x v="0"/>
    <x v="8"/>
    <x v="9"/>
    <x v="206"/>
    <x v="230"/>
    <x v="238"/>
    <x v="218"/>
    <x v="205"/>
    <x v="213"/>
    <x v="266"/>
    <x v="240"/>
    <n v="121.6"/>
    <n v="170.6"/>
    <n v="168.8"/>
    <n v="173.6"/>
    <n v="165.5"/>
    <n v="191.2"/>
    <n v="168.9"/>
    <n v="164.8"/>
    <n v="168.3"/>
    <x v="0"/>
    <n v="165.5"/>
    <n v="162"/>
    <n v="172.5"/>
    <n v="159.5"/>
    <n v="163.19999999999999"/>
    <n v="169"/>
    <n v="161.1"/>
    <n v="164.7"/>
    <n v="166.3"/>
    <n v="1"/>
  </r>
  <r>
    <x v="1"/>
    <x v="8"/>
    <x v="9"/>
    <x v="207"/>
    <x v="245"/>
    <x v="226"/>
    <x v="217"/>
    <x v="206"/>
    <x v="236"/>
    <x v="267"/>
    <x v="85"/>
    <n v="122.5"/>
    <n v="166.8"/>
    <n v="155.4"/>
    <n v="175.9"/>
    <n v="171.5"/>
    <n v="197"/>
    <n v="160.80000000000001"/>
    <n v="144.4"/>
    <n v="158.30000000000001"/>
    <x v="99"/>
    <n v="162.19999999999999"/>
    <n v="154.30000000000001"/>
    <n v="163.5"/>
    <n v="152.19999999999999"/>
    <n v="155.1"/>
    <n v="160.30000000000001"/>
    <n v="160.30000000000001"/>
    <n v="157"/>
    <n v="164.6"/>
    <n v="1"/>
  </r>
  <r>
    <x v="2"/>
    <x v="8"/>
    <x v="9"/>
    <x v="208"/>
    <x v="246"/>
    <x v="239"/>
    <x v="221"/>
    <x v="207"/>
    <x v="207"/>
    <x v="268"/>
    <x v="240"/>
    <n v="121.9"/>
    <n v="169.3"/>
    <n v="163.19999999999999"/>
    <n v="174.7"/>
    <n v="167.7"/>
    <n v="192.7"/>
    <n v="165.7"/>
    <n v="156.30000000000001"/>
    <n v="164.3"/>
    <x v="99"/>
    <n v="164.2"/>
    <n v="158.4"/>
    <n v="169.1"/>
    <n v="155.69999999999999"/>
    <n v="158.6"/>
    <n v="163.9"/>
    <n v="160.80000000000001"/>
    <n v="161"/>
    <n v="165.5"/>
    <n v="1"/>
  </r>
  <r>
    <x v="0"/>
    <x v="8"/>
    <x v="10"/>
    <x v="185"/>
    <x v="247"/>
    <x v="240"/>
    <x v="220"/>
    <x v="208"/>
    <x v="164"/>
    <x v="269"/>
    <x v="81"/>
    <n v="122.1"/>
    <n v="170.8"/>
    <n v="169.1"/>
    <n v="174.3"/>
    <n v="167.5"/>
    <n v="191.4"/>
    <n v="170.4"/>
    <n v="166"/>
    <n v="169.8"/>
    <x v="0"/>
    <n v="165.3"/>
    <n v="162.9"/>
    <n v="173.4"/>
    <n v="158.9"/>
    <n v="163.80000000000001"/>
    <n v="169.3"/>
    <n v="162.4"/>
    <n v="165.2"/>
    <n v="167.6"/>
    <n v="1"/>
  </r>
  <r>
    <x v="1"/>
    <x v="8"/>
    <x v="10"/>
    <x v="209"/>
    <x v="248"/>
    <x v="241"/>
    <x v="222"/>
    <x v="209"/>
    <x v="237"/>
    <x v="270"/>
    <x v="230"/>
    <n v="123.1"/>
    <n v="167.2"/>
    <n v="156.1"/>
    <n v="176.8"/>
    <n v="173.5"/>
    <n v="197"/>
    <n v="162.30000000000001"/>
    <n v="145.30000000000001"/>
    <n v="159.69999999999999"/>
    <x v="100"/>
    <n v="161.6"/>
    <n v="155.19999999999999"/>
    <n v="164.2"/>
    <n v="151.19999999999999"/>
    <n v="156.69999999999999"/>
    <n v="160.80000000000001"/>
    <n v="161.80000000000001"/>
    <n v="157.30000000000001"/>
    <n v="165.6"/>
    <n v="1"/>
  </r>
  <r>
    <x v="2"/>
    <x v="8"/>
    <x v="10"/>
    <x v="179"/>
    <x v="249"/>
    <x v="226"/>
    <x v="223"/>
    <x v="210"/>
    <x v="238"/>
    <x v="271"/>
    <x v="85"/>
    <n v="122.4"/>
    <n v="169.6"/>
    <n v="163.69999999999999"/>
    <n v="175.5"/>
    <n v="169.7"/>
    <n v="192.9"/>
    <n v="167.2"/>
    <n v="157.4"/>
    <n v="165.8"/>
    <x v="100"/>
    <n v="163.9"/>
    <n v="159.30000000000001"/>
    <n v="169.9"/>
    <n v="154.80000000000001"/>
    <n v="159.80000000000001"/>
    <n v="164.3"/>
    <n v="162.19999999999999"/>
    <n v="161.4"/>
    <n v="166.7"/>
    <n v="1"/>
  </r>
  <r>
    <x v="0"/>
    <x v="8"/>
    <x v="11"/>
    <x v="208"/>
    <x v="205"/>
    <x v="234"/>
    <x v="224"/>
    <x v="211"/>
    <x v="239"/>
    <x v="272"/>
    <x v="237"/>
    <n v="120.6"/>
    <n v="171.7"/>
    <n v="169.7"/>
    <n v="175.1"/>
    <n v="165.8"/>
    <n v="190.8"/>
    <n v="171.8"/>
    <n v="167.3"/>
    <n v="171.2"/>
    <x v="0"/>
    <n v="165.6"/>
    <n v="163.9"/>
    <n v="174"/>
    <n v="160.1"/>
    <n v="164.5"/>
    <n v="169.7"/>
    <n v="162.80000000000001"/>
    <n v="166"/>
    <n v="167"/>
    <n v="1"/>
  </r>
  <r>
    <x v="1"/>
    <x v="8"/>
    <x v="11"/>
    <x v="183"/>
    <x v="250"/>
    <x v="242"/>
    <x v="225"/>
    <x v="212"/>
    <x v="240"/>
    <x v="273"/>
    <x v="241"/>
    <n v="121.9"/>
    <n v="168.2"/>
    <n v="156.5"/>
    <n v="178.2"/>
    <n v="172.2"/>
    <n v="196.8"/>
    <n v="163.30000000000001"/>
    <n v="146.69999999999999"/>
    <n v="160.69999999999999"/>
    <x v="101"/>
    <n v="161.69999999999999"/>
    <n v="156"/>
    <n v="165.1"/>
    <n v="151.80000000000001"/>
    <n v="157.6"/>
    <n v="160.6"/>
    <n v="162.4"/>
    <n v="157.80000000000001"/>
    <n v="165.2"/>
    <n v="1"/>
  </r>
  <r>
    <x v="2"/>
    <x v="8"/>
    <x v="11"/>
    <x v="177"/>
    <x v="251"/>
    <x v="243"/>
    <x v="226"/>
    <x v="213"/>
    <x v="241"/>
    <x v="274"/>
    <x v="242"/>
    <n v="121"/>
    <n v="170.5"/>
    <n v="164.2"/>
    <n v="176.5"/>
    <n v="168.2"/>
    <n v="192.4"/>
    <n v="168.5"/>
    <n v="158.69999999999999"/>
    <n v="167"/>
    <x v="101"/>
    <n v="164.1"/>
    <n v="160.19999999999999"/>
    <n v="170.6"/>
    <n v="155.69999999999999"/>
    <n v="160.6"/>
    <n v="164.4"/>
    <n v="162.6"/>
    <n v="162"/>
    <n v="166.2"/>
    <n v="1"/>
  </r>
  <r>
    <x v="0"/>
    <x v="9"/>
    <x v="0"/>
    <x v="210"/>
    <x v="252"/>
    <x v="244"/>
    <x v="227"/>
    <x v="214"/>
    <x v="208"/>
    <x v="180"/>
    <x v="236"/>
    <n v="119.3"/>
    <n v="173.3"/>
    <n v="169.8"/>
    <n v="175.8"/>
    <n v="164.1"/>
    <n v="190.7"/>
    <n v="173.2"/>
    <n v="169.3"/>
    <n v="172.7"/>
    <x v="0"/>
    <n v="165.8"/>
    <n v="164.9"/>
    <n v="174.7"/>
    <n v="160.80000000000001"/>
    <n v="164.9"/>
    <n v="169.9"/>
    <n v="163.19999999999999"/>
    <n v="166.6"/>
    <n v="166.4"/>
    <n v="1"/>
  </r>
  <r>
    <x v="1"/>
    <x v="9"/>
    <x v="0"/>
    <x v="211"/>
    <x v="244"/>
    <x v="245"/>
    <x v="228"/>
    <x v="215"/>
    <x v="238"/>
    <x v="275"/>
    <x v="92"/>
    <n v="121.3"/>
    <n v="169.8"/>
    <n v="156.6"/>
    <n v="179"/>
    <n v="170.3"/>
    <n v="196.4"/>
    <n v="164.7"/>
    <n v="148.5"/>
    <n v="162.19999999999999"/>
    <x v="102"/>
    <n v="161.6"/>
    <n v="156.80000000000001"/>
    <n v="166.1"/>
    <n v="152.69999999999999"/>
    <n v="158.4"/>
    <n v="161"/>
    <n v="162.80000000000001"/>
    <n v="158.6"/>
    <n v="165"/>
    <n v="1"/>
  </r>
  <r>
    <x v="2"/>
    <x v="9"/>
    <x v="0"/>
    <x v="212"/>
    <x v="253"/>
    <x v="246"/>
    <x v="227"/>
    <x v="216"/>
    <x v="218"/>
    <x v="24"/>
    <x v="239"/>
    <n v="120"/>
    <n v="172.1"/>
    <n v="164.3"/>
    <n v="177.3"/>
    <n v="166.4"/>
    <n v="192.2"/>
    <n v="169.9"/>
    <n v="160.69999999999999"/>
    <n v="168.5"/>
    <x v="102"/>
    <n v="164.2"/>
    <n v="161.1"/>
    <n v="171.4"/>
    <n v="156.5"/>
    <n v="161.19999999999999"/>
    <n v="164.7"/>
    <n v="163"/>
    <n v="162.69999999999999"/>
    <n v="165.7"/>
    <n v="1"/>
  </r>
  <r>
    <x v="0"/>
    <x v="9"/>
    <x v="1"/>
    <x v="198"/>
    <x v="254"/>
    <x v="247"/>
    <x v="229"/>
    <x v="214"/>
    <x v="242"/>
    <x v="97"/>
    <x v="239"/>
    <n v="118.1"/>
    <n v="175.4"/>
    <n v="170.5"/>
    <n v="176.3"/>
    <n v="163.9"/>
    <n v="191.5"/>
    <n v="174.1"/>
    <n v="171"/>
    <n v="173.7"/>
    <x v="0"/>
    <n v="167.4"/>
    <n v="165.7"/>
    <n v="175.3"/>
    <n v="161.19999999999999"/>
    <n v="165.5"/>
    <n v="170.3"/>
    <n v="164.5"/>
    <n v="167.3"/>
    <n v="166.7"/>
    <n v="1"/>
  </r>
  <r>
    <x v="1"/>
    <x v="9"/>
    <x v="1"/>
    <x v="213"/>
    <x v="255"/>
    <x v="248"/>
    <x v="230"/>
    <x v="217"/>
    <x v="156"/>
    <x v="276"/>
    <x v="243"/>
    <n v="120.6"/>
    <n v="172.2"/>
    <n v="156.69999999999999"/>
    <n v="180"/>
    <n v="170.2"/>
    <n v="196.5"/>
    <n v="165.7"/>
    <n v="150.4"/>
    <n v="163.4"/>
    <x v="103"/>
    <n v="163"/>
    <n v="157.4"/>
    <n v="167.2"/>
    <n v="153.1"/>
    <n v="159.5"/>
    <n v="162"/>
    <n v="164.2"/>
    <n v="159.4"/>
    <n v="165.5"/>
    <n v="1"/>
  </r>
  <r>
    <x v="2"/>
    <x v="9"/>
    <x v="1"/>
    <x v="214"/>
    <x v="256"/>
    <x v="249"/>
    <x v="229"/>
    <x v="218"/>
    <x v="218"/>
    <x v="277"/>
    <x v="244"/>
    <n v="118.9"/>
    <n v="174.3"/>
    <n v="164.7"/>
    <n v="178"/>
    <n v="166.2"/>
    <n v="192.8"/>
    <n v="170.8"/>
    <n v="162.4"/>
    <n v="169.6"/>
    <x v="103"/>
    <n v="165.7"/>
    <n v="161.80000000000001"/>
    <n v="172.2"/>
    <n v="156.9"/>
    <n v="162.1"/>
    <n v="165.4"/>
    <n v="164.4"/>
    <n v="163.5"/>
    <n v="166.1"/>
    <n v="1"/>
  </r>
  <r>
    <x v="0"/>
    <x v="9"/>
    <x v="2"/>
    <x v="215"/>
    <x v="257"/>
    <x v="250"/>
    <x v="231"/>
    <x v="219"/>
    <x v="243"/>
    <x v="278"/>
    <x v="241"/>
    <n v="118.1"/>
    <n v="178.7"/>
    <n v="171.2"/>
    <n v="177.4"/>
    <n v="166.6"/>
    <n v="192.3"/>
    <n v="175.4"/>
    <n v="173.2"/>
    <n v="175.1"/>
    <x v="0"/>
    <n v="168.9"/>
    <n v="166.5"/>
    <n v="176"/>
    <n v="162"/>
    <n v="166.6"/>
    <n v="170.6"/>
    <n v="167.4"/>
    <n v="168.3"/>
    <n v="168.7"/>
    <n v="1"/>
  </r>
  <r>
    <x v="1"/>
    <x v="9"/>
    <x v="2"/>
    <x v="216"/>
    <x v="258"/>
    <x v="251"/>
    <x v="232"/>
    <x v="220"/>
    <x v="244"/>
    <x v="214"/>
    <x v="245"/>
    <n v="120.3"/>
    <n v="174.7"/>
    <n v="157.1"/>
    <n v="181.5"/>
    <n v="171.5"/>
    <n v="197.5"/>
    <n v="167.1"/>
    <n v="152.6"/>
    <n v="164.9"/>
    <x v="104"/>
    <n v="164.5"/>
    <n v="158.6"/>
    <n v="168.2"/>
    <n v="154.19999999999999"/>
    <n v="160.80000000000001"/>
    <n v="162.69999999999999"/>
    <n v="166.8"/>
    <n v="160.6"/>
    <n v="166.5"/>
    <n v="1"/>
  </r>
  <r>
    <x v="2"/>
    <x v="9"/>
    <x v="2"/>
    <x v="217"/>
    <x v="259"/>
    <x v="252"/>
    <x v="233"/>
    <x v="221"/>
    <x v="245"/>
    <x v="279"/>
    <x v="239"/>
    <n v="118.8"/>
    <n v="177.4"/>
    <n v="165.3"/>
    <n v="179.3"/>
    <n v="168.4"/>
    <n v="193.7"/>
    <n v="172.1"/>
    <n v="164.6"/>
    <n v="171.1"/>
    <x v="104"/>
    <n v="167.2"/>
    <n v="162.80000000000001"/>
    <n v="173"/>
    <n v="157.9"/>
    <n v="163.30000000000001"/>
    <n v="166"/>
    <n v="167.2"/>
    <n v="164.6"/>
    <n v="167.7"/>
    <n v="1"/>
  </r>
  <r>
    <x v="0"/>
    <x v="9"/>
    <x v="3"/>
    <x v="176"/>
    <x v="260"/>
    <x v="253"/>
    <x v="234"/>
    <x v="222"/>
    <x v="246"/>
    <x v="89"/>
    <x v="230"/>
    <n v="118.2"/>
    <n v="182.9"/>
    <n v="172.4"/>
    <n v="178.9"/>
    <n v="168.6"/>
    <n v="192.8"/>
    <n v="177.5"/>
    <n v="175.1"/>
    <n v="177.1"/>
    <x v="0"/>
    <n v="173.3"/>
    <n v="167.7"/>
    <n v="177"/>
    <n v="166.2"/>
    <n v="167.2"/>
    <n v="170.9"/>
    <n v="169"/>
    <n v="170.2"/>
    <n v="170.8"/>
    <n v="1"/>
  </r>
  <r>
    <x v="1"/>
    <x v="9"/>
    <x v="3"/>
    <x v="218"/>
    <x v="258"/>
    <x v="224"/>
    <x v="235"/>
    <x v="223"/>
    <x v="247"/>
    <x v="280"/>
    <x v="236"/>
    <n v="120.5"/>
    <n v="178"/>
    <n v="157.5"/>
    <n v="183.3"/>
    <n v="174.5"/>
    <n v="197.1"/>
    <n v="168.4"/>
    <n v="154.5"/>
    <n v="166.3"/>
    <x v="105"/>
    <n v="170.5"/>
    <n v="159.80000000000001"/>
    <n v="169"/>
    <n v="159.30000000000001"/>
    <n v="162.19999999999999"/>
    <n v="164"/>
    <n v="168.4"/>
    <n v="163.1"/>
    <n v="169.2"/>
    <n v="1"/>
  </r>
  <r>
    <x v="2"/>
    <x v="9"/>
    <x v="3"/>
    <x v="219"/>
    <x v="261"/>
    <x v="253"/>
    <x v="236"/>
    <x v="224"/>
    <x v="248"/>
    <x v="281"/>
    <x v="235"/>
    <n v="119"/>
    <n v="181.3"/>
    <n v="166.2"/>
    <n v="180.9"/>
    <n v="170.8"/>
    <n v="193.9"/>
    <n v="173.9"/>
    <n v="166.5"/>
    <n v="172.8"/>
    <x v="105"/>
    <n v="172.2"/>
    <n v="164"/>
    <n v="174"/>
    <n v="162.6"/>
    <n v="164.4"/>
    <n v="166.9"/>
    <n v="168.8"/>
    <n v="166.8"/>
    <n v="170.1"/>
    <n v="1"/>
  </r>
  <r>
    <x v="0"/>
    <x v="9"/>
    <x v="4"/>
    <x v="219"/>
    <x v="262"/>
    <x v="208"/>
    <x v="237"/>
    <x v="225"/>
    <x v="249"/>
    <x v="96"/>
    <x v="246"/>
    <n v="118.9"/>
    <n v="186.6"/>
    <n v="173.2"/>
    <n v="180.4"/>
    <n v="170.8"/>
    <n v="192.9"/>
    <n v="179.3"/>
    <n v="177.2"/>
    <n v="179"/>
    <x v="0"/>
    <n v="175.3"/>
    <n v="168.9"/>
    <n v="177.7"/>
    <n v="167.1"/>
    <n v="167.6"/>
    <n v="171.8"/>
    <n v="168.5"/>
    <n v="170.9"/>
    <n v="172.5"/>
    <n v="1"/>
  </r>
  <r>
    <x v="1"/>
    <x v="9"/>
    <x v="4"/>
    <x v="220"/>
    <x v="263"/>
    <x v="254"/>
    <x v="238"/>
    <x v="226"/>
    <x v="250"/>
    <x v="282"/>
    <x v="238"/>
    <n v="121.2"/>
    <n v="181.4"/>
    <n v="158.5"/>
    <n v="184.9"/>
    <n v="177.5"/>
    <n v="197.5"/>
    <n v="170"/>
    <n v="155.9"/>
    <n v="167.8"/>
    <x v="106"/>
    <n v="173.5"/>
    <n v="161.1"/>
    <n v="170.1"/>
    <n v="159.4"/>
    <n v="163.19999999999999"/>
    <n v="165.2"/>
    <n v="168.2"/>
    <n v="163.80000000000001"/>
    <n v="170.8"/>
    <n v="1"/>
  </r>
  <r>
    <x v="2"/>
    <x v="9"/>
    <x v="4"/>
    <x v="221"/>
    <x v="264"/>
    <x v="255"/>
    <x v="239"/>
    <x v="227"/>
    <x v="251"/>
    <x v="283"/>
    <x v="235"/>
    <n v="119.7"/>
    <n v="184.9"/>
    <n v="167.1"/>
    <n v="182.5"/>
    <n v="173.3"/>
    <n v="194.1"/>
    <n v="175.6"/>
    <n v="168.4"/>
    <n v="174.6"/>
    <x v="106"/>
    <n v="174.6"/>
    <n v="165.2"/>
    <n v="174.8"/>
    <n v="163"/>
    <n v="165.1"/>
    <n v="167.9"/>
    <n v="168.4"/>
    <n v="167.5"/>
    <n v="171.7"/>
    <n v="1"/>
  </r>
  <r>
    <x v="0"/>
    <x v="9"/>
    <x v="5"/>
    <x v="222"/>
    <x v="265"/>
    <x v="256"/>
    <x v="238"/>
    <x v="228"/>
    <x v="252"/>
    <x v="284"/>
    <x v="247"/>
    <n v="119.1"/>
    <n v="188.9"/>
    <n v="174.2"/>
    <n v="181.9"/>
    <n v="172.4"/>
    <n v="192.9"/>
    <n v="180.7"/>
    <n v="178.7"/>
    <n v="180.4"/>
    <x v="0"/>
    <n v="176.7"/>
    <n v="170.3"/>
    <n v="178.2"/>
    <n v="165.5"/>
    <n v="168"/>
    <n v="172.6"/>
    <n v="169.5"/>
    <n v="171"/>
    <n v="173.6"/>
    <n v="1"/>
  </r>
  <r>
    <x v="1"/>
    <x v="9"/>
    <x v="5"/>
    <x v="223"/>
    <x v="266"/>
    <x v="236"/>
    <x v="240"/>
    <x v="229"/>
    <x v="253"/>
    <x v="285"/>
    <x v="234"/>
    <n v="121.4"/>
    <n v="183.5"/>
    <n v="159.1"/>
    <n v="186.3"/>
    <n v="179.3"/>
    <n v="198.3"/>
    <n v="171.6"/>
    <n v="157.4"/>
    <n v="169.4"/>
    <x v="107"/>
    <n v="174.9"/>
    <n v="162.1"/>
    <n v="170.9"/>
    <n v="157.19999999999999"/>
    <n v="164.1"/>
    <n v="166.5"/>
    <n v="169.2"/>
    <n v="163.80000000000001"/>
    <n v="171.4"/>
    <n v="1"/>
  </r>
  <r>
    <x v="2"/>
    <x v="9"/>
    <x v="5"/>
    <x v="224"/>
    <x v="267"/>
    <x v="257"/>
    <x v="241"/>
    <x v="230"/>
    <x v="246"/>
    <x v="286"/>
    <x v="100"/>
    <n v="119.9"/>
    <n v="187.1"/>
    <n v="167.9"/>
    <n v="183.9"/>
    <n v="174.9"/>
    <n v="194.3"/>
    <n v="177.1"/>
    <n v="169.9"/>
    <n v="176"/>
    <x v="107"/>
    <n v="176"/>
    <n v="166.4"/>
    <n v="175.4"/>
    <n v="161.1"/>
    <n v="165.8"/>
    <n v="169"/>
    <n v="169.4"/>
    <n v="167.5"/>
    <n v="172.6"/>
    <n v="1"/>
  </r>
  <r>
    <x v="0"/>
    <x v="9"/>
    <x v="6"/>
    <x v="225"/>
    <x v="268"/>
    <x v="258"/>
    <x v="242"/>
    <x v="231"/>
    <x v="254"/>
    <x v="58"/>
    <x v="242"/>
    <n v="119.2"/>
    <n v="191.8"/>
    <n v="174.5"/>
    <n v="183.1"/>
    <n v="172.5"/>
    <n v="193.2"/>
    <n v="182"/>
    <n v="180.3"/>
    <n v="181.7"/>
    <x v="0"/>
    <n v="179.6"/>
    <n v="171.3"/>
    <n v="178.8"/>
    <n v="166.3"/>
    <n v="168.6"/>
    <n v="174.7"/>
    <n v="169.7"/>
    <n v="171.8"/>
    <n v="174.3"/>
    <n v="1"/>
  </r>
  <r>
    <x v="1"/>
    <x v="9"/>
    <x v="6"/>
    <x v="226"/>
    <x v="269"/>
    <x v="259"/>
    <x v="243"/>
    <x v="232"/>
    <x v="255"/>
    <x v="287"/>
    <x v="236"/>
    <n v="121.5"/>
    <n v="186.3"/>
    <n v="159.80000000000001"/>
    <n v="187.7"/>
    <n v="179.4"/>
    <n v="198.6"/>
    <n v="172.7"/>
    <n v="158.69999999999999"/>
    <n v="170.6"/>
    <x v="108"/>
    <n v="179.5"/>
    <n v="163.1"/>
    <n v="171.7"/>
    <n v="157.4"/>
    <n v="164.6"/>
    <n v="169.1"/>
    <n v="169.8"/>
    <n v="164.7"/>
    <n v="172.3"/>
    <n v="1"/>
  </r>
  <r>
    <x v="2"/>
    <x v="9"/>
    <x v="6"/>
    <x v="227"/>
    <x v="270"/>
    <x v="260"/>
    <x v="244"/>
    <x v="211"/>
    <x v="256"/>
    <x v="288"/>
    <x v="100"/>
    <n v="120"/>
    <n v="190"/>
    <n v="168.4"/>
    <n v="185.2"/>
    <n v="175"/>
    <n v="194.6"/>
    <n v="178.3"/>
    <n v="171.3"/>
    <n v="177.3"/>
    <x v="108"/>
    <n v="179.6"/>
    <n v="167.4"/>
    <n v="176.1"/>
    <n v="161.6"/>
    <n v="166.3"/>
    <n v="171.4"/>
    <n v="169.7"/>
    <n v="168.4"/>
    <n v="173.4"/>
    <n v="1"/>
  </r>
  <r>
    <x v="0"/>
    <x v="9"/>
    <x v="7"/>
    <x v="228"/>
    <x v="271"/>
    <x v="261"/>
    <x v="245"/>
    <x v="233"/>
    <x v="257"/>
    <x v="289"/>
    <x v="248"/>
    <n v="120.2"/>
    <n v="195.6"/>
    <n v="174.8"/>
    <n v="184"/>
    <n v="173.9"/>
    <n v="193.7"/>
    <n v="183.2"/>
    <n v="181.7"/>
    <n v="183"/>
    <x v="0"/>
    <n v="179.1"/>
    <n v="172.3"/>
    <n v="179.4"/>
    <n v="166.6"/>
    <n v="169.3"/>
    <n v="175.7"/>
    <n v="171.1"/>
    <n v="172.6"/>
    <n v="175.3"/>
    <n v="1"/>
  </r>
  <r>
    <x v="1"/>
    <x v="9"/>
    <x v="7"/>
    <x v="229"/>
    <x v="239"/>
    <x v="262"/>
    <x v="246"/>
    <x v="234"/>
    <x v="258"/>
    <x v="290"/>
    <x v="249"/>
    <n v="122.2"/>
    <n v="189.7"/>
    <n v="160.5"/>
    <n v="188.9"/>
    <n v="180.4"/>
    <n v="198.7"/>
    <n v="173.7"/>
    <n v="160"/>
    <n v="171.6"/>
    <x v="109"/>
    <n v="178.4"/>
    <n v="164.2"/>
    <n v="172.6"/>
    <n v="157.69999999999999"/>
    <n v="165.1"/>
    <n v="169.9"/>
    <n v="171.4"/>
    <n v="165.4"/>
    <n v="173.1"/>
    <n v="1"/>
  </r>
  <r>
    <x v="2"/>
    <x v="9"/>
    <x v="7"/>
    <x v="230"/>
    <x v="272"/>
    <x v="263"/>
    <x v="247"/>
    <x v="235"/>
    <x v="259"/>
    <x v="237"/>
    <x v="250"/>
    <n v="120.9"/>
    <n v="193.6"/>
    <n v="168.8"/>
    <n v="186.3"/>
    <n v="176.3"/>
    <n v="195"/>
    <n v="179.5"/>
    <n v="172.7"/>
    <n v="178.5"/>
    <x v="109"/>
    <n v="178.8"/>
    <n v="168.5"/>
    <n v="176.8"/>
    <n v="161.9"/>
    <n v="166.9"/>
    <n v="172.3"/>
    <n v="171.2"/>
    <n v="169.1"/>
    <n v="174.3"/>
    <n v="1"/>
  </r>
  <r>
    <x v="0"/>
    <x v="9"/>
    <x v="8"/>
    <x v="231"/>
    <x v="273"/>
    <x v="264"/>
    <x v="248"/>
    <x v="236"/>
    <x v="260"/>
    <x v="291"/>
    <x v="251"/>
    <n v="120.8"/>
    <n v="199.1"/>
    <n v="175.4"/>
    <n v="184.8"/>
    <n v="175.5"/>
    <n v="194.5"/>
    <n v="184.7"/>
    <n v="183.3"/>
    <n v="184.5"/>
    <x v="0"/>
    <n v="179.7"/>
    <n v="173.6"/>
    <n v="180.2"/>
    <n v="166.9"/>
    <n v="170"/>
    <n v="176.2"/>
    <n v="170.8"/>
    <n v="173.1"/>
    <n v="176.4"/>
    <n v="1"/>
  </r>
  <r>
    <x v="1"/>
    <x v="9"/>
    <x v="8"/>
    <x v="232"/>
    <x v="274"/>
    <x v="265"/>
    <x v="249"/>
    <x v="237"/>
    <x v="261"/>
    <x v="292"/>
    <x v="107"/>
    <n v="123.1"/>
    <n v="193.6"/>
    <n v="161.1"/>
    <n v="190.4"/>
    <n v="181.8"/>
    <n v="199.7"/>
    <n v="175"/>
    <n v="161.69999999999999"/>
    <n v="173"/>
    <x v="110"/>
    <n v="179.2"/>
    <n v="165"/>
    <n v="173.8"/>
    <n v="158.19999999999999"/>
    <n v="165.8"/>
    <n v="170.9"/>
    <n v="171.1"/>
    <n v="166.1"/>
    <n v="174.1"/>
    <n v="1"/>
  </r>
  <r>
    <x v="2"/>
    <x v="9"/>
    <x v="8"/>
    <x v="233"/>
    <x v="275"/>
    <x v="266"/>
    <x v="250"/>
    <x v="198"/>
    <x v="262"/>
    <x v="293"/>
    <x v="252"/>
    <n v="121.6"/>
    <n v="197.3"/>
    <n v="169.4"/>
    <n v="187.4"/>
    <n v="177.8"/>
    <n v="195.9"/>
    <n v="180.9"/>
    <n v="174.3"/>
    <n v="179.9"/>
    <x v="110"/>
    <n v="179.5"/>
    <n v="169.5"/>
    <n v="177.8"/>
    <n v="162.30000000000001"/>
    <n v="167.6"/>
    <n v="173.1"/>
    <n v="170.9"/>
    <n v="169.7"/>
    <n v="175.3"/>
    <n v="1"/>
  </r>
  <r>
    <x v="0"/>
    <x v="9"/>
    <x v="9"/>
    <x v="234"/>
    <x v="276"/>
    <x v="227"/>
    <x v="251"/>
    <x v="238"/>
    <x v="263"/>
    <x v="294"/>
    <x v="253"/>
    <n v="121.1"/>
    <n v="201.6"/>
    <n v="175.8"/>
    <n v="185.6"/>
    <n v="177.4"/>
    <n v="194.9"/>
    <n v="186.1"/>
    <n v="184.4"/>
    <n v="185.9"/>
    <x v="0"/>
    <n v="180.8"/>
    <n v="174.4"/>
    <n v="181.2"/>
    <n v="167.4"/>
    <n v="170.6"/>
    <n v="176.5"/>
    <n v="172"/>
    <n v="173.9"/>
    <n v="177.9"/>
    <n v="1"/>
  </r>
  <r>
    <x v="1"/>
    <x v="9"/>
    <x v="9"/>
    <x v="235"/>
    <x v="277"/>
    <x v="267"/>
    <x v="252"/>
    <x v="239"/>
    <x v="262"/>
    <x v="295"/>
    <x v="254"/>
    <n v="123.4"/>
    <n v="196.4"/>
    <n v="161.6"/>
    <n v="191.5"/>
    <n v="183.3"/>
    <n v="200.1"/>
    <n v="175.5"/>
    <n v="162.6"/>
    <n v="173.6"/>
    <x v="111"/>
    <n v="180"/>
    <n v="166"/>
    <n v="174.7"/>
    <n v="158.80000000000001"/>
    <n v="166.3"/>
    <n v="171.2"/>
    <n v="172.3"/>
    <n v="166.8"/>
    <n v="175.3"/>
    <n v="1"/>
  </r>
  <r>
    <x v="2"/>
    <x v="9"/>
    <x v="9"/>
    <x v="236"/>
    <x v="239"/>
    <x v="265"/>
    <x v="251"/>
    <x v="240"/>
    <x v="264"/>
    <x v="296"/>
    <x v="255"/>
    <n v="121.9"/>
    <n v="199.9"/>
    <n v="169.9"/>
    <n v="188.3"/>
    <n v="179.6"/>
    <n v="196.3"/>
    <n v="181.9"/>
    <n v="175.3"/>
    <n v="181"/>
    <x v="111"/>
    <n v="180.5"/>
    <n v="170.4"/>
    <n v="178.7"/>
    <n v="162.9"/>
    <n v="168.2"/>
    <n v="173.4"/>
    <n v="172.1"/>
    <n v="170.5"/>
    <n v="176.7"/>
    <n v="1"/>
  </r>
  <r>
    <x v="0"/>
    <x v="9"/>
    <x v="10"/>
    <x v="237"/>
    <x v="278"/>
    <x v="268"/>
    <x v="253"/>
    <x v="241"/>
    <x v="265"/>
    <x v="297"/>
    <x v="118"/>
    <n v="121.5"/>
    <n v="204.8"/>
    <n v="176.4"/>
    <n v="186.9"/>
    <n v="176.6"/>
    <n v="195.5"/>
    <n v="187.2"/>
    <n v="185.2"/>
    <n v="186.9"/>
    <x v="0"/>
    <n v="181.9"/>
    <n v="175.5"/>
    <n v="182.3"/>
    <n v="167.5"/>
    <n v="170.8"/>
    <n v="176.9"/>
    <n v="173.4"/>
    <n v="174.6"/>
    <n v="177.8"/>
    <n v="1"/>
  </r>
  <r>
    <x v="1"/>
    <x v="9"/>
    <x v="10"/>
    <x v="238"/>
    <x v="279"/>
    <x v="269"/>
    <x v="253"/>
    <x v="220"/>
    <x v="266"/>
    <x v="298"/>
    <x v="256"/>
    <n v="123.4"/>
    <n v="198.8"/>
    <n v="162.1"/>
    <n v="192.4"/>
    <n v="181.3"/>
    <n v="200.6"/>
    <n v="176.7"/>
    <n v="163.5"/>
    <n v="174.7"/>
    <x v="112"/>
    <n v="180.3"/>
    <n v="166.9"/>
    <n v="175.8"/>
    <n v="158.9"/>
    <n v="166.7"/>
    <n v="171.5"/>
    <n v="173.8"/>
    <n v="167.4"/>
    <n v="174.1"/>
    <n v="1"/>
  </r>
  <r>
    <x v="2"/>
    <x v="9"/>
    <x v="10"/>
    <x v="239"/>
    <x v="280"/>
    <x v="270"/>
    <x v="253"/>
    <x v="242"/>
    <x v="267"/>
    <x v="30"/>
    <x v="257"/>
    <n v="122.1"/>
    <n v="202.8"/>
    <n v="170.4"/>
    <n v="189.5"/>
    <n v="178.3"/>
    <n v="196.9"/>
    <n v="183.1"/>
    <n v="176.2"/>
    <n v="182.1"/>
    <x v="112"/>
    <n v="181.3"/>
    <n v="171.4"/>
    <n v="179.8"/>
    <n v="163"/>
    <n v="168.5"/>
    <n v="173.7"/>
    <n v="173.6"/>
    <n v="171.1"/>
    <n v="176.5"/>
    <n v="1"/>
  </r>
  <r>
    <x v="0"/>
    <x v="9"/>
    <x v="11"/>
    <x v="240"/>
    <x v="281"/>
    <x v="271"/>
    <x v="254"/>
    <x v="243"/>
    <x v="235"/>
    <x v="299"/>
    <x v="257"/>
    <n v="121.2"/>
    <n v="207.5"/>
    <n v="176.8"/>
    <n v="187.7"/>
    <n v="174.4"/>
    <n v="195.9"/>
    <n v="188.1"/>
    <n v="185.9"/>
    <n v="187.8"/>
    <x v="0"/>
    <n v="182.8"/>
    <n v="176.4"/>
    <n v="183.5"/>
    <n v="167.8"/>
    <n v="171.2"/>
    <n v="177.3"/>
    <n v="175.7"/>
    <n v="175.5"/>
    <n v="177.1"/>
    <n v="1"/>
  </r>
  <r>
    <x v="1"/>
    <x v="9"/>
    <x v="11"/>
    <x v="241"/>
    <x v="282"/>
    <x v="272"/>
    <x v="255"/>
    <x v="244"/>
    <x v="268"/>
    <x v="300"/>
    <x v="258"/>
    <n v="123.1"/>
    <n v="200.5"/>
    <n v="162.80000000000001"/>
    <n v="193.3"/>
    <n v="178.6"/>
    <n v="201.1"/>
    <n v="177.7"/>
    <n v="164.5"/>
    <n v="175.7"/>
    <x v="113"/>
    <n v="180.6"/>
    <n v="167.3"/>
    <n v="177.2"/>
    <n v="159.4"/>
    <n v="167.1"/>
    <n v="171.8"/>
    <n v="176"/>
    <n v="168.2"/>
    <n v="174.1"/>
    <n v="1"/>
  </r>
  <r>
    <x v="2"/>
    <x v="9"/>
    <x v="11"/>
    <x v="242"/>
    <x v="283"/>
    <x v="273"/>
    <x v="256"/>
    <x v="245"/>
    <x v="269"/>
    <x v="301"/>
    <x v="259"/>
    <n v="121.8"/>
    <n v="205.2"/>
    <n v="171"/>
    <n v="190.3"/>
    <n v="175.9"/>
    <n v="197.3"/>
    <n v="184"/>
    <n v="177"/>
    <n v="183"/>
    <x v="113"/>
    <n v="182"/>
    <n v="172.1"/>
    <n v="181.1"/>
    <n v="163.4"/>
    <n v="168.9"/>
    <n v="174.1"/>
    <n v="175.8"/>
    <n v="172"/>
    <n v="175.7"/>
    <n v="0"/>
  </r>
  <r>
    <x v="0"/>
    <x v="10"/>
    <x v="0"/>
    <x v="243"/>
    <x v="284"/>
    <x v="274"/>
    <x v="257"/>
    <x v="214"/>
    <x v="270"/>
    <x v="302"/>
    <x v="94"/>
    <n v="120.3"/>
    <n v="210.5"/>
    <n v="176.9"/>
    <n v="188.5"/>
    <n v="175"/>
    <n v="196.9"/>
    <n v="189"/>
    <n v="186.3"/>
    <n v="188.6"/>
    <x v="0"/>
    <n v="183.2"/>
    <n v="177.2"/>
    <n v="184.7"/>
    <n v="168.2"/>
    <n v="171.8"/>
    <n v="177.8"/>
    <n v="178.4"/>
    <n v="176.5"/>
    <n v="177.8"/>
    <n v="1"/>
  </r>
  <r>
    <x v="1"/>
    <x v="10"/>
    <x v="0"/>
    <x v="244"/>
    <x v="285"/>
    <x v="275"/>
    <x v="258"/>
    <x v="246"/>
    <x v="271"/>
    <x v="303"/>
    <x v="88"/>
    <n v="122.7"/>
    <n v="204.3"/>
    <n v="163.69999999999999"/>
    <n v="194.3"/>
    <n v="179.5"/>
    <n v="201.6"/>
    <n v="178.7"/>
    <n v="165.3"/>
    <n v="176.6"/>
    <x v="114"/>
    <n v="180.1"/>
    <n v="168"/>
    <n v="178.5"/>
    <n v="159.5"/>
    <n v="167.8"/>
    <n v="171.8"/>
    <n v="178.8"/>
    <n v="168.9"/>
    <n v="174.9"/>
    <n v="1"/>
  </r>
  <r>
    <x v="2"/>
    <x v="10"/>
    <x v="0"/>
    <x v="245"/>
    <x v="259"/>
    <x v="276"/>
    <x v="259"/>
    <x v="247"/>
    <x v="240"/>
    <x v="263"/>
    <x v="260"/>
    <n v="121.1"/>
    <n v="208.4"/>
    <n v="171.4"/>
    <n v="191.2"/>
    <n v="176.7"/>
    <n v="198.2"/>
    <n v="184.9"/>
    <n v="177.6"/>
    <n v="183.8"/>
    <x v="114"/>
    <n v="182"/>
    <n v="172.9"/>
    <n v="182.3"/>
    <n v="163.6"/>
    <n v="169.5"/>
    <n v="174.3"/>
    <n v="178.6"/>
    <n v="172.8"/>
    <n v="176.5"/>
    <n v="1"/>
  </r>
  <r>
    <x v="0"/>
    <x v="10"/>
    <x v="1"/>
    <x v="246"/>
    <x v="255"/>
    <x v="277"/>
    <x v="260"/>
    <x v="248"/>
    <x v="272"/>
    <x v="304"/>
    <x v="116"/>
    <n v="119.1"/>
    <n v="212.1"/>
    <n v="177.6"/>
    <n v="189.9"/>
    <n v="174.8"/>
    <n v="198.3"/>
    <n v="190"/>
    <n v="187"/>
    <n v="189.6"/>
    <x v="0"/>
    <n v="181.6"/>
    <n v="178.6"/>
    <n v="186.6"/>
    <n v="169"/>
    <n v="172.8"/>
    <n v="178.5"/>
    <n v="180.7"/>
    <n v="177.9"/>
    <n v="178"/>
    <n v="1"/>
  </r>
  <r>
    <x v="1"/>
    <x v="10"/>
    <x v="1"/>
    <x v="247"/>
    <x v="286"/>
    <x v="278"/>
    <x v="261"/>
    <x v="196"/>
    <x v="273"/>
    <x v="305"/>
    <x v="113"/>
    <n v="121.9"/>
    <n v="204.8"/>
    <n v="164.9"/>
    <n v="196.6"/>
    <n v="180.7"/>
    <n v="202.7"/>
    <n v="180.3"/>
    <n v="167"/>
    <n v="178.2"/>
    <x v="115"/>
    <n v="182.8"/>
    <n v="169.2"/>
    <n v="180.8"/>
    <n v="159.80000000000001"/>
    <n v="168.4"/>
    <n v="172.5"/>
    <n v="181.4"/>
    <n v="170"/>
    <n v="176.3"/>
    <n v="1"/>
  </r>
  <r>
    <x v="2"/>
    <x v="10"/>
    <x v="1"/>
    <x v="248"/>
    <x v="287"/>
    <x v="260"/>
    <x v="262"/>
    <x v="237"/>
    <x v="274"/>
    <x v="306"/>
    <x v="256"/>
    <n v="120"/>
    <n v="209.7"/>
    <n v="172.3"/>
    <n v="193"/>
    <n v="177"/>
    <n v="199.5"/>
    <n v="186.2"/>
    <n v="178.7"/>
    <n v="185.1"/>
    <x v="115"/>
    <n v="182.1"/>
    <n v="174.2"/>
    <n v="184.4"/>
    <n v="164.2"/>
    <n v="170.3"/>
    <n v="175"/>
    <n v="181"/>
    <n v="174.1"/>
    <n v="177.2"/>
    <n v="1"/>
  </r>
  <r>
    <x v="0"/>
    <x v="10"/>
    <x v="2"/>
    <x v="249"/>
    <x v="255"/>
    <x v="277"/>
    <x v="260"/>
    <x v="249"/>
    <x v="272"/>
    <x v="304"/>
    <x v="257"/>
    <n v="119.1"/>
    <n v="212.1"/>
    <n v="177.6"/>
    <n v="189.9"/>
    <n v="174.8"/>
    <n v="198.4"/>
    <n v="190"/>
    <n v="187"/>
    <n v="189.6"/>
    <x v="0"/>
    <n v="181.4"/>
    <n v="178.6"/>
    <n v="186.6"/>
    <n v="169"/>
    <n v="172.8"/>
    <n v="178.5"/>
    <n v="180.7"/>
    <n v="177.9"/>
    <n v="178"/>
    <n v="1"/>
  </r>
  <r>
    <x v="1"/>
    <x v="10"/>
    <x v="2"/>
    <x v="247"/>
    <x v="286"/>
    <x v="278"/>
    <x v="261"/>
    <x v="196"/>
    <x v="273"/>
    <x v="307"/>
    <x v="113"/>
    <n v="121.9"/>
    <n v="204.8"/>
    <n v="164.9"/>
    <n v="196.6"/>
    <n v="180.8"/>
    <n v="202.7"/>
    <n v="180.2"/>
    <n v="167"/>
    <n v="178.2"/>
    <x v="115"/>
    <n v="182.6"/>
    <n v="169.2"/>
    <n v="180.8"/>
    <n v="159.80000000000001"/>
    <n v="168.4"/>
    <n v="172.5"/>
    <n v="181.5"/>
    <n v="170"/>
    <n v="176.3"/>
    <n v="1"/>
  </r>
  <r>
    <x v="2"/>
    <x v="10"/>
    <x v="2"/>
    <x v="248"/>
    <x v="287"/>
    <x v="260"/>
    <x v="262"/>
    <x v="250"/>
    <x v="274"/>
    <x v="260"/>
    <x v="261"/>
    <n v="120"/>
    <n v="209.7"/>
    <n v="172.3"/>
    <n v="193"/>
    <n v="177"/>
    <n v="199.5"/>
    <n v="186.1"/>
    <n v="178.7"/>
    <n v="185.1"/>
    <x v="115"/>
    <n v="181.9"/>
    <n v="174.2"/>
    <n v="184.4"/>
    <n v="164.2"/>
    <n v="170.3"/>
    <n v="175"/>
    <n v="181"/>
    <n v="174.1"/>
    <n v="177.2"/>
    <n v="1"/>
  </r>
  <r>
    <x v="0"/>
    <x v="10"/>
    <x v="3"/>
    <x v="244"/>
    <x v="281"/>
    <x v="250"/>
    <x v="263"/>
    <x v="251"/>
    <x v="275"/>
    <x v="308"/>
    <x v="262"/>
    <n v="120.4"/>
    <n v="215.5"/>
    <n v="178.2"/>
    <n v="190.5"/>
    <n v="175.5"/>
    <n v="199.5"/>
    <n v="190.7"/>
    <n v="187.3"/>
    <n v="190.2"/>
    <x v="92"/>
    <n v="181.5"/>
    <n v="179.1"/>
    <n v="187.2"/>
    <n v="169.4"/>
    <n v="173.2"/>
    <n v="179.4"/>
    <n v="183.8"/>
    <n v="178.9"/>
    <n v="178.8"/>
    <n v="1"/>
  </r>
  <r>
    <x v="1"/>
    <x v="10"/>
    <x v="3"/>
    <x v="250"/>
    <x v="274"/>
    <x v="279"/>
    <x v="264"/>
    <x v="252"/>
    <x v="276"/>
    <x v="309"/>
    <x v="263"/>
    <n v="123.1"/>
    <n v="207.8"/>
    <n v="165.5"/>
    <n v="197"/>
    <n v="182.1"/>
    <n v="203.5"/>
    <n v="181"/>
    <n v="167.7"/>
    <n v="178.9"/>
    <x v="116"/>
    <n v="182.1"/>
    <n v="169.6"/>
    <n v="181.5"/>
    <n v="160.1"/>
    <n v="168.8"/>
    <n v="174.2"/>
    <n v="184.4"/>
    <n v="170.9"/>
    <n v="177.4"/>
    <n v="1"/>
  </r>
  <r>
    <x v="2"/>
    <x v="10"/>
    <x v="3"/>
    <x v="245"/>
    <x v="288"/>
    <x v="256"/>
    <x v="265"/>
    <x v="253"/>
    <x v="277"/>
    <x v="259"/>
    <x v="264"/>
    <n v="121.3"/>
    <n v="212.9"/>
    <n v="172.9"/>
    <n v="193.5"/>
    <n v="177.9"/>
    <n v="200.6"/>
    <n v="186.9"/>
    <n v="179.2"/>
    <n v="185.7"/>
    <x v="116"/>
    <n v="181.7"/>
    <n v="174.6"/>
    <n v="185"/>
    <n v="164.5"/>
    <n v="170.7"/>
    <n v="176.4"/>
    <n v="184"/>
    <n v="175"/>
    <n v="178.1"/>
    <n v="1"/>
  </r>
  <r>
    <x v="0"/>
    <x v="10"/>
    <x v="4"/>
    <x v="251"/>
    <x v="289"/>
    <x v="280"/>
    <x v="266"/>
    <x v="254"/>
    <x v="278"/>
    <x v="310"/>
    <x v="122"/>
    <n v="121.9"/>
    <n v="221"/>
    <n v="178.7"/>
    <n v="191.1"/>
    <n v="176.8"/>
    <n v="199.9"/>
    <n v="191.2"/>
    <n v="187.9"/>
    <n v="190.8"/>
    <x v="92"/>
    <n v="182.5"/>
    <n v="179.8"/>
    <n v="187.8"/>
    <n v="169.7"/>
    <n v="173.8"/>
    <n v="180.3"/>
    <n v="184.9"/>
    <n v="179.5"/>
    <n v="179.8"/>
    <n v="1"/>
  </r>
  <r>
    <x v="1"/>
    <x v="10"/>
    <x v="4"/>
    <x v="247"/>
    <x v="267"/>
    <x v="281"/>
    <x v="267"/>
    <x v="255"/>
    <x v="279"/>
    <x v="311"/>
    <x v="102"/>
    <n v="124.2"/>
    <n v="211.9"/>
    <n v="165.9"/>
    <n v="197.7"/>
    <n v="183.1"/>
    <n v="204.2"/>
    <n v="181.3"/>
    <n v="168.1"/>
    <n v="179.3"/>
    <x v="117"/>
    <n v="183.4"/>
    <n v="170.1"/>
    <n v="182.2"/>
    <n v="160.4"/>
    <n v="169.2"/>
    <n v="174.8"/>
    <n v="185.6"/>
    <n v="171.6"/>
    <n v="178.2"/>
    <n v="1"/>
  </r>
  <r>
    <x v="2"/>
    <x v="10"/>
    <x v="4"/>
    <x v="252"/>
    <x v="290"/>
    <x v="282"/>
    <x v="268"/>
    <x v="256"/>
    <x v="280"/>
    <x v="162"/>
    <x v="115"/>
    <n v="122.7"/>
    <n v="218"/>
    <n v="173.4"/>
    <n v="194.2"/>
    <n v="179.1"/>
    <n v="201"/>
    <n v="187.3"/>
    <n v="179.7"/>
    <n v="186.2"/>
    <x v="117"/>
    <n v="182.8"/>
    <n v="175.2"/>
    <n v="185.7"/>
    <n v="164.8"/>
    <n v="171.2"/>
    <n v="177.1"/>
    <n v="185.2"/>
    <n v="175.7"/>
    <n v="179.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77.31666666666669"/>
    <m/>
    <m/>
    <n v="8.2277061566659206"/>
  </r>
  <r>
    <x v="1"/>
    <n v="183.5"/>
    <m/>
    <m/>
    <n v="8.5146202448436661"/>
  </r>
  <r>
    <x v="2"/>
    <n v="175.6"/>
    <m/>
    <m/>
    <n v="8.1480507629130674"/>
  </r>
  <r>
    <x v="3"/>
    <n v="182.8"/>
    <m/>
    <m/>
    <n v="8.4821394046726013"/>
  </r>
  <r>
    <x v="4"/>
    <n v="175.2"/>
    <m/>
    <m/>
    <n v="8.1294902828153148"/>
  </r>
  <r>
    <x v="5"/>
    <n v="185.7"/>
    <m/>
    <m/>
    <n v="8.6167028853813008"/>
  </r>
  <r>
    <x v="6"/>
    <n v="164.8"/>
    <m/>
    <m/>
    <n v="7.6469178002737674"/>
  </r>
  <r>
    <x v="7"/>
    <n v="171.2"/>
    <m/>
    <m/>
    <n v="7.9438854818377962"/>
  </r>
  <r>
    <x v="8"/>
    <n v="177.1"/>
    <m/>
    <m/>
    <n v="8.2176525632796356"/>
  </r>
  <r>
    <x v="9"/>
    <n v="185.2"/>
    <m/>
    <m/>
    <n v="8.5935022852591114"/>
  </r>
  <r>
    <x v="10"/>
    <n v="201"/>
    <m/>
    <m/>
    <n v="9.3266412491203106"/>
  </r>
  <r>
    <x v="11"/>
    <n v="175.7"/>
    <m/>
    <m/>
    <n v="8.1526908829375042"/>
  </r>
  <r>
    <x v="12"/>
    <n v="2155.1166666666668"/>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30.30000000000001"/>
    <n v="136.9"/>
    <m/>
    <n v="5.0652340752110465"/>
  </r>
  <r>
    <x v="1"/>
    <n v="136.9"/>
    <n v="139.6"/>
    <m/>
    <n v="1.972242512783045"/>
  </r>
  <r>
    <x v="2"/>
    <n v="139.6"/>
    <n v="150.19999999999999"/>
    <m/>
    <n v="7.5931232091690504"/>
  </r>
  <r>
    <x v="3"/>
    <n v="150.19999999999999"/>
    <n v="157.30000000000001"/>
    <m/>
    <n v="4.7270306258322385"/>
  </r>
  <r>
    <x v="4"/>
    <n v="157.30000000000001"/>
    <n v="165.7"/>
    <m/>
    <n v="5.3401144310235074"/>
  </r>
  <r>
    <x v="5"/>
    <n v="165.7"/>
    <n v="176.5"/>
    <m/>
    <n v="6.517803258901637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172.13333333333335"/>
    <m/>
  </r>
  <r>
    <x v="1"/>
    <n v="173.91666666666666"/>
    <n v="1.0360185902401062"/>
  </r>
  <r>
    <x v="2"/>
    <n v="174.27499999999998"/>
    <n v="0.20603737422136276"/>
  </r>
  <r>
    <x v="3"/>
    <n v="174.40833333333333"/>
    <n v="7.6507435566406087E-2"/>
  </r>
  <r>
    <x v="4"/>
    <n v="175.25833333333333"/>
    <n v="0.487362033541972"/>
  </r>
  <r>
    <x v="5"/>
    <n v="176.47500000000002"/>
    <n v="0.694213304170052"/>
  </r>
  <r>
    <x v="6"/>
    <n v="176.54166666666666"/>
    <n v="3.7776833356925596E-2"/>
  </r>
  <r>
    <x v="7"/>
    <n v="175.625"/>
    <n v="-0.51923530800093876"/>
  </r>
  <r>
    <x v="8"/>
    <n v="176.33333333333337"/>
    <n v="0.40332147093715087"/>
  </r>
  <r>
    <x v="9"/>
    <n v="175.17500000000004"/>
    <n v="-0.6568998109640819"/>
  </r>
  <r>
    <x v="10"/>
    <n v="175.18333333333331"/>
    <n v="4.7571476142536937E-3"/>
  </r>
  <r>
    <x v="11"/>
    <n v="175.97500000000002"/>
    <n v="0.4519075254495562"/>
  </r>
  <r>
    <x v="12"/>
    <n v="177.31666666666669"/>
    <n v="0.762418904200408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x v="0"/>
    <x v="0"/>
    <s v="Cereals and products"/>
    <s v="Meat and fish"/>
    <s v="Egg"/>
    <s v="Milk and products"/>
    <s v="Oils and fats"/>
    <s v="Fruits"/>
    <s v="Vegetables"/>
    <s v="Pulses and products"/>
    <s v="Sugar and Confectionery"/>
    <s v="Spices"/>
    <s v="Non-alcoholic beverages"/>
    <s v="Prepared meals, snacks, sweets etc."/>
    <s v="Food and beverages2"/>
    <s v="Pan, tobacco and intoxicants"/>
    <s v="Clothing"/>
    <s v="Footwear"/>
    <s v="Clothing and footwear2"/>
    <s v="Housing"/>
    <s v="Fuel and light"/>
    <s v="Household goods and services"/>
    <s v="Health"/>
    <s v="Transport and communication"/>
    <s v="Recreation and amusement"/>
    <s v="Education"/>
    <s v="Personal care and effects"/>
    <s v="Miscellaneous"/>
    <s v="General index2"/>
    <s v="duplicates check"/>
  </r>
  <r>
    <x v="1"/>
    <x v="1"/>
    <x v="1"/>
    <n v="107.5"/>
    <n v="106.3"/>
    <n v="108.1"/>
    <n v="104.9"/>
    <n v="106.1"/>
    <n v="103.9"/>
    <n v="101.9"/>
    <n v="106.1"/>
    <n v="106.8"/>
    <n v="103.1"/>
    <n v="104.8"/>
    <n v="106.7"/>
    <n v="105.5"/>
    <n v="105.1"/>
    <n v="106.5"/>
    <n v="105.8"/>
    <n v="106.4"/>
    <s v="NA"/>
    <n v="105.5"/>
    <n v="104.8"/>
    <n v="104"/>
    <n v="103.3"/>
    <n v="103.4"/>
    <n v="103.8"/>
    <n v="104.7"/>
    <n v="104"/>
    <n v="105.1"/>
    <n v="1"/>
  </r>
  <r>
    <x v="2"/>
    <x v="1"/>
    <x v="1"/>
    <n v="110.5"/>
    <n v="109.1"/>
    <n v="113"/>
    <n v="103.6"/>
    <n v="103.4"/>
    <n v="102.3"/>
    <n v="102.9"/>
    <n v="105.8"/>
    <n v="105.1"/>
    <n v="101.8"/>
    <n v="105.1"/>
    <n v="107.9"/>
    <n v="105.9"/>
    <n v="105.2"/>
    <n v="105.9"/>
    <n v="105"/>
    <n v="105.8"/>
    <n v="100.3"/>
    <n v="105.4"/>
    <n v="104.8"/>
    <n v="104.1"/>
    <n v="103.2"/>
    <n v="102.9"/>
    <n v="103.5"/>
    <n v="104.3"/>
    <n v="103.7"/>
    <n v="104"/>
    <n v="1"/>
  </r>
  <r>
    <x v="3"/>
    <x v="1"/>
    <x v="1"/>
    <n v="108.4"/>
    <n v="107.3"/>
    <n v="110"/>
    <n v="104.4"/>
    <n v="105.1"/>
    <n v="103.2"/>
    <n v="102.2"/>
    <n v="106"/>
    <n v="106.2"/>
    <n v="102.7"/>
    <n v="104.9"/>
    <n v="107.3"/>
    <n v="105.6"/>
    <n v="105.1"/>
    <n v="106.3"/>
    <n v="105.5"/>
    <n v="106.2"/>
    <n v="100.3"/>
    <n v="105.5"/>
    <n v="104.8"/>
    <n v="104"/>
    <n v="103.2"/>
    <n v="103.1"/>
    <n v="103.6"/>
    <n v="104.5"/>
    <n v="103.9"/>
    <n v="104.6"/>
    <n v="1"/>
  </r>
  <r>
    <x v="1"/>
    <x v="1"/>
    <x v="2"/>
    <n v="109.2"/>
    <n v="108.7"/>
    <n v="110.2"/>
    <n v="105.4"/>
    <n v="106.7"/>
    <n v="104"/>
    <n v="102.4"/>
    <n v="105.9"/>
    <n v="105.7"/>
    <n v="103.1"/>
    <n v="105.1"/>
    <n v="107.7"/>
    <n v="106.3"/>
    <n v="105.6"/>
    <n v="107.1"/>
    <n v="106.3"/>
    <n v="107"/>
    <s v="NA"/>
    <n v="106.2"/>
    <n v="105.2"/>
    <n v="104.4"/>
    <n v="103.9"/>
    <n v="104"/>
    <n v="104.1"/>
    <n v="104.6"/>
    <n v="104.4"/>
    <n v="105.8"/>
    <n v="1"/>
  </r>
  <r>
    <x v="2"/>
    <x v="1"/>
    <x v="2"/>
    <n v="112.9"/>
    <n v="112.9"/>
    <n v="116.9"/>
    <n v="104"/>
    <n v="103.5"/>
    <n v="103.1"/>
    <n v="104.9"/>
    <n v="104.1"/>
    <n v="103.8"/>
    <n v="102.3"/>
    <n v="106"/>
    <n v="109"/>
    <n v="107.2"/>
    <n v="106"/>
    <n v="106.6"/>
    <n v="105.5"/>
    <n v="106.4"/>
    <n v="100.4"/>
    <n v="105.7"/>
    <n v="105.2"/>
    <n v="104.7"/>
    <n v="104.4"/>
    <n v="103.3"/>
    <n v="103.7"/>
    <n v="104.3"/>
    <n v="104.3"/>
    <n v="104.7"/>
    <n v="1"/>
  </r>
  <r>
    <x v="3"/>
    <x v="1"/>
    <x v="2"/>
    <n v="110.4"/>
    <n v="110.2"/>
    <n v="112.8"/>
    <n v="104.9"/>
    <n v="105.5"/>
    <n v="103.6"/>
    <n v="103.2"/>
    <n v="105.3"/>
    <n v="105.1"/>
    <n v="102.8"/>
    <n v="105.5"/>
    <n v="108.3"/>
    <n v="106.6"/>
    <n v="105.7"/>
    <n v="106.9"/>
    <n v="106"/>
    <n v="106.8"/>
    <n v="100.4"/>
    <n v="106"/>
    <n v="105.2"/>
    <n v="104.5"/>
    <n v="104.2"/>
    <n v="103.6"/>
    <n v="103.9"/>
    <n v="104.5"/>
    <n v="104.4"/>
    <n v="105.3"/>
    <n v="1"/>
  </r>
  <r>
    <x v="1"/>
    <x v="1"/>
    <x v="3"/>
    <n v="110.2"/>
    <n v="108.8"/>
    <n v="109.9"/>
    <n v="105.6"/>
    <n v="106.2"/>
    <n v="105.7"/>
    <n v="101.4"/>
    <n v="105.7"/>
    <n v="105"/>
    <n v="103.3"/>
    <n v="105.6"/>
    <n v="108.2"/>
    <n v="106.6"/>
    <n v="106.5"/>
    <n v="107.6"/>
    <n v="106.8"/>
    <n v="107.5"/>
    <s v="NA"/>
    <n v="106.1"/>
    <n v="105.6"/>
    <n v="104.7"/>
    <n v="104.6"/>
    <n v="104"/>
    <n v="104.3"/>
    <n v="104.3"/>
    <n v="104.6"/>
    <n v="106"/>
    <n v="1"/>
  </r>
  <r>
    <x v="2"/>
    <x v="1"/>
    <x v="3"/>
    <n v="113.9"/>
    <n v="111.4"/>
    <n v="113.2"/>
    <n v="104.3"/>
    <n v="102.7"/>
    <n v="104.9"/>
    <n v="103.8"/>
    <n v="103.5"/>
    <n v="102.6"/>
    <n v="102.4"/>
    <n v="107"/>
    <n v="109.8"/>
    <n v="107.3"/>
    <n v="106.8"/>
    <n v="107.2"/>
    <n v="106"/>
    <n v="107"/>
    <n v="100.4"/>
    <n v="106"/>
    <n v="105.7"/>
    <n v="105.2"/>
    <n v="105.5"/>
    <n v="103.5"/>
    <n v="103.8"/>
    <n v="104.2"/>
    <n v="104.9"/>
    <n v="105"/>
    <n v="1"/>
  </r>
  <r>
    <x v="3"/>
    <x v="1"/>
    <x v="3"/>
    <n v="111.4"/>
    <n v="109.7"/>
    <n v="111.2"/>
    <n v="105.1"/>
    <n v="104.9"/>
    <n v="105.3"/>
    <n v="102.2"/>
    <n v="105"/>
    <n v="104.2"/>
    <n v="103"/>
    <n v="106.2"/>
    <n v="108.9"/>
    <n v="106.9"/>
    <n v="106.6"/>
    <n v="107.4"/>
    <n v="106.5"/>
    <n v="107.3"/>
    <n v="100.4"/>
    <n v="106.1"/>
    <n v="105.6"/>
    <n v="104.9"/>
    <n v="105.1"/>
    <n v="103.7"/>
    <n v="104"/>
    <n v="104.3"/>
    <n v="104.7"/>
    <n v="105.5"/>
    <n v="1"/>
  </r>
  <r>
    <x v="1"/>
    <x v="1"/>
    <x v="4"/>
    <n v="110.2"/>
    <n v="109.5"/>
    <n v="106.9"/>
    <n v="106.3"/>
    <n v="105.7"/>
    <n v="108.3"/>
    <n v="103.4"/>
    <n v="105.7"/>
    <n v="104.2"/>
    <n v="103.2"/>
    <n v="106.5"/>
    <n v="108.8"/>
    <n v="107.1"/>
    <n v="107.1"/>
    <n v="108.1"/>
    <n v="107.4"/>
    <n v="108"/>
    <s v="NA"/>
    <n v="106.5"/>
    <n v="106.1"/>
    <n v="105.1"/>
    <n v="104.4"/>
    <n v="104.5"/>
    <n v="104.8"/>
    <n v="102.7"/>
    <n v="104.6"/>
    <n v="106.4"/>
    <n v="1"/>
  </r>
  <r>
    <x v="2"/>
    <x v="1"/>
    <x v="4"/>
    <n v="114.6"/>
    <n v="113.4"/>
    <n v="106"/>
    <n v="104.7"/>
    <n v="102.1"/>
    <n v="109.5"/>
    <n v="109.7"/>
    <n v="104.6"/>
    <n v="102"/>
    <n v="103.5"/>
    <n v="108.2"/>
    <n v="110.6"/>
    <n v="108.8"/>
    <n v="108.5"/>
    <n v="107.9"/>
    <n v="106.4"/>
    <n v="107.7"/>
    <n v="100.5"/>
    <n v="106.4"/>
    <n v="106.5"/>
    <n v="105.7"/>
    <n v="105"/>
    <n v="104"/>
    <n v="105.2"/>
    <n v="103.2"/>
    <n v="105.1"/>
    <n v="105.7"/>
    <n v="1"/>
  </r>
  <r>
    <x v="3"/>
    <x v="1"/>
    <x v="4"/>
    <n v="111.6"/>
    <n v="110.9"/>
    <n v="106.6"/>
    <n v="105.7"/>
    <n v="104.4"/>
    <n v="108.9"/>
    <n v="105.5"/>
    <n v="105.3"/>
    <n v="103.5"/>
    <n v="103.3"/>
    <n v="107.2"/>
    <n v="109.6"/>
    <n v="107.7"/>
    <n v="107.5"/>
    <n v="108"/>
    <n v="107"/>
    <n v="107.9"/>
    <n v="100.5"/>
    <n v="106.5"/>
    <n v="106.3"/>
    <n v="105.3"/>
    <n v="104.7"/>
    <n v="104.2"/>
    <n v="105"/>
    <n v="102.9"/>
    <n v="104.8"/>
    <n v="106.1"/>
    <n v="1"/>
  </r>
  <r>
    <x v="1"/>
    <x v="1"/>
    <x v="5"/>
    <n v="110.9"/>
    <n v="109.8"/>
    <n v="105.9"/>
    <n v="107.5"/>
    <n v="105.3"/>
    <n v="108.1"/>
    <n v="107.3"/>
    <n v="106.1"/>
    <n v="103.7"/>
    <n v="104"/>
    <n v="107.4"/>
    <n v="109.9"/>
    <n v="108.1"/>
    <n v="108.1"/>
    <n v="108.8"/>
    <n v="107.9"/>
    <n v="108.6"/>
    <s v="NA"/>
    <n v="107.5"/>
    <n v="106.8"/>
    <n v="105.7"/>
    <n v="104.1"/>
    <n v="105"/>
    <n v="105.5"/>
    <n v="102.1"/>
    <n v="104.8"/>
    <n v="107.2"/>
    <n v="1"/>
  </r>
  <r>
    <x v="2"/>
    <x v="1"/>
    <x v="5"/>
    <n v="115.4"/>
    <n v="114.2"/>
    <n v="102.7"/>
    <n v="105.5"/>
    <n v="101.5"/>
    <n v="110.6"/>
    <n v="123.7"/>
    <n v="105.2"/>
    <n v="101.9"/>
    <n v="105"/>
    <n v="109.1"/>
    <n v="111.3"/>
    <n v="111.1"/>
    <n v="109.8"/>
    <n v="108.5"/>
    <n v="106.7"/>
    <n v="108.3"/>
    <n v="100.5"/>
    <n v="107.2"/>
    <n v="107.1"/>
    <n v="106.2"/>
    <n v="103.9"/>
    <n v="104.6"/>
    <n v="105.7"/>
    <n v="102.6"/>
    <n v="104.9"/>
    <n v="106.6"/>
    <n v="1"/>
  </r>
  <r>
    <x v="3"/>
    <x v="1"/>
    <x v="5"/>
    <n v="112.3"/>
    <n v="111.3"/>
    <n v="104.7"/>
    <n v="106.8"/>
    <n v="103.9"/>
    <n v="109.3"/>
    <n v="112.9"/>
    <n v="105.8"/>
    <n v="103.1"/>
    <n v="104.3"/>
    <n v="108.1"/>
    <n v="110.5"/>
    <n v="109.2"/>
    <n v="108.6"/>
    <n v="108.7"/>
    <n v="107.4"/>
    <n v="108.5"/>
    <n v="100.5"/>
    <n v="107.4"/>
    <n v="106.9"/>
    <n v="105.9"/>
    <n v="104"/>
    <n v="104.8"/>
    <n v="105.6"/>
    <n v="102.3"/>
    <n v="104.8"/>
    <n v="106.9"/>
    <n v="1"/>
  </r>
  <r>
    <x v="1"/>
    <x v="1"/>
    <x v="6"/>
    <n v="112.3"/>
    <n v="112.1"/>
    <n v="108.1"/>
    <n v="108.3"/>
    <n v="105.9"/>
    <n v="109.2"/>
    <n v="118"/>
    <n v="106.8"/>
    <n v="104.1"/>
    <n v="105.4"/>
    <n v="108.2"/>
    <n v="111"/>
    <n v="110.6"/>
    <n v="109"/>
    <n v="109.7"/>
    <n v="108.8"/>
    <n v="109.5"/>
    <s v="NA"/>
    <n v="108.5"/>
    <n v="107.5"/>
    <n v="106.3"/>
    <n v="105"/>
    <n v="105.6"/>
    <n v="106.5"/>
    <n v="102.5"/>
    <n v="105.5"/>
    <n v="108.9"/>
    <n v="1"/>
  </r>
  <r>
    <x v="2"/>
    <x v="1"/>
    <x v="6"/>
    <n v="117"/>
    <n v="120.1"/>
    <n v="112.5"/>
    <n v="107.3"/>
    <n v="101.3"/>
    <n v="112.4"/>
    <n v="143.6"/>
    <n v="105.4"/>
    <n v="101.4"/>
    <n v="106.4"/>
    <n v="110"/>
    <n v="112.2"/>
    <n v="115"/>
    <n v="110.9"/>
    <n v="109.2"/>
    <n v="107.2"/>
    <n v="108.9"/>
    <n v="106.6"/>
    <n v="108"/>
    <n v="107.7"/>
    <n v="106.5"/>
    <n v="105.2"/>
    <n v="105.2"/>
    <n v="108.1"/>
    <n v="103.3"/>
    <n v="106.1"/>
    <n v="109.7"/>
    <n v="1"/>
  </r>
  <r>
    <x v="3"/>
    <x v="1"/>
    <x v="6"/>
    <n v="113.8"/>
    <n v="114.9"/>
    <n v="109.8"/>
    <n v="107.9"/>
    <n v="104.2"/>
    <n v="110.7"/>
    <n v="126.7"/>
    <n v="106.3"/>
    <n v="103.2"/>
    <n v="105.7"/>
    <n v="109"/>
    <n v="111.6"/>
    <n v="112.2"/>
    <n v="109.5"/>
    <n v="109.5"/>
    <n v="108.1"/>
    <n v="109.3"/>
    <n v="106.6"/>
    <n v="108.3"/>
    <n v="107.6"/>
    <n v="106.4"/>
    <n v="105.1"/>
    <n v="105.4"/>
    <n v="107.4"/>
    <n v="102.8"/>
    <n v="105.8"/>
    <n v="109.3"/>
    <n v="1"/>
  </r>
  <r>
    <x v="1"/>
    <x v="1"/>
    <x v="7"/>
    <n v="113.4"/>
    <n v="114.9"/>
    <n v="110.5"/>
    <n v="109.3"/>
    <n v="106.2"/>
    <n v="110.3"/>
    <n v="129.19999999999999"/>
    <n v="107.1"/>
    <n v="104.3"/>
    <n v="106.4"/>
    <n v="109.1"/>
    <n v="112.1"/>
    <n v="113.1"/>
    <n v="109.8"/>
    <n v="110.5"/>
    <n v="109.5"/>
    <n v="110.3"/>
    <s v="NA"/>
    <n v="109.5"/>
    <n v="108.3"/>
    <n v="106.9"/>
    <n v="106.8"/>
    <n v="106.4"/>
    <n v="107.8"/>
    <n v="102.5"/>
    <n v="106.5"/>
    <n v="110.7"/>
    <n v="1"/>
  </r>
  <r>
    <x v="2"/>
    <x v="1"/>
    <x v="7"/>
    <n v="117.8"/>
    <n v="119.2"/>
    <n v="114"/>
    <n v="108.3"/>
    <n v="101.1"/>
    <n v="113.2"/>
    <n v="160.9"/>
    <n v="105.1"/>
    <n v="101.3"/>
    <n v="107.5"/>
    <n v="110.4"/>
    <n v="113.1"/>
    <n v="117.5"/>
    <n v="111.7"/>
    <n v="109.8"/>
    <n v="107.8"/>
    <n v="109.5"/>
    <n v="107.7"/>
    <n v="108.6"/>
    <n v="108.1"/>
    <n v="107.1"/>
    <n v="107.3"/>
    <n v="105.9"/>
    <n v="110.1"/>
    <n v="103.2"/>
    <n v="107.3"/>
    <n v="111.4"/>
    <n v="1"/>
  </r>
  <r>
    <x v="3"/>
    <x v="1"/>
    <x v="7"/>
    <n v="114.8"/>
    <n v="116.4"/>
    <n v="111.9"/>
    <n v="108.9"/>
    <n v="104.3"/>
    <n v="111.7"/>
    <n v="140"/>
    <n v="106.4"/>
    <n v="103.3"/>
    <n v="106.8"/>
    <n v="109.6"/>
    <n v="112.6"/>
    <n v="114.7"/>
    <n v="110.3"/>
    <n v="110.2"/>
    <n v="108.8"/>
    <n v="110"/>
    <n v="107.7"/>
    <n v="109.2"/>
    <n v="108.2"/>
    <n v="107"/>
    <n v="107.1"/>
    <n v="106.1"/>
    <n v="109.1"/>
    <n v="102.8"/>
    <n v="106.9"/>
    <n v="111"/>
    <n v="1"/>
  </r>
  <r>
    <x v="1"/>
    <x v="1"/>
    <x v="8"/>
    <n v="114.3"/>
    <n v="115.4"/>
    <n v="111.1"/>
    <n v="110"/>
    <n v="106.4"/>
    <n v="110.8"/>
    <n v="138.9"/>
    <n v="107.4"/>
    <n v="104.1"/>
    <n v="106.9"/>
    <n v="109.7"/>
    <n v="112.6"/>
    <n v="114.9"/>
    <n v="110.7"/>
    <n v="111.3"/>
    <n v="110.2"/>
    <n v="111.1"/>
    <s v="NA"/>
    <n v="109.9"/>
    <n v="108.7"/>
    <n v="107.5"/>
    <n v="107.8"/>
    <n v="106.8"/>
    <n v="108.7"/>
    <n v="105"/>
    <n v="107.5"/>
    <n v="112.1"/>
    <n v="1"/>
  </r>
  <r>
    <x v="2"/>
    <x v="1"/>
    <x v="8"/>
    <n v="118.3"/>
    <n v="120.4"/>
    <n v="112.7"/>
    <n v="108.9"/>
    <n v="101.1"/>
    <n v="108.7"/>
    <n v="177"/>
    <n v="104.7"/>
    <n v="101"/>
    <n v="108.5"/>
    <n v="110.9"/>
    <n v="114.3"/>
    <n v="119.6"/>
    <n v="112.4"/>
    <n v="110.6"/>
    <n v="108.3"/>
    <n v="110.2"/>
    <n v="108.9"/>
    <n v="109.3"/>
    <n v="108.7"/>
    <n v="107.6"/>
    <n v="108.1"/>
    <n v="106.5"/>
    <n v="110.8"/>
    <n v="106"/>
    <n v="108.3"/>
    <n v="112.7"/>
    <n v="1"/>
  </r>
  <r>
    <x v="3"/>
    <x v="1"/>
    <x v="8"/>
    <n v="115.6"/>
    <n v="117.2"/>
    <n v="111.7"/>
    <n v="109.6"/>
    <n v="104.5"/>
    <n v="109.8"/>
    <n v="151.80000000000001"/>
    <n v="106.5"/>
    <n v="103.1"/>
    <n v="107.4"/>
    <n v="110.2"/>
    <n v="113.4"/>
    <n v="116.6"/>
    <n v="111.2"/>
    <n v="111"/>
    <n v="109.4"/>
    <n v="110.7"/>
    <n v="108.9"/>
    <n v="109.7"/>
    <n v="108.7"/>
    <n v="107.5"/>
    <n v="108"/>
    <n v="106.6"/>
    <n v="109.9"/>
    <n v="105.4"/>
    <n v="107.9"/>
    <n v="112.4"/>
    <n v="1"/>
  </r>
  <r>
    <x v="1"/>
    <x v="1"/>
    <x v="9"/>
    <n v="115.4"/>
    <n v="115.7"/>
    <n v="111.7"/>
    <n v="111"/>
    <n v="107.4"/>
    <n v="110.9"/>
    <n v="154"/>
    <n v="108.1"/>
    <n v="104.2"/>
    <n v="107.9"/>
    <n v="110.4"/>
    <n v="114"/>
    <n v="117.8"/>
    <n v="111.7"/>
    <n v="112.7"/>
    <n v="111.4"/>
    <n v="112.5"/>
    <s v="NA"/>
    <n v="111.1"/>
    <n v="109.6"/>
    <n v="108.3"/>
    <n v="109.3"/>
    <n v="107.7"/>
    <n v="109.8"/>
    <n v="106.7"/>
    <n v="108.7"/>
    <n v="114.2"/>
    <n v="1"/>
  </r>
  <r>
    <x v="2"/>
    <x v="1"/>
    <x v="9"/>
    <n v="118.6"/>
    <n v="119.1"/>
    <n v="113.2"/>
    <n v="109.6"/>
    <n v="101.7"/>
    <n v="103.2"/>
    <n v="174.3"/>
    <n v="105.1"/>
    <n v="100.8"/>
    <n v="109.1"/>
    <n v="111.1"/>
    <n v="115.4"/>
    <n v="119.2"/>
    <n v="112.9"/>
    <n v="111.4"/>
    <n v="109"/>
    <n v="111.1"/>
    <n v="109.7"/>
    <n v="109.5"/>
    <n v="109.6"/>
    <n v="107.9"/>
    <n v="110.4"/>
    <n v="107.4"/>
    <n v="111.2"/>
    <n v="106.9"/>
    <n v="109.4"/>
    <n v="113.2"/>
    <n v="1"/>
  </r>
  <r>
    <x v="3"/>
    <x v="1"/>
    <x v="9"/>
    <n v="116.4"/>
    <n v="116.9"/>
    <n v="112.3"/>
    <n v="110.5"/>
    <n v="105.3"/>
    <n v="107.3"/>
    <n v="160.9"/>
    <n v="107.1"/>
    <n v="103.1"/>
    <n v="108.3"/>
    <n v="110.7"/>
    <n v="114.6"/>
    <n v="118.3"/>
    <n v="112"/>
    <n v="112.2"/>
    <n v="110.4"/>
    <n v="111.9"/>
    <n v="109.7"/>
    <n v="110.5"/>
    <n v="109.6"/>
    <n v="108.1"/>
    <n v="109.9"/>
    <n v="107.5"/>
    <n v="110.6"/>
    <n v="106.8"/>
    <n v="109"/>
    <n v="113.7"/>
    <n v="1"/>
  </r>
  <r>
    <x v="1"/>
    <x v="1"/>
    <x v="10"/>
    <n v="116.3"/>
    <n v="115.4"/>
    <n v="112.6"/>
    <n v="111.7"/>
    <n v="107.7"/>
    <n v="113.2"/>
    <n v="164.9"/>
    <n v="108.3"/>
    <n v="103.9"/>
    <n v="108.2"/>
    <n v="111.1"/>
    <n v="114.9"/>
    <n v="119.8"/>
    <n v="112.2"/>
    <n v="113.6"/>
    <n v="112.3"/>
    <n v="113.4"/>
    <s v="NA"/>
    <n v="111.6"/>
    <n v="110.4"/>
    <n v="108.9"/>
    <n v="109.3"/>
    <n v="108.3"/>
    <n v="110.2"/>
    <n v="107.5"/>
    <n v="109.1"/>
    <n v="115.5"/>
    <n v="1"/>
  </r>
  <r>
    <x v="2"/>
    <x v="1"/>
    <x v="10"/>
    <n v="118.9"/>
    <n v="118.1"/>
    <n v="114.5"/>
    <n v="110.4"/>
    <n v="102.3"/>
    <n v="106.2"/>
    <n v="183.5"/>
    <n v="105.3"/>
    <n v="100.2"/>
    <n v="109.6"/>
    <n v="111.4"/>
    <n v="116"/>
    <n v="120.8"/>
    <n v="113.5"/>
    <n v="112.5"/>
    <n v="109.7"/>
    <n v="112"/>
    <n v="110.5"/>
    <n v="109.7"/>
    <n v="110.2"/>
    <n v="108.2"/>
    <n v="109.7"/>
    <n v="108"/>
    <n v="111.3"/>
    <n v="107.3"/>
    <n v="109.4"/>
    <n v="114"/>
    <n v="1"/>
  </r>
  <r>
    <x v="3"/>
    <x v="1"/>
    <x v="10"/>
    <n v="117.1"/>
    <n v="116.3"/>
    <n v="113.3"/>
    <n v="111.2"/>
    <n v="105.7"/>
    <n v="109.9"/>
    <n v="171.2"/>
    <n v="107.3"/>
    <n v="102.7"/>
    <n v="108.7"/>
    <n v="111.2"/>
    <n v="115.4"/>
    <n v="120.2"/>
    <n v="112.5"/>
    <n v="113.2"/>
    <n v="111.2"/>
    <n v="112.8"/>
    <n v="110.5"/>
    <n v="110.9"/>
    <n v="110.3"/>
    <n v="108.6"/>
    <n v="109.5"/>
    <n v="108.1"/>
    <n v="110.8"/>
    <n v="107.4"/>
    <n v="109.2"/>
    <n v="114.8"/>
    <n v="1"/>
  </r>
  <r>
    <x v="1"/>
    <x v="1"/>
    <x v="11"/>
    <n v="117.3"/>
    <n v="114.9"/>
    <n v="116.2"/>
    <n v="112.8"/>
    <n v="108.9"/>
    <n v="116.6"/>
    <n v="178.1"/>
    <n v="109.1"/>
    <n v="103.6"/>
    <n v="109"/>
    <n v="111.8"/>
    <n v="116"/>
    <n v="122.5"/>
    <n v="112.8"/>
    <n v="114.6"/>
    <n v="113.1"/>
    <n v="114.4"/>
    <s v="NA"/>
    <n v="112.6"/>
    <n v="111.3"/>
    <n v="109.7"/>
    <n v="109.6"/>
    <n v="108.7"/>
    <n v="111"/>
    <n v="108.2"/>
    <n v="109.8"/>
    <n v="117.4"/>
    <n v="1"/>
  </r>
  <r>
    <x v="2"/>
    <x v="1"/>
    <x v="11"/>
    <n v="119.8"/>
    <n v="116.3"/>
    <n v="122.6"/>
    <n v="112"/>
    <n v="103.2"/>
    <n v="110"/>
    <n v="192.8"/>
    <n v="106.3"/>
    <n v="99.5"/>
    <n v="110.3"/>
    <n v="111.8"/>
    <n v="117.1"/>
    <n v="122.9"/>
    <n v="114.1"/>
    <n v="113.5"/>
    <n v="110.3"/>
    <n v="113"/>
    <n v="111.1"/>
    <n v="110"/>
    <n v="110.9"/>
    <n v="108.6"/>
    <n v="109.5"/>
    <n v="108.5"/>
    <n v="111.3"/>
    <n v="107.9"/>
    <n v="109.6"/>
    <n v="115"/>
    <n v="1"/>
  </r>
  <r>
    <x v="3"/>
    <x v="1"/>
    <x v="11"/>
    <n v="118.1"/>
    <n v="115.4"/>
    <n v="118.7"/>
    <n v="112.5"/>
    <n v="106.8"/>
    <n v="113.5"/>
    <n v="183.1"/>
    <n v="108.2"/>
    <n v="102.2"/>
    <n v="109.4"/>
    <n v="111.8"/>
    <n v="116.5"/>
    <n v="122.6"/>
    <n v="113.1"/>
    <n v="114.2"/>
    <n v="111.9"/>
    <n v="113.8"/>
    <n v="111.1"/>
    <n v="111.6"/>
    <n v="111.1"/>
    <n v="109.3"/>
    <n v="109.5"/>
    <n v="108.6"/>
    <n v="111.2"/>
    <n v="108.1"/>
    <n v="109.7"/>
    <n v="116.3"/>
    <n v="1"/>
  </r>
  <r>
    <x v="1"/>
    <x v="1"/>
    <x v="12"/>
    <n v="118.4"/>
    <n v="115.9"/>
    <n v="120.4"/>
    <n v="113.8"/>
    <n v="109.5"/>
    <n v="115.5"/>
    <n v="145.69999999999999"/>
    <n v="109.5"/>
    <n v="102.9"/>
    <n v="109.8"/>
    <n v="112.1"/>
    <n v="116.8"/>
    <n v="118.7"/>
    <n v="113.6"/>
    <n v="115.8"/>
    <n v="114"/>
    <n v="115.5"/>
    <s v="NA"/>
    <n v="112.8"/>
    <n v="112.1"/>
    <n v="110.1"/>
    <n v="109.9"/>
    <n v="109.2"/>
    <n v="111.6"/>
    <n v="108.1"/>
    <n v="110.1"/>
    <n v="115.5"/>
    <n v="1"/>
  </r>
  <r>
    <x v="2"/>
    <x v="1"/>
    <x v="12"/>
    <n v="120.5"/>
    <n v="118.1"/>
    <n v="128.5"/>
    <n v="112.8"/>
    <n v="103.4"/>
    <n v="110.7"/>
    <n v="144.80000000000001"/>
    <n v="107.1"/>
    <n v="98.6"/>
    <n v="111.9"/>
    <n v="112.1"/>
    <n v="118.1"/>
    <n v="117.8"/>
    <n v="115"/>
    <n v="114.2"/>
    <n v="110.9"/>
    <n v="113.7"/>
    <n v="110.7"/>
    <n v="110.4"/>
    <n v="111.3"/>
    <n v="109"/>
    <n v="109.7"/>
    <n v="108.9"/>
    <n v="111.4"/>
    <n v="107.7"/>
    <n v="109.8"/>
    <n v="113.3"/>
    <n v="1"/>
  </r>
  <r>
    <x v="3"/>
    <x v="1"/>
    <x v="12"/>
    <n v="119.1"/>
    <n v="116.7"/>
    <n v="123.5"/>
    <n v="113.4"/>
    <n v="107.3"/>
    <n v="113.3"/>
    <n v="145.4"/>
    <n v="108.7"/>
    <n v="101.5"/>
    <n v="110.5"/>
    <n v="112.1"/>
    <n v="117.4"/>
    <n v="118.4"/>
    <n v="114"/>
    <n v="115.2"/>
    <n v="112.7"/>
    <n v="114.8"/>
    <n v="110.7"/>
    <n v="111.9"/>
    <n v="111.7"/>
    <n v="109.7"/>
    <n v="109.8"/>
    <n v="109"/>
    <n v="111.5"/>
    <n v="107.9"/>
    <n v="110"/>
    <n v="114.5"/>
    <n v="1"/>
  </r>
  <r>
    <x v="1"/>
    <x v="2"/>
    <x v="1"/>
    <n v="118.9"/>
    <n v="117.1"/>
    <n v="120.5"/>
    <n v="114.4"/>
    <n v="109"/>
    <n v="115.5"/>
    <n v="123.9"/>
    <n v="109.6"/>
    <n v="101.8"/>
    <n v="110.2"/>
    <n v="112.4"/>
    <n v="117.3"/>
    <n v="116"/>
    <n v="114"/>
    <n v="116.5"/>
    <n v="114.5"/>
    <n v="116.2"/>
    <s v="NA"/>
    <n v="113"/>
    <n v="112.6"/>
    <n v="110.6"/>
    <n v="110.5"/>
    <n v="109.6"/>
    <n v="111.8"/>
    <n v="108.3"/>
    <n v="110.6"/>
    <n v="114.2"/>
    <n v="1"/>
  </r>
  <r>
    <x v="2"/>
    <x v="2"/>
    <x v="1"/>
    <n v="121.2"/>
    <n v="122"/>
    <n v="129.9"/>
    <n v="113.6"/>
    <n v="102.9"/>
    <n v="112.1"/>
    <n v="118.9"/>
    <n v="107.5"/>
    <n v="96.9"/>
    <n v="112.7"/>
    <n v="112.1"/>
    <n v="119"/>
    <n v="115.5"/>
    <n v="115.7"/>
    <n v="114.8"/>
    <n v="111.3"/>
    <n v="114.3"/>
    <n v="111.6"/>
    <n v="111"/>
    <n v="111.9"/>
    <n v="109.7"/>
    <n v="110.8"/>
    <n v="109.8"/>
    <n v="111.5"/>
    <n v="108"/>
    <n v="110.5"/>
    <n v="112.9"/>
    <n v="1"/>
  </r>
  <r>
    <x v="3"/>
    <x v="2"/>
    <x v="1"/>
    <n v="119.6"/>
    <n v="118.8"/>
    <n v="124.1"/>
    <n v="114.1"/>
    <n v="106.8"/>
    <n v="113.9"/>
    <n v="122.2"/>
    <n v="108.9"/>
    <n v="100.2"/>
    <n v="111"/>
    <n v="112.3"/>
    <n v="118.1"/>
    <n v="115.8"/>
    <n v="114.5"/>
    <n v="115.8"/>
    <n v="113.2"/>
    <n v="115.4"/>
    <n v="111.6"/>
    <n v="112.2"/>
    <n v="112.3"/>
    <n v="110.3"/>
    <n v="110.7"/>
    <n v="109.7"/>
    <n v="111.6"/>
    <n v="108.2"/>
    <n v="110.6"/>
    <n v="113.6"/>
    <n v="1"/>
  </r>
  <r>
    <x v="1"/>
    <x v="2"/>
    <x v="2"/>
    <n v="119.4"/>
    <n v="117.7"/>
    <n v="121.2"/>
    <n v="115"/>
    <n v="109"/>
    <n v="116.6"/>
    <n v="116"/>
    <n v="109.8"/>
    <n v="101.1"/>
    <n v="110.4"/>
    <n v="112.9"/>
    <n v="117.8"/>
    <n v="115.3"/>
    <n v="114.2"/>
    <n v="117.1"/>
    <n v="114.5"/>
    <n v="116.7"/>
    <s v="NA"/>
    <n v="113.2"/>
    <n v="112.9"/>
    <n v="110.9"/>
    <n v="110.8"/>
    <n v="109.9"/>
    <n v="112"/>
    <n v="108.7"/>
    <n v="110.9"/>
    <n v="114"/>
    <n v="1"/>
  </r>
  <r>
    <x v="2"/>
    <x v="2"/>
    <x v="2"/>
    <n v="121.9"/>
    <n v="122"/>
    <n v="124.5"/>
    <n v="115.2"/>
    <n v="102.5"/>
    <n v="114.1"/>
    <n v="111.5"/>
    <n v="108.2"/>
    <n v="95.4"/>
    <n v="113.5"/>
    <n v="112.1"/>
    <n v="119.9"/>
    <n v="115.2"/>
    <n v="116.2"/>
    <n v="115.3"/>
    <n v="111.7"/>
    <n v="114.7"/>
    <n v="112.5"/>
    <n v="111.1"/>
    <n v="112.6"/>
    <n v="110.4"/>
    <n v="111.3"/>
    <n v="110.3"/>
    <n v="111.6"/>
    <n v="108.7"/>
    <n v="111"/>
    <n v="113.1"/>
    <n v="1"/>
  </r>
  <r>
    <x v="3"/>
    <x v="2"/>
    <x v="2"/>
    <n v="120.2"/>
    <n v="119.2"/>
    <n v="122.5"/>
    <n v="115.1"/>
    <n v="106.6"/>
    <n v="115.4"/>
    <n v="114.5"/>
    <n v="109.3"/>
    <n v="99.2"/>
    <n v="111.4"/>
    <n v="112.6"/>
    <n v="118.8"/>
    <n v="115.3"/>
    <n v="114.7"/>
    <n v="116.4"/>
    <n v="113.3"/>
    <n v="115.9"/>
    <n v="112.5"/>
    <n v="112.4"/>
    <n v="112.8"/>
    <n v="110.7"/>
    <n v="111.1"/>
    <n v="110.1"/>
    <n v="111.8"/>
    <n v="108.7"/>
    <n v="110.9"/>
    <n v="113.6"/>
    <n v="1"/>
  </r>
  <r>
    <x v="1"/>
    <x v="2"/>
    <x v="3"/>
    <n v="120.1"/>
    <n v="118.1"/>
    <n v="120.7"/>
    <n v="116.1"/>
    <n v="109.3"/>
    <n v="119.6"/>
    <n v="117.9"/>
    <n v="110.2"/>
    <n v="101.2"/>
    <n v="110.7"/>
    <n v="113"/>
    <n v="118.3"/>
    <n v="116.2"/>
    <n v="114.6"/>
    <n v="117.5"/>
    <n v="114.9"/>
    <n v="117.2"/>
    <s v="NA"/>
    <n v="113.4"/>
    <n v="113.4"/>
    <n v="111.4"/>
    <n v="111.2"/>
    <n v="110.2"/>
    <n v="112.4"/>
    <n v="108.9"/>
    <n v="111.3"/>
    <n v="114.6"/>
    <n v="1"/>
  </r>
  <r>
    <x v="2"/>
    <x v="2"/>
    <x v="3"/>
    <n v="122.1"/>
    <n v="121.4"/>
    <n v="121.5"/>
    <n v="116.2"/>
    <n v="102.8"/>
    <n v="117.7"/>
    <n v="113.3"/>
    <n v="108.9"/>
    <n v="96.3"/>
    <n v="114.1"/>
    <n v="112.2"/>
    <n v="120.5"/>
    <n v="116"/>
    <n v="116.7"/>
    <n v="115.8"/>
    <n v="112.1"/>
    <n v="115.2"/>
    <n v="113.2"/>
    <n v="110.9"/>
    <n v="113"/>
    <n v="110.8"/>
    <n v="111.6"/>
    <n v="110.9"/>
    <n v="111.8"/>
    <n v="109.2"/>
    <n v="111.4"/>
    <n v="113.7"/>
    <n v="1"/>
  </r>
  <r>
    <x v="3"/>
    <x v="2"/>
    <x v="3"/>
    <n v="120.7"/>
    <n v="119.3"/>
    <n v="121"/>
    <n v="116.1"/>
    <n v="106.9"/>
    <n v="118.7"/>
    <n v="116.3"/>
    <n v="109.8"/>
    <n v="99.6"/>
    <n v="111.8"/>
    <n v="112.7"/>
    <n v="119.3"/>
    <n v="116.1"/>
    <n v="115.2"/>
    <n v="116.8"/>
    <n v="113.7"/>
    <n v="116.4"/>
    <n v="113.2"/>
    <n v="112.5"/>
    <n v="113.2"/>
    <n v="111.2"/>
    <n v="111.4"/>
    <n v="110.6"/>
    <n v="112"/>
    <n v="109"/>
    <n v="111.3"/>
    <n v="114.2"/>
    <n v="1"/>
  </r>
  <r>
    <x v="1"/>
    <x v="2"/>
    <x v="4"/>
    <n v="120.2"/>
    <n v="118.9"/>
    <n v="118.1"/>
    <n v="117"/>
    <n v="109.7"/>
    <n v="125.5"/>
    <n v="120.5"/>
    <n v="111"/>
    <n v="102.6"/>
    <n v="111.2"/>
    <n v="113.5"/>
    <n v="118.7"/>
    <n v="117.2"/>
    <n v="115.4"/>
    <n v="118.1"/>
    <n v="116.1"/>
    <n v="117.8"/>
    <s v="NA"/>
    <n v="113.4"/>
    <n v="113.7"/>
    <n v="111.8"/>
    <n v="111.2"/>
    <n v="110.5"/>
    <n v="113"/>
    <n v="108.9"/>
    <n v="111.5"/>
    <n v="115.4"/>
    <n v="1"/>
  </r>
  <r>
    <x v="2"/>
    <x v="2"/>
    <x v="4"/>
    <n v="122.5"/>
    <n v="121.7"/>
    <n v="113.3"/>
    <n v="117"/>
    <n v="103.1"/>
    <n v="126.7"/>
    <n v="121.2"/>
    <n v="111"/>
    <n v="100.3"/>
    <n v="115.3"/>
    <n v="112.7"/>
    <n v="121"/>
    <n v="118.2"/>
    <n v="117.6"/>
    <n v="116.3"/>
    <n v="112.5"/>
    <n v="115.7"/>
    <n v="113.9"/>
    <n v="110.9"/>
    <n v="113.4"/>
    <n v="111"/>
    <n v="111.2"/>
    <n v="111.2"/>
    <n v="112.5"/>
    <n v="109.1"/>
    <n v="111.4"/>
    <n v="114.7"/>
    <n v="1"/>
  </r>
  <r>
    <x v="3"/>
    <x v="2"/>
    <x v="4"/>
    <n v="120.9"/>
    <n v="119.9"/>
    <n v="116.2"/>
    <n v="117"/>
    <n v="107.3"/>
    <n v="126.1"/>
    <n v="120.7"/>
    <n v="111"/>
    <n v="101.8"/>
    <n v="112.6"/>
    <n v="113.2"/>
    <n v="119.8"/>
    <n v="117.6"/>
    <n v="116"/>
    <n v="117.4"/>
    <n v="114.6"/>
    <n v="117"/>
    <n v="113.9"/>
    <n v="112.5"/>
    <n v="113.6"/>
    <n v="111.5"/>
    <n v="111.2"/>
    <n v="110.9"/>
    <n v="112.7"/>
    <n v="109"/>
    <n v="111.5"/>
    <n v="115.1"/>
    <n v="1"/>
  </r>
  <r>
    <x v="1"/>
    <x v="2"/>
    <x v="5"/>
    <n v="120.3"/>
    <n v="120.2"/>
    <n v="116.9"/>
    <n v="118"/>
    <n v="110.1"/>
    <n v="126.3"/>
    <n v="123.9"/>
    <n v="111.5"/>
    <n v="103.5"/>
    <n v="111.6"/>
    <n v="114.2"/>
    <n v="119.2"/>
    <n v="118.2"/>
    <n v="116.3"/>
    <n v="118.7"/>
    <n v="116.8"/>
    <n v="118.5"/>
    <s v="NA"/>
    <n v="113.4"/>
    <n v="114.1"/>
    <n v="112.1"/>
    <n v="111.4"/>
    <n v="110.9"/>
    <n v="113.1"/>
    <n v="108.9"/>
    <n v="111.8"/>
    <n v="116"/>
    <n v="1"/>
  </r>
  <r>
    <x v="2"/>
    <x v="2"/>
    <x v="5"/>
    <n v="122.7"/>
    <n v="124.1"/>
    <n v="114.2"/>
    <n v="119.1"/>
    <n v="103.5"/>
    <n v="129.19999999999999"/>
    <n v="127"/>
    <n v="112.6"/>
    <n v="101.3"/>
    <n v="117"/>
    <n v="112.9"/>
    <n v="121.7"/>
    <n v="120"/>
    <n v="118.3"/>
    <n v="116.8"/>
    <n v="112.9"/>
    <n v="116.2"/>
    <n v="114.3"/>
    <n v="111.1"/>
    <n v="114.1"/>
    <n v="111.2"/>
    <n v="111.3"/>
    <n v="111.5"/>
    <n v="112.9"/>
    <n v="109.3"/>
    <n v="111.7"/>
    <n v="115.6"/>
    <n v="1"/>
  </r>
  <r>
    <x v="3"/>
    <x v="2"/>
    <x v="5"/>
    <n v="121.1"/>
    <n v="121.6"/>
    <n v="115.9"/>
    <n v="118.4"/>
    <n v="107.7"/>
    <n v="127.7"/>
    <n v="125"/>
    <n v="111.9"/>
    <n v="102.8"/>
    <n v="113.4"/>
    <n v="113.7"/>
    <n v="120.4"/>
    <n v="118.9"/>
    <n v="116.8"/>
    <n v="118"/>
    <n v="115.2"/>
    <n v="117.6"/>
    <n v="114.3"/>
    <n v="112.5"/>
    <n v="114.1"/>
    <n v="111.8"/>
    <n v="111.3"/>
    <n v="111.2"/>
    <n v="113"/>
    <n v="109.1"/>
    <n v="111.8"/>
    <n v="115.8"/>
    <n v="1"/>
  </r>
  <r>
    <x v="1"/>
    <x v="2"/>
    <x v="6"/>
    <n v="120.7"/>
    <n v="121.6"/>
    <n v="116.1"/>
    <n v="119.3"/>
    <n v="110.3"/>
    <n v="125.8"/>
    <n v="129.30000000000001"/>
    <n v="112.2"/>
    <n v="103.6"/>
    <n v="112.3"/>
    <n v="114.9"/>
    <n v="120.1"/>
    <n v="119.5"/>
    <n v="117.3"/>
    <n v="119.7"/>
    <n v="117.3"/>
    <n v="119.3"/>
    <s v="NA"/>
    <n v="114.4"/>
    <n v="114.9"/>
    <n v="112.8"/>
    <n v="112.2"/>
    <n v="111.4"/>
    <n v="114.3"/>
    <n v="108"/>
    <n v="112.3"/>
    <n v="117"/>
    <n v="1"/>
  </r>
  <r>
    <x v="2"/>
    <x v="2"/>
    <x v="6"/>
    <n v="123.1"/>
    <n v="125.9"/>
    <n v="115.4"/>
    <n v="120.4"/>
    <n v="103.4"/>
    <n v="131.19999999999999"/>
    <n v="137.5"/>
    <n v="112.8"/>
    <n v="101.4"/>
    <n v="118.3"/>
    <n v="113.2"/>
    <n v="122.4"/>
    <n v="122"/>
    <n v="119"/>
    <n v="117.4"/>
    <n v="113.2"/>
    <n v="116.7"/>
    <n v="113.9"/>
    <n v="111.2"/>
    <n v="114.3"/>
    <n v="111.4"/>
    <n v="111.5"/>
    <n v="111.8"/>
    <n v="115.1"/>
    <n v="108.7"/>
    <n v="112.2"/>
    <n v="116.4"/>
    <n v="1"/>
  </r>
  <r>
    <x v="3"/>
    <x v="2"/>
    <x v="6"/>
    <n v="121.5"/>
    <n v="123.1"/>
    <n v="115.8"/>
    <n v="119.7"/>
    <n v="107.8"/>
    <n v="128.30000000000001"/>
    <n v="132.1"/>
    <n v="112.4"/>
    <n v="102.9"/>
    <n v="114.3"/>
    <n v="114.2"/>
    <n v="121.2"/>
    <n v="120.4"/>
    <n v="117.8"/>
    <n v="118.8"/>
    <n v="115.6"/>
    <n v="118.3"/>
    <n v="113.9"/>
    <n v="113.2"/>
    <n v="114.6"/>
    <n v="112.3"/>
    <n v="111.8"/>
    <n v="111.6"/>
    <n v="114.8"/>
    <n v="108.3"/>
    <n v="112.3"/>
    <n v="116.7"/>
    <n v="1"/>
  </r>
  <r>
    <x v="1"/>
    <x v="2"/>
    <x v="7"/>
    <n v="121.7"/>
    <n v="122.5"/>
    <n v="117.7"/>
    <n v="120.6"/>
    <n v="110.4"/>
    <n v="129.1"/>
    <n v="150.1"/>
    <n v="113.2"/>
    <n v="104.8"/>
    <n v="113.3"/>
    <n v="115.6"/>
    <n v="120.9"/>
    <n v="123.3"/>
    <n v="118"/>
    <n v="120.7"/>
    <n v="118.3"/>
    <n v="120.3"/>
    <s v="NA"/>
    <n v="115.3"/>
    <n v="115.4"/>
    <n v="113.4"/>
    <n v="113.2"/>
    <n v="111.8"/>
    <n v="115.5"/>
    <n v="108.8"/>
    <n v="113.1"/>
    <n v="119.5"/>
    <n v="1"/>
  </r>
  <r>
    <x v="2"/>
    <x v="2"/>
    <x v="7"/>
    <n v="123.8"/>
    <n v="126.4"/>
    <n v="118"/>
    <n v="121.6"/>
    <n v="103.5"/>
    <n v="133.69999999999999"/>
    <n v="172.4"/>
    <n v="113.1"/>
    <n v="102.7"/>
    <n v="120"/>
    <n v="113.8"/>
    <n v="123.4"/>
    <n v="127.1"/>
    <n v="121"/>
    <n v="118"/>
    <n v="113.6"/>
    <n v="117.4"/>
    <n v="114.8"/>
    <n v="111.6"/>
    <n v="114.9"/>
    <n v="111.5"/>
    <n v="113"/>
    <n v="112.4"/>
    <n v="117.8"/>
    <n v="109.7"/>
    <n v="113.5"/>
    <n v="118.9"/>
    <n v="1"/>
  </r>
  <r>
    <x v="3"/>
    <x v="2"/>
    <x v="7"/>
    <n v="122.4"/>
    <n v="123.9"/>
    <n v="117.8"/>
    <n v="121"/>
    <n v="107.9"/>
    <n v="131.19999999999999"/>
    <n v="157.69999999999999"/>
    <n v="113.2"/>
    <n v="104.1"/>
    <n v="115.5"/>
    <n v="114.8"/>
    <n v="122.1"/>
    <n v="124.7"/>
    <n v="118.8"/>
    <n v="119.6"/>
    <n v="116.3"/>
    <n v="119.1"/>
    <n v="114.8"/>
    <n v="113.9"/>
    <n v="115.2"/>
    <n v="112.7"/>
    <n v="113.1"/>
    <n v="112.1"/>
    <n v="116.8"/>
    <n v="109.2"/>
    <n v="113.3"/>
    <n v="119.2"/>
    <n v="1"/>
  </r>
  <r>
    <x v="1"/>
    <x v="2"/>
    <x v="8"/>
    <n v="121.8"/>
    <n v="122.8"/>
    <n v="117.8"/>
    <n v="121.9"/>
    <n v="110.6"/>
    <n v="129.69999999999999"/>
    <n v="161.1"/>
    <n v="114.1"/>
    <n v="105.1"/>
    <n v="114.6"/>
    <n v="115.8"/>
    <n v="121.7"/>
    <n v="125.3"/>
    <n v="118.8"/>
    <n v="120.9"/>
    <n v="118.8"/>
    <n v="120.7"/>
    <s v="NA"/>
    <n v="115.4"/>
    <n v="115.9"/>
    <n v="114"/>
    <n v="113.2"/>
    <n v="112.2"/>
    <n v="116.2"/>
    <n v="109.4"/>
    <n v="113.5"/>
    <n v="120.7"/>
    <n v="1"/>
  </r>
  <r>
    <x v="2"/>
    <x v="2"/>
    <x v="8"/>
    <n v="124.8"/>
    <n v="127.3"/>
    <n v="116.5"/>
    <n v="122.2"/>
    <n v="103.6"/>
    <n v="132.69999999999999"/>
    <n v="181.9"/>
    <n v="115.2"/>
    <n v="102.7"/>
    <n v="122.1"/>
    <n v="114.4"/>
    <n v="124.7"/>
    <n v="128.9"/>
    <n v="123"/>
    <n v="118.6"/>
    <n v="114.1"/>
    <n v="117.9"/>
    <n v="115.5"/>
    <n v="111.8"/>
    <n v="115.3"/>
    <n v="112.2"/>
    <n v="112.5"/>
    <n v="112.9"/>
    <n v="119.2"/>
    <n v="110.5"/>
    <n v="113.9"/>
    <n v="119.9"/>
    <n v="1"/>
  </r>
  <r>
    <x v="3"/>
    <x v="2"/>
    <x v="8"/>
    <n v="122.7"/>
    <n v="124.4"/>
    <n v="117.3"/>
    <n v="122"/>
    <n v="108"/>
    <n v="131.1"/>
    <n v="168.2"/>
    <n v="114.5"/>
    <n v="104.3"/>
    <n v="117.1"/>
    <n v="115.2"/>
    <n v="123.1"/>
    <n v="126.6"/>
    <n v="119.9"/>
    <n v="120"/>
    <n v="116.8"/>
    <n v="119.6"/>
    <n v="115.5"/>
    <n v="114"/>
    <n v="115.6"/>
    <n v="113.3"/>
    <n v="112.8"/>
    <n v="112.6"/>
    <n v="118"/>
    <n v="109.9"/>
    <n v="113.7"/>
    <n v="120.3"/>
    <n v="1"/>
  </r>
  <r>
    <x v="1"/>
    <x v="2"/>
    <x v="9"/>
    <n v="122.3"/>
    <n v="122.4"/>
    <n v="117.8"/>
    <n v="122.7"/>
    <n v="110.4"/>
    <n v="129.80000000000001"/>
    <n v="158.80000000000001"/>
    <n v="115"/>
    <n v="104.7"/>
    <n v="114.9"/>
    <n v="116.5"/>
    <n v="122.6"/>
    <n v="125.3"/>
    <n v="119.5"/>
    <n v="121.7"/>
    <n v="119.2"/>
    <n v="121.3"/>
    <s v="NA"/>
    <n v="115.8"/>
    <n v="116.7"/>
    <n v="114.5"/>
    <n v="112.8"/>
    <n v="112.6"/>
    <n v="116.6"/>
    <n v="109.1"/>
    <n v="113.7"/>
    <n v="120.9"/>
    <n v="1"/>
  </r>
  <r>
    <x v="2"/>
    <x v="2"/>
    <x v="9"/>
    <n v="124.2"/>
    <n v="125.4"/>
    <n v="116.4"/>
    <n v="122.7"/>
    <n v="103.5"/>
    <n v="124.5"/>
    <n v="168.6"/>
    <n v="116.9"/>
    <n v="101.9"/>
    <n v="122.9"/>
    <n v="114.8"/>
    <n v="125.2"/>
    <n v="126.7"/>
    <n v="124.3"/>
    <n v="119.2"/>
    <n v="114.5"/>
    <n v="118.4"/>
    <n v="116.1"/>
    <n v="111.8"/>
    <n v="115.5"/>
    <n v="112.3"/>
    <n v="111.2"/>
    <n v="113.4"/>
    <n v="120"/>
    <n v="110"/>
    <n v="113.6"/>
    <n v="119.2"/>
    <n v="1"/>
  </r>
  <r>
    <x v="3"/>
    <x v="2"/>
    <x v="9"/>
    <n v="122.9"/>
    <n v="123.5"/>
    <n v="117.3"/>
    <n v="122.7"/>
    <n v="107.9"/>
    <n v="127.3"/>
    <n v="162.1"/>
    <n v="115.6"/>
    <n v="103.8"/>
    <n v="117.6"/>
    <n v="115.8"/>
    <n v="123.8"/>
    <n v="125.8"/>
    <n v="120.8"/>
    <n v="120.7"/>
    <n v="117.2"/>
    <n v="120.1"/>
    <n v="116.1"/>
    <n v="114.3"/>
    <n v="116.1"/>
    <n v="113.7"/>
    <n v="112"/>
    <n v="113.1"/>
    <n v="118.6"/>
    <n v="109.5"/>
    <n v="113.7"/>
    <n v="120.1"/>
    <n v="1"/>
  </r>
  <r>
    <x v="1"/>
    <x v="2"/>
    <x v="10"/>
    <n v="122.6"/>
    <n v="122.5"/>
    <n v="118.3"/>
    <n v="123.2"/>
    <n v="110.5"/>
    <n v="128.9"/>
    <n v="155.30000000000001"/>
    <n v="115.5"/>
    <n v="104"/>
    <n v="115.3"/>
    <n v="116.8"/>
    <n v="123.2"/>
    <n v="125.1"/>
    <n v="120"/>
    <n v="122.7"/>
    <n v="120.3"/>
    <n v="122.3"/>
    <s v="NA"/>
    <n v="116.4"/>
    <n v="117.5"/>
    <n v="115.3"/>
    <n v="112.6"/>
    <n v="113"/>
    <n v="116.9"/>
    <n v="109.3"/>
    <n v="114"/>
    <n v="121"/>
    <n v="1"/>
  </r>
  <r>
    <x v="2"/>
    <x v="2"/>
    <x v="10"/>
    <n v="124.6"/>
    <n v="126.1"/>
    <n v="117.8"/>
    <n v="123.1"/>
    <n v="103.5"/>
    <n v="123.5"/>
    <n v="159.6"/>
    <n v="117.4"/>
    <n v="101.2"/>
    <n v="123.8"/>
    <n v="115.2"/>
    <n v="125.9"/>
    <n v="125.8"/>
    <n v="124.3"/>
    <n v="119.6"/>
    <n v="114.9"/>
    <n v="118.9"/>
    <n v="116.7"/>
    <n v="112"/>
    <n v="115.8"/>
    <n v="112.6"/>
    <n v="111"/>
    <n v="113.6"/>
    <n v="120.2"/>
    <n v="110.1"/>
    <n v="113.7"/>
    <n v="119.1"/>
    <n v="1"/>
  </r>
  <r>
    <x v="3"/>
    <x v="2"/>
    <x v="10"/>
    <n v="123.2"/>
    <n v="123.8"/>
    <n v="118.1"/>
    <n v="123.2"/>
    <n v="107.9"/>
    <n v="126.4"/>
    <n v="156.80000000000001"/>
    <n v="116.1"/>
    <n v="103.1"/>
    <n v="118.1"/>
    <n v="116.1"/>
    <n v="124.5"/>
    <n v="125.4"/>
    <n v="121.1"/>
    <n v="121.5"/>
    <n v="118.1"/>
    <n v="121"/>
    <n v="116.7"/>
    <n v="114.7"/>
    <n v="116.7"/>
    <n v="114.3"/>
    <n v="111.8"/>
    <n v="113.3"/>
    <n v="118.8"/>
    <n v="109.6"/>
    <n v="113.9"/>
    <n v="120.1"/>
    <n v="1"/>
  </r>
  <r>
    <x v="1"/>
    <x v="2"/>
    <x v="11"/>
    <n v="122.7"/>
    <n v="122.6"/>
    <n v="119.9"/>
    <n v="124"/>
    <n v="110.5"/>
    <n v="128.80000000000001"/>
    <n v="152"/>
    <n v="116.2"/>
    <n v="103.3"/>
    <n v="115.8"/>
    <n v="116.8"/>
    <n v="124.5"/>
    <n v="124.9"/>
    <n v="120.8"/>
    <n v="123.3"/>
    <n v="120.5"/>
    <n v="122.9"/>
    <s v="NA"/>
    <n v="117.3"/>
    <n v="118.1"/>
    <n v="115.9"/>
    <n v="112"/>
    <n v="113.3"/>
    <n v="117.2"/>
    <n v="108.8"/>
    <n v="114.1"/>
    <n v="121.1"/>
    <n v="1"/>
  </r>
  <r>
    <x v="2"/>
    <x v="2"/>
    <x v="11"/>
    <n v="124.5"/>
    <n v="125.6"/>
    <n v="122.7"/>
    <n v="124.6"/>
    <n v="103.2"/>
    <n v="122.2"/>
    <n v="153.19999999999999"/>
    <n v="119.3"/>
    <n v="99.8"/>
    <n v="124.6"/>
    <n v="115.8"/>
    <n v="126.9"/>
    <n v="125.4"/>
    <n v="125.8"/>
    <n v="120.3"/>
    <n v="115.4"/>
    <n v="119.5"/>
    <n v="117.1"/>
    <n v="112.6"/>
    <n v="116.4"/>
    <n v="113"/>
    <n v="109.7"/>
    <n v="114"/>
    <n v="120.3"/>
    <n v="109.6"/>
    <n v="113.4"/>
    <n v="119"/>
    <n v="1"/>
  </r>
  <r>
    <x v="3"/>
    <x v="2"/>
    <x v="11"/>
    <n v="123.3"/>
    <n v="123.7"/>
    <n v="121"/>
    <n v="124.2"/>
    <n v="107.8"/>
    <n v="125.7"/>
    <n v="152.4"/>
    <n v="117.2"/>
    <n v="102.1"/>
    <n v="118.7"/>
    <n v="116.4"/>
    <n v="125.6"/>
    <n v="125.1"/>
    <n v="122.1"/>
    <n v="122.1"/>
    <n v="118.4"/>
    <n v="121.6"/>
    <n v="117.1"/>
    <n v="115.5"/>
    <n v="117.3"/>
    <n v="114.8"/>
    <n v="110.8"/>
    <n v="113.7"/>
    <n v="119"/>
    <n v="109.1"/>
    <n v="113.8"/>
    <n v="120.1"/>
    <n v="1"/>
  </r>
  <r>
    <x v="1"/>
    <x v="2"/>
    <x v="12"/>
    <n v="122.4"/>
    <n v="122.4"/>
    <n v="121.8"/>
    <n v="124.2"/>
    <n v="110.2"/>
    <n v="128.6"/>
    <n v="140.30000000000001"/>
    <n v="116.3"/>
    <n v="102"/>
    <n v="116"/>
    <n v="117.3"/>
    <n v="124.8"/>
    <n v="123.3"/>
    <n v="121.7"/>
    <n v="123.8"/>
    <n v="120.6"/>
    <n v="123.3"/>
    <s v="NA"/>
    <n v="117.4"/>
    <n v="118.2"/>
    <n v="116.2"/>
    <n v="111.5"/>
    <n v="113.3"/>
    <n v="117.7"/>
    <n v="109.4"/>
    <n v="114.2"/>
    <n v="120.3"/>
    <n v="1"/>
  </r>
  <r>
    <x v="2"/>
    <x v="2"/>
    <x v="12"/>
    <n v="124"/>
    <n v="124.7"/>
    <n v="126.3"/>
    <n v="124.9"/>
    <n v="103"/>
    <n v="122.3"/>
    <n v="141"/>
    <n v="120.1"/>
    <n v="97.8"/>
    <n v="125.4"/>
    <n v="116.1"/>
    <n v="127.6"/>
    <n v="124"/>
    <n v="126.4"/>
    <n v="120.7"/>
    <n v="115.8"/>
    <n v="120"/>
    <n v="116.5"/>
    <n v="113"/>
    <n v="116.8"/>
    <n v="113.2"/>
    <n v="108.8"/>
    <n v="114.3"/>
    <n v="120.7"/>
    <n v="110.4"/>
    <n v="113.4"/>
    <n v="118.4"/>
    <n v="1"/>
  </r>
  <r>
    <x v="3"/>
    <x v="2"/>
    <x v="12"/>
    <n v="122.9"/>
    <n v="123.2"/>
    <n v="123.5"/>
    <n v="124.5"/>
    <n v="107.6"/>
    <n v="125.7"/>
    <n v="140.5"/>
    <n v="117.6"/>
    <n v="100.6"/>
    <n v="119.1"/>
    <n v="116.8"/>
    <n v="126.1"/>
    <n v="123.6"/>
    <n v="123"/>
    <n v="122.6"/>
    <n v="118.6"/>
    <n v="122"/>
    <n v="116.5"/>
    <n v="115.7"/>
    <n v="117.5"/>
    <n v="115.1"/>
    <n v="110.1"/>
    <n v="113.9"/>
    <n v="119.5"/>
    <n v="109.8"/>
    <n v="113.8"/>
    <n v="119.4"/>
    <n v="1"/>
  </r>
  <r>
    <x v="1"/>
    <x v="3"/>
    <x v="1"/>
    <n v="123.1"/>
    <n v="123.1"/>
    <n v="122.1"/>
    <n v="124.9"/>
    <n v="111"/>
    <n v="130.4"/>
    <n v="132.30000000000001"/>
    <n v="117.2"/>
    <n v="100.5"/>
    <n v="117.2"/>
    <n v="117.9"/>
    <n v="125.6"/>
    <n v="122.8"/>
    <n v="122.7"/>
    <n v="124.4"/>
    <n v="121.6"/>
    <n v="124"/>
    <s v="NA"/>
    <n v="118.4"/>
    <n v="118.9"/>
    <n v="116.6"/>
    <n v="111"/>
    <n v="114"/>
    <n v="118.2"/>
    <n v="110.2"/>
    <n v="114.5"/>
    <n v="120.3"/>
    <n v="1"/>
  </r>
  <r>
    <x v="2"/>
    <x v="3"/>
    <x v="1"/>
    <n v="124"/>
    <n v="125.5"/>
    <n v="126.6"/>
    <n v="125.2"/>
    <n v="104.3"/>
    <n v="121.3"/>
    <n v="134.4"/>
    <n v="122.9"/>
    <n v="96.1"/>
    <n v="126.6"/>
    <n v="116.5"/>
    <n v="128"/>
    <n v="123.5"/>
    <n v="127.4"/>
    <n v="121"/>
    <n v="116.1"/>
    <n v="120.2"/>
    <n v="117.3"/>
    <n v="113.4"/>
    <n v="117.2"/>
    <n v="113.7"/>
    <n v="107.9"/>
    <n v="114.6"/>
    <n v="120.8"/>
    <n v="111.4"/>
    <n v="113.4"/>
    <n v="118.5"/>
    <n v="1"/>
  </r>
  <r>
    <x v="3"/>
    <x v="3"/>
    <x v="1"/>
    <n v="123.4"/>
    <n v="123.9"/>
    <n v="123.8"/>
    <n v="125"/>
    <n v="108.5"/>
    <n v="126.2"/>
    <n v="133"/>
    <n v="119.1"/>
    <n v="99"/>
    <n v="120.3"/>
    <n v="117.3"/>
    <n v="126.7"/>
    <n v="123.1"/>
    <n v="124"/>
    <n v="123.1"/>
    <n v="119.3"/>
    <n v="122.5"/>
    <n v="117.3"/>
    <n v="116.5"/>
    <n v="118.1"/>
    <n v="115.5"/>
    <n v="109.4"/>
    <n v="114.3"/>
    <n v="119.7"/>
    <n v="110.7"/>
    <n v="114"/>
    <n v="119.5"/>
    <n v="1"/>
  </r>
  <r>
    <x v="1"/>
    <x v="3"/>
    <x v="2"/>
    <n v="123.4"/>
    <n v="124.4"/>
    <n v="122.1"/>
    <n v="125.8"/>
    <n v="111.5"/>
    <n v="129.4"/>
    <n v="128.19999999999999"/>
    <n v="118.8"/>
    <n v="100"/>
    <n v="118.6"/>
    <n v="118.8"/>
    <n v="126.8"/>
    <n v="122.8"/>
    <n v="124.2"/>
    <n v="125.4"/>
    <n v="122.7"/>
    <n v="125"/>
    <s v="NA"/>
    <n v="120"/>
    <n v="119.6"/>
    <n v="117.7"/>
    <n v="110.9"/>
    <n v="114.8"/>
    <n v="118.7"/>
    <n v="110.8"/>
    <n v="115"/>
    <n v="120.6"/>
    <n v="1"/>
  </r>
  <r>
    <x v="2"/>
    <x v="3"/>
    <x v="2"/>
    <n v="124.3"/>
    <n v="126.5"/>
    <n v="119.5"/>
    <n v="125.6"/>
    <n v="104.9"/>
    <n v="121.6"/>
    <n v="131.80000000000001"/>
    <n v="125.1"/>
    <n v="95"/>
    <n v="127.7"/>
    <n v="116.8"/>
    <n v="128.6"/>
    <n v="123.7"/>
    <n v="128.1"/>
    <n v="121.3"/>
    <n v="116.5"/>
    <n v="120.6"/>
    <n v="118.1"/>
    <n v="114"/>
    <n v="117.7"/>
    <n v="114.1"/>
    <n v="106.8"/>
    <n v="114.9"/>
    <n v="120.4"/>
    <n v="111.7"/>
    <n v="113.2"/>
    <n v="118.7"/>
    <n v="1"/>
  </r>
  <r>
    <x v="3"/>
    <x v="3"/>
    <x v="2"/>
    <n v="123.7"/>
    <n v="125.1"/>
    <n v="121.1"/>
    <n v="125.7"/>
    <n v="109.1"/>
    <n v="125.8"/>
    <n v="129.4"/>
    <n v="120.9"/>
    <n v="98.3"/>
    <n v="121.6"/>
    <n v="118"/>
    <n v="127.6"/>
    <n v="123.1"/>
    <n v="125.2"/>
    <n v="123.8"/>
    <n v="120.1"/>
    <n v="123.3"/>
    <n v="118.1"/>
    <n v="117.7"/>
    <n v="118.7"/>
    <n v="116.3"/>
    <n v="108.7"/>
    <n v="114.9"/>
    <n v="119.7"/>
    <n v="111.2"/>
    <n v="114.1"/>
    <n v="119.7"/>
    <n v="1"/>
  </r>
  <r>
    <x v="1"/>
    <x v="3"/>
    <x v="3"/>
    <n v="123.3"/>
    <n v="124.7"/>
    <n v="118.9"/>
    <n v="126"/>
    <n v="111.8"/>
    <n v="130.9"/>
    <n v="128"/>
    <n v="119.9"/>
    <n v="98.9"/>
    <n v="119.4"/>
    <n v="118.9"/>
    <n v="127.7"/>
    <n v="123.1"/>
    <n v="124.7"/>
    <n v="126"/>
    <n v="122.9"/>
    <n v="125.5"/>
    <s v="NA"/>
    <n v="120.6"/>
    <n v="120.2"/>
    <n v="118.2"/>
    <n v="111.6"/>
    <n v="115.5"/>
    <n v="119.4"/>
    <n v="110.8"/>
    <n v="115.5"/>
    <n v="121.1"/>
    <n v="1"/>
  </r>
  <r>
    <x v="2"/>
    <x v="3"/>
    <x v="3"/>
    <n v="124"/>
    <n v="126.7"/>
    <n v="113.5"/>
    <n v="125.9"/>
    <n v="104.8"/>
    <n v="123.8"/>
    <n v="131.4"/>
    <n v="127.2"/>
    <n v="93.2"/>
    <n v="127.4"/>
    <n v="117"/>
    <n v="129.19999999999999"/>
    <n v="123.9"/>
    <n v="128.80000000000001"/>
    <n v="121.7"/>
    <n v="116.9"/>
    <n v="120.9"/>
    <n v="118.6"/>
    <n v="114.4"/>
    <n v="118"/>
    <n v="114.3"/>
    <n v="108.4"/>
    <n v="115.4"/>
    <n v="120.6"/>
    <n v="111.3"/>
    <n v="113.8"/>
    <n v="119.1"/>
    <n v="1"/>
  </r>
  <r>
    <x v="3"/>
    <x v="3"/>
    <x v="3"/>
    <n v="123.5"/>
    <n v="125.4"/>
    <n v="116.8"/>
    <n v="126"/>
    <n v="109.2"/>
    <n v="127.6"/>
    <n v="129.19999999999999"/>
    <n v="122.4"/>
    <n v="97"/>
    <n v="122.1"/>
    <n v="118.1"/>
    <n v="128.4"/>
    <n v="123.4"/>
    <n v="125.8"/>
    <n v="124.3"/>
    <n v="120.4"/>
    <n v="123.7"/>
    <n v="118.6"/>
    <n v="118.3"/>
    <n v="119.2"/>
    <n v="116.7"/>
    <n v="109.9"/>
    <n v="115.4"/>
    <n v="120.1"/>
    <n v="111"/>
    <n v="114.7"/>
    <n v="120.2"/>
    <n v="1"/>
  </r>
  <r>
    <x v="1"/>
    <x v="3"/>
    <x v="4"/>
    <n v="123.3"/>
    <n v="125.5"/>
    <n v="117.2"/>
    <n v="126.8"/>
    <n v="111.9"/>
    <n v="134.19999999999999"/>
    <n v="127.5"/>
    <n v="121.5"/>
    <n v="97.8"/>
    <n v="119.8"/>
    <n v="119.4"/>
    <n v="128.69999999999999"/>
    <n v="123.6"/>
    <n v="125.7"/>
    <n v="126.4"/>
    <n v="123.3"/>
    <n v="126"/>
    <s v="NA"/>
    <n v="121.2"/>
    <n v="120.9"/>
    <n v="118.6"/>
    <n v="111.9"/>
    <n v="116.2"/>
    <n v="119.9"/>
    <n v="111.6"/>
    <n v="116"/>
    <n v="121.5"/>
    <n v="1"/>
  </r>
  <r>
    <x v="2"/>
    <x v="3"/>
    <x v="4"/>
    <n v="123.8"/>
    <n v="128.19999999999999"/>
    <n v="110"/>
    <n v="126.3"/>
    <n v="104.5"/>
    <n v="130.6"/>
    <n v="130.80000000000001"/>
    <n v="131.30000000000001"/>
    <n v="91.6"/>
    <n v="127.7"/>
    <n v="117.2"/>
    <n v="129.5"/>
    <n v="124.6"/>
    <n v="130.1"/>
    <n v="122.1"/>
    <n v="117.2"/>
    <n v="121.3"/>
    <n v="119.2"/>
    <n v="114.7"/>
    <n v="118.4"/>
    <n v="114.6"/>
    <n v="108.4"/>
    <n v="115.6"/>
    <n v="121.7"/>
    <n v="111.8"/>
    <n v="114.2"/>
    <n v="119.7"/>
    <n v="1"/>
  </r>
  <r>
    <x v="3"/>
    <x v="3"/>
    <x v="4"/>
    <n v="123.5"/>
    <n v="126.4"/>
    <n v="114.4"/>
    <n v="126.6"/>
    <n v="109.2"/>
    <n v="132.5"/>
    <n v="128.6"/>
    <n v="124.8"/>
    <n v="95.7"/>
    <n v="122.4"/>
    <n v="118.5"/>
    <n v="129.1"/>
    <n v="124"/>
    <n v="126.9"/>
    <n v="124.7"/>
    <n v="120.8"/>
    <n v="124.1"/>
    <n v="119.2"/>
    <n v="118.7"/>
    <n v="119.7"/>
    <n v="117.1"/>
    <n v="110.1"/>
    <n v="115.9"/>
    <n v="121"/>
    <n v="111.7"/>
    <n v="115.1"/>
    <n v="120.7"/>
    <n v="1"/>
  </r>
  <r>
    <x v="1"/>
    <x v="3"/>
    <x v="5"/>
    <n v="123.5"/>
    <n v="127.1"/>
    <n v="117.3"/>
    <n v="127.7"/>
    <n v="112.5"/>
    <n v="134.1"/>
    <n v="128.5"/>
    <n v="124.3"/>
    <n v="97.6"/>
    <n v="120.7"/>
    <n v="120.2"/>
    <n v="129.80000000000001"/>
    <n v="124.4"/>
    <n v="126.7"/>
    <n v="127.3"/>
    <n v="124.1"/>
    <n v="126.8"/>
    <s v="NA"/>
    <n v="121.9"/>
    <n v="121.5"/>
    <n v="119.4"/>
    <n v="113.3"/>
    <n v="116.7"/>
    <n v="120.5"/>
    <n v="112.3"/>
    <n v="116.9"/>
    <n v="122.4"/>
    <n v="1"/>
  </r>
  <r>
    <x v="2"/>
    <x v="3"/>
    <x v="5"/>
    <n v="123.8"/>
    <n v="129.69999999999999"/>
    <n v="111.3"/>
    <n v="126.6"/>
    <n v="105.2"/>
    <n v="130.80000000000001"/>
    <n v="135.6"/>
    <n v="142.6"/>
    <n v="90.8"/>
    <n v="128.80000000000001"/>
    <n v="117.7"/>
    <n v="129.9"/>
    <n v="126.1"/>
    <n v="131.30000000000001"/>
    <n v="122.4"/>
    <n v="117.4"/>
    <n v="121.6"/>
    <n v="119.6"/>
    <n v="114.9"/>
    <n v="118.7"/>
    <n v="114.9"/>
    <n v="110.8"/>
    <n v="116"/>
    <n v="122"/>
    <n v="112.4"/>
    <n v="115.2"/>
    <n v="120.7"/>
    <n v="1"/>
  </r>
  <r>
    <x v="3"/>
    <x v="3"/>
    <x v="5"/>
    <n v="123.6"/>
    <n v="128"/>
    <n v="115"/>
    <n v="127.3"/>
    <n v="109.8"/>
    <n v="132.6"/>
    <n v="130.9"/>
    <n v="130.5"/>
    <n v="95.3"/>
    <n v="123.4"/>
    <n v="119.2"/>
    <n v="129.80000000000001"/>
    <n v="125"/>
    <n v="127.9"/>
    <n v="125.4"/>
    <n v="121.3"/>
    <n v="124.7"/>
    <n v="119.6"/>
    <n v="119.2"/>
    <n v="120.2"/>
    <n v="117.7"/>
    <n v="112"/>
    <n v="116.3"/>
    <n v="121.4"/>
    <n v="112.3"/>
    <n v="116.1"/>
    <n v="121.6"/>
    <n v="1"/>
  </r>
  <r>
    <x v="1"/>
    <x v="3"/>
    <x v="6"/>
    <n v="124.1"/>
    <n v="130.4"/>
    <n v="122.1"/>
    <n v="128.69999999999999"/>
    <n v="114.1"/>
    <n v="133.19999999999999"/>
    <n v="135.19999999999999"/>
    <n v="131.9"/>
    <n v="96.3"/>
    <n v="123"/>
    <n v="121.1"/>
    <n v="131.19999999999999"/>
    <n v="126.6"/>
    <n v="128.19999999999999"/>
    <n v="128.4"/>
    <n v="125.1"/>
    <n v="128"/>
    <s v="NA"/>
    <n v="122.6"/>
    <n v="122.8"/>
    <n v="120.4"/>
    <n v="114.2"/>
    <n v="117.9"/>
    <n v="122"/>
    <n v="113"/>
    <n v="117.9"/>
    <n v="124.1"/>
    <n v="1"/>
  </r>
  <r>
    <x v="2"/>
    <x v="3"/>
    <x v="6"/>
    <n v="123.6"/>
    <n v="134.4"/>
    <n v="120.9"/>
    <n v="127.3"/>
    <n v="106"/>
    <n v="132.30000000000001"/>
    <n v="146.69999999999999"/>
    <n v="148.1"/>
    <n v="89.8"/>
    <n v="130.5"/>
    <n v="118"/>
    <n v="130.5"/>
    <n v="128.5"/>
    <n v="132.1"/>
    <n v="123.2"/>
    <n v="117.6"/>
    <n v="122.3"/>
    <n v="119"/>
    <n v="115.1"/>
    <n v="119.2"/>
    <n v="115.4"/>
    <n v="111.7"/>
    <n v="116.2"/>
    <n v="123.8"/>
    <n v="112.5"/>
    <n v="116"/>
    <n v="121.7"/>
    <n v="1"/>
  </r>
  <r>
    <x v="3"/>
    <x v="3"/>
    <x v="6"/>
    <n v="123.9"/>
    <n v="131.80000000000001"/>
    <n v="121.6"/>
    <n v="128.19999999999999"/>
    <n v="111.1"/>
    <n v="132.80000000000001"/>
    <n v="139.1"/>
    <n v="137.4"/>
    <n v="94.1"/>
    <n v="125.5"/>
    <n v="119.8"/>
    <n v="130.9"/>
    <n v="127.3"/>
    <n v="129.19999999999999"/>
    <n v="126.4"/>
    <n v="122"/>
    <n v="125.7"/>
    <n v="119"/>
    <n v="119.8"/>
    <n v="121.1"/>
    <n v="118.5"/>
    <n v="112.9"/>
    <n v="116.9"/>
    <n v="123.1"/>
    <n v="112.8"/>
    <n v="117"/>
    <n v="123"/>
    <n v="1"/>
  </r>
  <r>
    <x v="1"/>
    <x v="3"/>
    <x v="7"/>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n v="1"/>
  </r>
  <r>
    <x v="2"/>
    <x v="3"/>
    <x v="7"/>
    <n v="123.2"/>
    <n v="134.30000000000001"/>
    <n v="119.5"/>
    <n v="127.7"/>
    <n v="106.3"/>
    <n v="132.80000000000001"/>
    <n v="153.5"/>
    <n v="149.5"/>
    <n v="85.7"/>
    <n v="131.5"/>
    <n v="118.3"/>
    <n v="131.1"/>
    <n v="129.5"/>
    <n v="133.1"/>
    <n v="123.5"/>
    <n v="117.9"/>
    <n v="122.7"/>
    <n v="119.9"/>
    <n v="115.3"/>
    <n v="119.5"/>
    <n v="116"/>
    <n v="111.5"/>
    <n v="116.6"/>
    <n v="125.4"/>
    <n v="111.7"/>
    <n v="116.3"/>
    <n v="122.4"/>
    <n v="1"/>
  </r>
  <r>
    <x v="3"/>
    <x v="3"/>
    <x v="7"/>
    <n v="123.7"/>
    <n v="132.5"/>
    <n v="121"/>
    <n v="128.30000000000001"/>
    <n v="110.9"/>
    <n v="133.1"/>
    <n v="145.1"/>
    <n v="139.1"/>
    <n v="91.3"/>
    <n v="126.1"/>
    <n v="119.9"/>
    <n v="131.4"/>
    <n v="128.19999999999999"/>
    <n v="130.4"/>
    <n v="126.7"/>
    <n v="122.3"/>
    <n v="126.1"/>
    <n v="119.9"/>
    <n v="120.1"/>
    <n v="121.3"/>
    <n v="119"/>
    <n v="112.7"/>
    <n v="117.2"/>
    <n v="124.4"/>
    <n v="112.3"/>
    <n v="117.2"/>
    <n v="123.6"/>
    <n v="1"/>
  </r>
  <r>
    <x v="1"/>
    <x v="3"/>
    <x v="8"/>
    <n v="124.7"/>
    <n v="131.30000000000001"/>
    <n v="121.3"/>
    <n v="128.80000000000001"/>
    <n v="114"/>
    <n v="134.19999999999999"/>
    <n v="153.6"/>
    <n v="137.9"/>
    <n v="93.1"/>
    <n v="123.9"/>
    <n v="121.5"/>
    <n v="132.5"/>
    <n v="129.80000000000001"/>
    <n v="130.1"/>
    <n v="129.5"/>
    <n v="126.3"/>
    <n v="129"/>
    <s v="NA"/>
    <n v="123.8"/>
    <n v="123.7"/>
    <n v="121.1"/>
    <n v="113.6"/>
    <n v="118.5"/>
    <n v="123.6"/>
    <n v="112.5"/>
    <n v="118.2"/>
    <n v="126.1"/>
    <n v="1"/>
  </r>
  <r>
    <x v="2"/>
    <x v="3"/>
    <x v="8"/>
    <n v="123.1"/>
    <n v="131.69999999999999"/>
    <n v="118.1"/>
    <n v="128"/>
    <n v="106.8"/>
    <n v="130.1"/>
    <n v="165.5"/>
    <n v="156"/>
    <n v="85.3"/>
    <n v="132.69999999999999"/>
    <n v="118.8"/>
    <n v="131.69999999999999"/>
    <n v="131.1"/>
    <n v="134.19999999999999"/>
    <n v="123.7"/>
    <n v="118.2"/>
    <n v="122.9"/>
    <n v="120.9"/>
    <n v="115.3"/>
    <n v="120"/>
    <n v="116.6"/>
    <n v="109.9"/>
    <n v="117.2"/>
    <n v="126.2"/>
    <n v="112"/>
    <n v="116.2"/>
    <n v="123.2"/>
    <n v="1"/>
  </r>
  <r>
    <x v="3"/>
    <x v="3"/>
    <x v="8"/>
    <n v="124.2"/>
    <n v="131.4"/>
    <n v="120.1"/>
    <n v="128.5"/>
    <n v="111.4"/>
    <n v="132.30000000000001"/>
    <n v="157.6"/>
    <n v="144"/>
    <n v="90.5"/>
    <n v="126.8"/>
    <n v="120.4"/>
    <n v="132.1"/>
    <n v="130.30000000000001"/>
    <n v="131.19999999999999"/>
    <n v="127.2"/>
    <n v="122.9"/>
    <n v="126.6"/>
    <n v="120.9"/>
    <n v="120.6"/>
    <n v="122"/>
    <n v="119.4"/>
    <n v="111.7"/>
    <n v="117.8"/>
    <n v="125.1"/>
    <n v="112.3"/>
    <n v="117.2"/>
    <n v="124.8"/>
    <n v="1"/>
  </r>
  <r>
    <x v="1"/>
    <x v="3"/>
    <x v="9"/>
    <n v="125.1"/>
    <n v="131.1"/>
    <n v="120.7"/>
    <n v="129.19999999999999"/>
    <n v="114.7"/>
    <n v="132.30000000000001"/>
    <n v="158.9"/>
    <n v="142.1"/>
    <n v="92.5"/>
    <n v="125.4"/>
    <n v="121.9"/>
    <n v="132.69999999999999"/>
    <n v="131"/>
    <n v="131"/>
    <n v="130.4"/>
    <n v="126.8"/>
    <n v="129.9"/>
    <s v="NA"/>
    <n v="123.7"/>
    <n v="124.5"/>
    <n v="121.4"/>
    <n v="113.8"/>
    <n v="119.6"/>
    <n v="124.5"/>
    <n v="113.7"/>
    <n v="118.8"/>
    <n v="127"/>
    <n v="1"/>
  </r>
  <r>
    <x v="2"/>
    <x v="3"/>
    <x v="9"/>
    <n v="123.4"/>
    <n v="129"/>
    <n v="115.6"/>
    <n v="128.30000000000001"/>
    <n v="107"/>
    <n v="124"/>
    <n v="168.5"/>
    <n v="165.4"/>
    <n v="86.3"/>
    <n v="134.4"/>
    <n v="119.1"/>
    <n v="132.30000000000001"/>
    <n v="131.5"/>
    <n v="134.69999999999999"/>
    <n v="124"/>
    <n v="118.6"/>
    <n v="123.2"/>
    <n v="121.6"/>
    <n v="115.1"/>
    <n v="120.4"/>
    <n v="117.1"/>
    <n v="109.1"/>
    <n v="117.3"/>
    <n v="126.5"/>
    <n v="112.9"/>
    <n v="116.2"/>
    <n v="123.5"/>
    <n v="1"/>
  </r>
  <r>
    <x v="3"/>
    <x v="3"/>
    <x v="9"/>
    <n v="124.6"/>
    <n v="130.4"/>
    <n v="118.7"/>
    <n v="128.9"/>
    <n v="111.9"/>
    <n v="128.4"/>
    <n v="162.19999999999999"/>
    <n v="150"/>
    <n v="90.4"/>
    <n v="128.4"/>
    <n v="120.7"/>
    <n v="132.5"/>
    <n v="131.19999999999999"/>
    <n v="132"/>
    <n v="127.9"/>
    <n v="123.4"/>
    <n v="127.2"/>
    <n v="121.6"/>
    <n v="120.4"/>
    <n v="122.6"/>
    <n v="119.8"/>
    <n v="111.3"/>
    <n v="118.3"/>
    <n v="125.7"/>
    <n v="113.4"/>
    <n v="117.5"/>
    <n v="125.4"/>
    <n v="1"/>
  </r>
  <r>
    <x v="1"/>
    <x v="3"/>
    <x v="10"/>
    <n v="125.6"/>
    <n v="130.4"/>
    <n v="120.8"/>
    <n v="129.4"/>
    <n v="115.8"/>
    <n v="133.19999999999999"/>
    <n v="157.69999999999999"/>
    <n v="154.19999999999999"/>
    <n v="93.7"/>
    <n v="126.6"/>
    <n v="122.3"/>
    <n v="133.1"/>
    <n v="131.80000000000001"/>
    <n v="131.5"/>
    <n v="131.1"/>
    <n v="127.3"/>
    <n v="130.6"/>
    <s v="NA"/>
    <n v="124.4"/>
    <n v="125.1"/>
    <n v="122"/>
    <n v="113.8"/>
    <n v="120.1"/>
    <n v="125.1"/>
    <n v="114.2"/>
    <n v="119.2"/>
    <n v="127.7"/>
    <n v="1"/>
  </r>
  <r>
    <x v="2"/>
    <x v="3"/>
    <x v="10"/>
    <n v="123.6"/>
    <n v="128.6"/>
    <n v="115.9"/>
    <n v="128.5"/>
    <n v="109"/>
    <n v="124.1"/>
    <n v="165.8"/>
    <n v="187.2"/>
    <n v="89.4"/>
    <n v="135.80000000000001"/>
    <n v="119.4"/>
    <n v="132.9"/>
    <n v="132.6"/>
    <n v="135.30000000000001"/>
    <n v="124.4"/>
    <n v="118.8"/>
    <n v="123.6"/>
    <n v="122.4"/>
    <n v="114.9"/>
    <n v="120.7"/>
    <n v="117.7"/>
    <n v="109.3"/>
    <n v="117.7"/>
    <n v="126.5"/>
    <n v="113.5"/>
    <n v="116.5"/>
    <n v="124.2"/>
    <n v="1"/>
  </r>
  <r>
    <x v="3"/>
    <x v="3"/>
    <x v="10"/>
    <n v="125"/>
    <n v="129.80000000000001"/>
    <n v="118.9"/>
    <n v="129.1"/>
    <n v="113.3"/>
    <n v="129"/>
    <n v="160.4"/>
    <n v="165.3"/>
    <n v="92.3"/>
    <n v="129.69999999999999"/>
    <n v="121.1"/>
    <n v="133"/>
    <n v="132.1"/>
    <n v="132.5"/>
    <n v="128.5"/>
    <n v="123.8"/>
    <n v="127.8"/>
    <n v="122.4"/>
    <n v="120.8"/>
    <n v="123"/>
    <n v="120.4"/>
    <n v="111.4"/>
    <n v="118.7"/>
    <n v="125.9"/>
    <n v="113.9"/>
    <n v="117.9"/>
    <n v="126.1"/>
    <n v="1"/>
  </r>
  <r>
    <x v="1"/>
    <x v="3"/>
    <x v="11"/>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n v="1"/>
  </r>
  <r>
    <x v="2"/>
    <x v="3"/>
    <x v="11"/>
    <n v="124"/>
    <n v="129.80000000000001"/>
    <n v="121.5"/>
    <n v="128.6"/>
    <n v="110"/>
    <n v="123.7"/>
    <n v="164.6"/>
    <n v="191.6"/>
    <n v="90.8"/>
    <n v="137.1"/>
    <n v="119.8"/>
    <n v="133.69999999999999"/>
    <n v="133.30000000000001"/>
    <n v="137.6"/>
    <n v="125"/>
    <n v="119.3"/>
    <n v="124.2"/>
    <n v="122.9"/>
    <n v="115.1"/>
    <n v="121"/>
    <n v="118.1"/>
    <n v="109.3"/>
    <n v="117.9"/>
    <n v="126.6"/>
    <n v="113.3"/>
    <n v="116.6"/>
    <n v="124.6"/>
    <n v="1"/>
  </r>
  <r>
    <x v="3"/>
    <x v="3"/>
    <x v="11"/>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n v="1"/>
  </r>
  <r>
    <x v="1"/>
    <x v="3"/>
    <x v="12"/>
    <n v="126.3"/>
    <n v="131.30000000000001"/>
    <n v="123.3"/>
    <n v="129.80000000000001"/>
    <n v="118.3"/>
    <n v="131.6"/>
    <n v="145.5"/>
    <n v="162.1"/>
    <n v="95.4"/>
    <n v="128.9"/>
    <n v="123.3"/>
    <n v="135.1"/>
    <n v="131.4"/>
    <n v="133.1"/>
    <n v="132.5"/>
    <n v="128.5"/>
    <n v="131.9"/>
    <s v="NA"/>
    <n v="125.7"/>
    <n v="126"/>
    <n v="123.1"/>
    <n v="114"/>
    <n v="121.6"/>
    <n v="125.6"/>
    <n v="114.1"/>
    <n v="119.8"/>
    <n v="127.9"/>
    <n v="1"/>
  </r>
  <r>
    <x v="2"/>
    <x v="3"/>
    <x v="12"/>
    <n v="124.3"/>
    <n v="131.69999999999999"/>
    <n v="127.1"/>
    <n v="128.6"/>
    <n v="110"/>
    <n v="120.8"/>
    <n v="149"/>
    <n v="190.1"/>
    <n v="92.7"/>
    <n v="138.6"/>
    <n v="120.2"/>
    <n v="134.19999999999999"/>
    <n v="131.5"/>
    <n v="138.19999999999999"/>
    <n v="125.4"/>
    <n v="119.5"/>
    <n v="124.5"/>
    <n v="122.4"/>
    <n v="116"/>
    <n v="121"/>
    <n v="118.6"/>
    <n v="109.3"/>
    <n v="118.1"/>
    <n v="126.6"/>
    <n v="113.2"/>
    <n v="116.7"/>
    <n v="124"/>
    <n v="1"/>
  </r>
  <r>
    <x v="3"/>
    <x v="3"/>
    <x v="12"/>
    <n v="125.7"/>
    <n v="131.4"/>
    <n v="124.8"/>
    <n v="129.4"/>
    <n v="115.3"/>
    <n v="126.6"/>
    <n v="146.69999999999999"/>
    <n v="171.5"/>
    <n v="94.5"/>
    <n v="132.1"/>
    <n v="122"/>
    <n v="134.69999999999999"/>
    <n v="131.4"/>
    <n v="134.5"/>
    <n v="129.69999999999999"/>
    <n v="124.8"/>
    <n v="129"/>
    <n v="122.4"/>
    <n v="122"/>
    <n v="123.6"/>
    <n v="121.4"/>
    <n v="111.5"/>
    <n v="119.6"/>
    <n v="126.2"/>
    <n v="113.7"/>
    <n v="118.3"/>
    <n v="126.1"/>
    <n v="1"/>
  </r>
  <r>
    <x v="1"/>
    <x v="4"/>
    <x v="1"/>
    <n v="126.8"/>
    <n v="133.19999999999999"/>
    <n v="126.5"/>
    <n v="130.30000000000001"/>
    <n v="118.9"/>
    <n v="131.6"/>
    <n v="140.1"/>
    <n v="163.80000000000001"/>
    <n v="97.7"/>
    <n v="129.6"/>
    <n v="124.3"/>
    <n v="135.9"/>
    <n v="131.4"/>
    <n v="133.6"/>
    <n v="133.19999999999999"/>
    <n v="128.9"/>
    <n v="132.6"/>
    <s v="NA"/>
    <n v="126.2"/>
    <n v="126.6"/>
    <n v="123.7"/>
    <n v="113.6"/>
    <n v="121.4"/>
    <n v="126.2"/>
    <n v="114.9"/>
    <n v="120.1"/>
    <n v="128.1"/>
    <n v="1"/>
  </r>
  <r>
    <x v="2"/>
    <x v="4"/>
    <x v="1"/>
    <n v="124.7"/>
    <n v="135.9"/>
    <n v="132"/>
    <n v="129.19999999999999"/>
    <n v="109.7"/>
    <n v="119"/>
    <n v="144.1"/>
    <n v="184.2"/>
    <n v="96.7"/>
    <n v="139.5"/>
    <n v="120.5"/>
    <n v="134.69999999999999"/>
    <n v="131.19999999999999"/>
    <n v="139.5"/>
    <n v="125.8"/>
    <n v="119.8"/>
    <n v="124.9"/>
    <n v="123.4"/>
    <n v="116.9"/>
    <n v="121.6"/>
    <n v="119.1"/>
    <n v="108.9"/>
    <n v="118.5"/>
    <n v="126.4"/>
    <n v="114"/>
    <n v="116.8"/>
    <n v="124.2"/>
    <n v="1"/>
  </r>
  <r>
    <x v="3"/>
    <x v="4"/>
    <x v="1"/>
    <n v="126.1"/>
    <n v="134.1"/>
    <n v="128.6"/>
    <n v="129.9"/>
    <n v="115.5"/>
    <n v="125.7"/>
    <n v="141.5"/>
    <n v="170.7"/>
    <n v="97.4"/>
    <n v="132.9"/>
    <n v="122.7"/>
    <n v="135.30000000000001"/>
    <n v="131.30000000000001"/>
    <n v="135.19999999999999"/>
    <n v="130.30000000000001"/>
    <n v="125.1"/>
    <n v="129.5"/>
    <n v="123.4"/>
    <n v="122.7"/>
    <n v="124.2"/>
    <n v="122"/>
    <n v="111.1"/>
    <n v="119.8"/>
    <n v="126.3"/>
    <n v="114.5"/>
    <n v="118.5"/>
    <n v="126.3"/>
    <n v="1"/>
  </r>
  <r>
    <x v="1"/>
    <x v="4"/>
    <x v="2"/>
    <n v="127.1"/>
    <n v="133.69999999999999"/>
    <n v="127.7"/>
    <n v="130.69999999999999"/>
    <n v="118.5"/>
    <n v="130.4"/>
    <n v="130.9"/>
    <n v="162.80000000000001"/>
    <n v="98.7"/>
    <n v="130.6"/>
    <n v="124.8"/>
    <n v="136.4"/>
    <n v="130.30000000000001"/>
    <n v="134.4"/>
    <n v="133.9"/>
    <n v="129.80000000000001"/>
    <n v="133.4"/>
    <s v="NA"/>
    <n v="127.5"/>
    <n v="127.1"/>
    <n v="124.3"/>
    <n v="113.9"/>
    <n v="122.3"/>
    <n v="127.1"/>
    <n v="116.8"/>
    <n v="120.9"/>
    <n v="127.9"/>
    <n v="1"/>
  </r>
  <r>
    <x v="2"/>
    <x v="4"/>
    <x v="2"/>
    <n v="124.8"/>
    <n v="135.1"/>
    <n v="130.30000000000001"/>
    <n v="129.6"/>
    <n v="108.4"/>
    <n v="118.6"/>
    <n v="129.19999999999999"/>
    <n v="176.4"/>
    <n v="99.1"/>
    <n v="139.69999999999999"/>
    <n v="120.6"/>
    <n v="135.19999999999999"/>
    <n v="129.1"/>
    <n v="140"/>
    <n v="126.2"/>
    <n v="120.1"/>
    <n v="125.3"/>
    <n v="124.4"/>
    <n v="116"/>
    <n v="121.8"/>
    <n v="119.5"/>
    <n v="109.1"/>
    <n v="118.8"/>
    <n v="126.3"/>
    <n v="116.2"/>
    <n v="117.2"/>
    <n v="123.8"/>
    <n v="1"/>
  </r>
  <r>
    <x v="3"/>
    <x v="4"/>
    <x v="2"/>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n v="1"/>
  </r>
  <r>
    <x v="1"/>
    <x v="4"/>
    <x v="3"/>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n v="1"/>
  </r>
  <r>
    <x v="2"/>
    <x v="4"/>
    <x v="3"/>
    <n v="124.8"/>
    <n v="136.30000000000001"/>
    <n v="123.7"/>
    <n v="129.69999999999999"/>
    <n v="107.9"/>
    <n v="119.9"/>
    <n v="128.1"/>
    <n v="170.3"/>
    <n v="101.8"/>
    <n v="140.1"/>
    <n v="120.7"/>
    <n v="135.4"/>
    <n v="128.9"/>
    <n v="140.6"/>
    <n v="126.4"/>
    <n v="120.3"/>
    <n v="125.5"/>
    <n v="124.9"/>
    <n v="114.8"/>
    <n v="122.3"/>
    <n v="119.7"/>
    <n v="108.5"/>
    <n v="119.1"/>
    <n v="126.4"/>
    <n v="117.1"/>
    <n v="117.3"/>
    <n v="123.8"/>
    <n v="1"/>
  </r>
  <r>
    <x v="3"/>
    <x v="4"/>
    <x v="3"/>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n v="1"/>
  </r>
  <r>
    <x v="1"/>
    <x v="4"/>
    <x v="4"/>
    <n v="127.4"/>
    <n v="135.4"/>
    <n v="123.4"/>
    <n v="131.30000000000001"/>
    <n v="118.2"/>
    <n v="138.1"/>
    <n v="134.1"/>
    <n v="162.69999999999999"/>
    <n v="105"/>
    <n v="131.4"/>
    <n v="125.4"/>
    <n v="137.4"/>
    <n v="131.80000000000001"/>
    <n v="135.5"/>
    <n v="135"/>
    <n v="130.6"/>
    <n v="134.4"/>
    <s v="NA"/>
    <n v="127"/>
    <n v="128"/>
    <n v="125.2"/>
    <n v="114.4"/>
    <n v="123.2"/>
    <n v="127.9"/>
    <n v="118.4"/>
    <n v="121.7"/>
    <n v="129"/>
    <n v="1"/>
  </r>
  <r>
    <x v="2"/>
    <x v="4"/>
    <x v="4"/>
    <n v="124.9"/>
    <n v="139.30000000000001"/>
    <n v="119.9"/>
    <n v="130.19999999999999"/>
    <n v="108.9"/>
    <n v="131.1"/>
    <n v="136.80000000000001"/>
    <n v="176.9"/>
    <n v="109.1"/>
    <n v="140.4"/>
    <n v="121.1"/>
    <n v="135.9"/>
    <n v="131.80000000000001"/>
    <n v="141.5"/>
    <n v="126.8"/>
    <n v="120.5"/>
    <n v="125.8"/>
    <n v="125.6"/>
    <n v="114.6"/>
    <n v="122.8"/>
    <n v="120"/>
    <n v="110"/>
    <n v="119.5"/>
    <n v="127.6"/>
    <n v="117.6"/>
    <n v="118.2"/>
    <n v="125.3"/>
    <n v="1"/>
  </r>
  <r>
    <x v="3"/>
    <x v="4"/>
    <x v="4"/>
    <n v="126.6"/>
    <n v="136.80000000000001"/>
    <n v="122"/>
    <n v="130.9"/>
    <n v="114.8"/>
    <n v="134.80000000000001"/>
    <n v="135"/>
    <n v="167.5"/>
    <n v="106.4"/>
    <n v="134.4"/>
    <n v="123.6"/>
    <n v="136.69999999999999"/>
    <n v="131.80000000000001"/>
    <n v="137.1"/>
    <n v="131.80000000000001"/>
    <n v="126.4"/>
    <n v="131"/>
    <n v="125.6"/>
    <n v="122.3"/>
    <n v="125.5"/>
    <n v="123.2"/>
    <n v="112.1"/>
    <n v="121.1"/>
    <n v="127.7"/>
    <n v="118.1"/>
    <n v="120"/>
    <n v="127.3"/>
    <n v="1"/>
  </r>
  <r>
    <x v="1"/>
    <x v="4"/>
    <x v="5"/>
    <n v="127.6"/>
    <n v="137.5"/>
    <n v="124.4"/>
    <n v="132.4"/>
    <n v="118.2"/>
    <n v="138.1"/>
    <n v="141.80000000000001"/>
    <n v="166"/>
    <n v="107.5"/>
    <n v="132.19999999999999"/>
    <n v="126.1"/>
    <n v="138.30000000000001"/>
    <n v="133.6"/>
    <n v="136"/>
    <n v="135.4"/>
    <n v="131.1"/>
    <n v="134.80000000000001"/>
    <s v="NA"/>
    <n v="127.4"/>
    <n v="128.5"/>
    <n v="125.8"/>
    <n v="115.1"/>
    <n v="123.6"/>
    <n v="129.1"/>
    <n v="119.7"/>
    <n v="122.5"/>
    <n v="130.30000000000001"/>
    <n v="1"/>
  </r>
  <r>
    <x v="2"/>
    <x v="4"/>
    <x v="5"/>
    <n v="125"/>
    <n v="142.1"/>
    <n v="127"/>
    <n v="130.4"/>
    <n v="109.6"/>
    <n v="133.5"/>
    <n v="151.4"/>
    <n v="182.8"/>
    <n v="111.1"/>
    <n v="141.5"/>
    <n v="121.5"/>
    <n v="136.30000000000001"/>
    <n v="134.6"/>
    <n v="142.19999999999999"/>
    <n v="127.2"/>
    <n v="120.7"/>
    <n v="126.2"/>
    <n v="126"/>
    <n v="115"/>
    <n v="123.2"/>
    <n v="120.3"/>
    <n v="110.7"/>
    <n v="119.8"/>
    <n v="128"/>
    <n v="118.5"/>
    <n v="118.7"/>
    <n v="126.6"/>
    <n v="1"/>
  </r>
  <r>
    <x v="3"/>
    <x v="4"/>
    <x v="5"/>
    <n v="126.8"/>
    <n v="139.1"/>
    <n v="125.4"/>
    <n v="131.69999999999999"/>
    <n v="115"/>
    <n v="136"/>
    <n v="145.1"/>
    <n v="171.7"/>
    <n v="108.7"/>
    <n v="135.30000000000001"/>
    <n v="124.2"/>
    <n v="137.4"/>
    <n v="134"/>
    <n v="137.69999999999999"/>
    <n v="132.19999999999999"/>
    <n v="126.8"/>
    <n v="131.4"/>
    <n v="126"/>
    <n v="122.7"/>
    <n v="126"/>
    <n v="123.7"/>
    <n v="112.8"/>
    <n v="121.5"/>
    <n v="128.5"/>
    <n v="119.2"/>
    <n v="120.7"/>
    <n v="128.6"/>
    <n v="1"/>
  </r>
  <r>
    <x v="1"/>
    <x v="4"/>
    <x v="6"/>
    <n v="128.6"/>
    <n v="138.6"/>
    <n v="126.6"/>
    <n v="133.6"/>
    <n v="118.6"/>
    <n v="137.4"/>
    <n v="152.5"/>
    <n v="169.2"/>
    <n v="108.8"/>
    <n v="133.1"/>
    <n v="126.4"/>
    <n v="139.19999999999999"/>
    <n v="136"/>
    <n v="137.19999999999999"/>
    <n v="136.30000000000001"/>
    <n v="131.6"/>
    <n v="135.6"/>
    <s v="NA"/>
    <n v="128"/>
    <n v="129.30000000000001"/>
    <n v="126.2"/>
    <n v="116.3"/>
    <n v="124.1"/>
    <n v="130.19999999999999"/>
    <n v="119.9"/>
    <n v="123.3"/>
    <n v="131.9"/>
    <n v="1"/>
  </r>
  <r>
    <x v="2"/>
    <x v="4"/>
    <x v="6"/>
    <n v="125.9"/>
    <n v="143.9"/>
    <n v="130.9"/>
    <n v="131"/>
    <n v="110.2"/>
    <n v="135.5"/>
    <n v="173.7"/>
    <n v="184.4"/>
    <n v="112"/>
    <n v="142.80000000000001"/>
    <n v="121.6"/>
    <n v="136.9"/>
    <n v="138.19999999999999"/>
    <n v="142.69999999999999"/>
    <n v="127.6"/>
    <n v="121.1"/>
    <n v="126.6"/>
    <n v="125.5"/>
    <n v="115.5"/>
    <n v="123.2"/>
    <n v="120.6"/>
    <n v="112.3"/>
    <n v="119.9"/>
    <n v="129.30000000000001"/>
    <n v="118.8"/>
    <n v="119.6"/>
    <n v="128.1"/>
    <n v="1"/>
  </r>
  <r>
    <x v="3"/>
    <x v="4"/>
    <x v="6"/>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n v="1"/>
  </r>
  <r>
    <x v="1"/>
    <x v="4"/>
    <x v="7"/>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n v="1"/>
  </r>
  <r>
    <x v="2"/>
    <x v="4"/>
    <x v="7"/>
    <n v="126.8"/>
    <n v="144.19999999999999"/>
    <n v="136.6"/>
    <n v="131.80000000000001"/>
    <n v="111"/>
    <n v="137"/>
    <n v="179.5"/>
    <n v="188.4"/>
    <n v="113.3"/>
    <n v="143.9"/>
    <n v="121.7"/>
    <n v="137.5"/>
    <n v="139.80000000000001"/>
    <n v="142.9"/>
    <n v="127.9"/>
    <n v="121.1"/>
    <n v="126.9"/>
    <n v="126.4"/>
    <n v="115.5"/>
    <n v="123.5"/>
    <n v="120.9"/>
    <n v="111.7"/>
    <n v="120.3"/>
    <n v="130.80000000000001"/>
    <n v="120"/>
    <n v="119.9"/>
    <n v="129"/>
    <n v="1"/>
  </r>
  <r>
    <x v="3"/>
    <x v="4"/>
    <x v="7"/>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n v="1"/>
  </r>
  <r>
    <x v="1"/>
    <x v="4"/>
    <x v="8"/>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n v="1"/>
  </r>
  <r>
    <x v="2"/>
    <x v="4"/>
    <x v="8"/>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n v="1"/>
  </r>
  <r>
    <x v="3"/>
    <x v="4"/>
    <x v="8"/>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n v="1"/>
  </r>
  <r>
    <x v="1"/>
    <x v="4"/>
    <x v="9"/>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n v="1"/>
  </r>
  <r>
    <x v="2"/>
    <x v="4"/>
    <x v="9"/>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n v="1"/>
  </r>
  <r>
    <x v="3"/>
    <x v="4"/>
    <x v="9"/>
    <n v="129.9"/>
    <n v="138"/>
    <n v="130.5"/>
    <n v="134.4"/>
    <n v="117.2"/>
    <n v="136.1"/>
    <n v="150.69999999999999"/>
    <n v="171.5"/>
    <n v="113.8"/>
    <n v="138.80000000000001"/>
    <n v="126"/>
    <n v="140.19999999999999"/>
    <n v="136.6"/>
    <n v="141"/>
    <n v="134.6"/>
    <n v="128.6"/>
    <n v="133.80000000000001"/>
    <n v="127.9"/>
    <n v="124.1"/>
    <n v="127.9"/>
    <n v="125.4"/>
    <n v="114.3"/>
    <n v="122.9"/>
    <n v="131.80000000000001"/>
    <n v="122.1"/>
    <n v="122.8"/>
    <n v="130.9"/>
    <n v="1"/>
  </r>
  <r>
    <x v="1"/>
    <x v="4"/>
    <x v="10"/>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n v="1"/>
  </r>
  <r>
    <x v="2"/>
    <x v="4"/>
    <x v="10"/>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n v="1"/>
  </r>
  <r>
    <x v="3"/>
    <x v="4"/>
    <x v="10"/>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n v="1"/>
  </r>
  <r>
    <x v="1"/>
    <x v="4"/>
    <x v="11"/>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n v="1"/>
  </r>
  <r>
    <x v="2"/>
    <x v="4"/>
    <x v="11"/>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n v="1"/>
  </r>
  <r>
    <x v="3"/>
    <x v="4"/>
    <x v="11"/>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n v="1"/>
  </r>
  <r>
    <x v="1"/>
    <x v="4"/>
    <x v="12"/>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n v="1"/>
  </r>
  <r>
    <x v="2"/>
    <x v="4"/>
    <x v="12"/>
    <n v="131.6"/>
    <n v="138.19999999999999"/>
    <n v="134.9"/>
    <n v="133.1"/>
    <n v="113.5"/>
    <n v="129.30000000000001"/>
    <n v="121.1"/>
    <n v="170.3"/>
    <n v="115.5"/>
    <n v="145.5"/>
    <n v="123.1"/>
    <n v="140.9"/>
    <n v="132.80000000000001"/>
    <n v="145"/>
    <n v="130"/>
    <n v="122.2"/>
    <n v="128.80000000000001"/>
    <n v="128.5"/>
    <n v="117.8"/>
    <n v="125"/>
    <n v="122.3"/>
    <n v="113.7"/>
    <n v="121.8"/>
    <n v="132.30000000000001"/>
    <n v="119.9"/>
    <n v="121.4"/>
    <n v="127.6"/>
    <n v="1"/>
  </r>
  <r>
    <x v="3"/>
    <x v="4"/>
    <x v="12"/>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n v="1"/>
  </r>
  <r>
    <x v="1"/>
    <x v="5"/>
    <x v="1"/>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n v="1"/>
  </r>
  <r>
    <x v="2"/>
    <x v="5"/>
    <x v="1"/>
    <n v="132.19999999999999"/>
    <n v="138.9"/>
    <n v="132.6"/>
    <n v="133.1"/>
    <n v="114"/>
    <n v="129.6"/>
    <n v="118.7"/>
    <n v="155.1"/>
    <n v="117.3"/>
    <n v="144.9"/>
    <n v="123.2"/>
    <n v="141.6"/>
    <n v="132"/>
    <n v="145.6"/>
    <n v="130.19999999999999"/>
    <n v="122.3"/>
    <n v="129"/>
    <n v="129.6"/>
    <n v="118"/>
    <n v="125.1"/>
    <n v="122.6"/>
    <n v="115.2"/>
    <n v="122"/>
    <n v="132.4"/>
    <n v="120.9"/>
    <n v="122.1"/>
    <n v="127.8"/>
    <n v="1"/>
  </r>
  <r>
    <x v="3"/>
    <x v="5"/>
    <x v="1"/>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n v="1"/>
  </r>
  <r>
    <x v="1"/>
    <x v="5"/>
    <x v="2"/>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n v="1"/>
  </r>
  <r>
    <x v="2"/>
    <x v="5"/>
    <x v="2"/>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n v="1"/>
  </r>
  <r>
    <x v="3"/>
    <x v="5"/>
    <x v="2"/>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n v="1"/>
  </r>
  <r>
    <x v="1"/>
    <x v="5"/>
    <x v="3"/>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n v="1"/>
  </r>
  <r>
    <x v="2"/>
    <x v="5"/>
    <x v="3"/>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n v="1"/>
  </r>
  <r>
    <x v="3"/>
    <x v="5"/>
    <x v="3"/>
    <n v="133.30000000000001"/>
    <n v="139"/>
    <n v="128.6"/>
    <n v="136.30000000000001"/>
    <n v="118.8"/>
    <n v="138.30000000000001"/>
    <n v="120.5"/>
    <n v="143.9"/>
    <n v="118"/>
    <n v="137.9"/>
    <n v="127.2"/>
    <n v="144"/>
    <n v="133.1"/>
    <n v="145.1"/>
    <n v="137.30000000000001"/>
    <n v="130.6"/>
    <n v="136.4"/>
    <n v="131.1"/>
    <n v="129.1"/>
    <n v="130.1"/>
    <n v="127.8"/>
    <n v="117.6"/>
    <n v="125"/>
    <n v="133.80000000000001"/>
    <n v="122.6"/>
    <n v="125.1"/>
    <n v="130.9"/>
    <n v="1"/>
  </r>
  <r>
    <x v="1"/>
    <x v="5"/>
    <x v="4"/>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n v="1"/>
  </r>
  <r>
    <x v="2"/>
    <x v="5"/>
    <x v="4"/>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n v="1"/>
  </r>
  <r>
    <x v="3"/>
    <x v="5"/>
    <x v="4"/>
    <n v="133"/>
    <n v="139.4"/>
    <n v="126.1"/>
    <n v="137.19999999999999"/>
    <n v="118.4"/>
    <n v="139.9"/>
    <n v="123.4"/>
    <n v="140.9"/>
    <n v="118.5"/>
    <n v="136.5"/>
    <n v="127.4"/>
    <n v="144.19999999999999"/>
    <n v="133.5"/>
    <n v="145.4"/>
    <n v="138"/>
    <n v="131.1"/>
    <n v="137"/>
    <n v="131.69999999999999"/>
    <n v="129.80000000000001"/>
    <n v="130.4"/>
    <n v="128.1"/>
    <n v="116.6"/>
    <n v="125.1"/>
    <n v="134.5"/>
    <n v="123.1"/>
    <n v="125.1"/>
    <n v="131.1"/>
    <n v="1"/>
  </r>
  <r>
    <x v="1"/>
    <x v="5"/>
    <x v="5"/>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n v="1"/>
  </r>
  <r>
    <x v="2"/>
    <x v="5"/>
    <x v="5"/>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n v="1"/>
  </r>
  <r>
    <x v="3"/>
    <x v="5"/>
    <x v="5"/>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n v="1"/>
  </r>
  <r>
    <x v="1"/>
    <x v="5"/>
    <x v="6"/>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n v="1"/>
  </r>
  <r>
    <x v="2"/>
    <x v="5"/>
    <x v="6"/>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n v="1"/>
  </r>
  <r>
    <x v="3"/>
    <x v="5"/>
    <x v="6"/>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n v="1"/>
  </r>
  <r>
    <x v="1"/>
    <x v="5"/>
    <x v="7"/>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n v="1"/>
  </r>
  <r>
    <x v="2"/>
    <x v="5"/>
    <x v="7"/>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n v="1"/>
  </r>
  <r>
    <x v="3"/>
    <x v="5"/>
    <x v="7"/>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n v="1"/>
  </r>
  <r>
    <x v="1"/>
    <x v="5"/>
    <x v="8"/>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n v="1"/>
  </r>
  <r>
    <x v="2"/>
    <x v="5"/>
    <x v="8"/>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n v="1"/>
  </r>
  <r>
    <x v="3"/>
    <x v="5"/>
    <x v="8"/>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n v="1"/>
  </r>
  <r>
    <x v="1"/>
    <x v="5"/>
    <x v="9"/>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n v="1"/>
  </r>
  <r>
    <x v="2"/>
    <x v="5"/>
    <x v="9"/>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n v="1"/>
  </r>
  <r>
    <x v="3"/>
    <x v="5"/>
    <x v="9"/>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n v="1"/>
  </r>
  <r>
    <x v="1"/>
    <x v="5"/>
    <x v="10"/>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n v="1"/>
  </r>
  <r>
    <x v="2"/>
    <x v="5"/>
    <x v="10"/>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n v="1"/>
  </r>
  <r>
    <x v="3"/>
    <x v="5"/>
    <x v="10"/>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n v="1"/>
  </r>
  <r>
    <x v="1"/>
    <x v="5"/>
    <x v="11"/>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n v="1"/>
  </r>
  <r>
    <x v="2"/>
    <x v="5"/>
    <x v="11"/>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n v="1"/>
  </r>
  <r>
    <x v="3"/>
    <x v="5"/>
    <x v="11"/>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n v="1"/>
  </r>
  <r>
    <x v="1"/>
    <x v="5"/>
    <x v="12"/>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n v="1"/>
  </r>
  <r>
    <x v="2"/>
    <x v="5"/>
    <x v="12"/>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n v="1"/>
  </r>
  <r>
    <x v="3"/>
    <x v="5"/>
    <x v="12"/>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n v="1"/>
  </r>
  <r>
    <x v="1"/>
    <x v="6"/>
    <x v="1"/>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n v="1"/>
  </r>
  <r>
    <x v="2"/>
    <x v="6"/>
    <x v="1"/>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n v="1"/>
  </r>
  <r>
    <x v="3"/>
    <x v="6"/>
    <x v="1"/>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n v="1"/>
  </r>
  <r>
    <x v="1"/>
    <x v="6"/>
    <x v="2"/>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n v="1"/>
  </r>
  <r>
    <x v="2"/>
    <x v="6"/>
    <x v="2"/>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n v="1"/>
  </r>
  <r>
    <x v="3"/>
    <x v="6"/>
    <x v="2"/>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n v="1"/>
  </r>
  <r>
    <x v="1"/>
    <x v="6"/>
    <x v="3"/>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n v="1"/>
  </r>
  <r>
    <x v="2"/>
    <x v="6"/>
    <x v="3"/>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n v="1"/>
  </r>
  <r>
    <x v="3"/>
    <x v="6"/>
    <x v="3"/>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n v="1"/>
  </r>
  <r>
    <x v="1"/>
    <x v="6"/>
    <x v="4"/>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n v="1"/>
  </r>
  <r>
    <x v="2"/>
    <x v="6"/>
    <x v="4"/>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n v="1"/>
  </r>
  <r>
    <x v="3"/>
    <x v="6"/>
    <x v="4"/>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n v="1"/>
  </r>
  <r>
    <x v="1"/>
    <x v="6"/>
    <x v="5"/>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n v="1"/>
  </r>
  <r>
    <x v="2"/>
    <x v="6"/>
    <x v="5"/>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n v="1"/>
  </r>
  <r>
    <x v="3"/>
    <x v="6"/>
    <x v="5"/>
    <n v="136.6"/>
    <n v="146.6"/>
    <n v="133.6"/>
    <n v="142.1"/>
    <n v="121"/>
    <n v="154.6"/>
    <n v="135.6"/>
    <n v="122.3"/>
    <n v="109.6"/>
    <n v="138.1"/>
    <n v="129.9"/>
    <n v="151.69999999999999"/>
    <n v="138.1"/>
    <n v="157.9"/>
    <n v="146"/>
    <n v="137.4"/>
    <n v="144.69999999999999"/>
    <n v="143.19999999999999"/>
    <n v="136.9"/>
    <n v="137.4"/>
    <n v="136"/>
    <n v="122.9"/>
    <n v="131.80000000000001"/>
    <n v="142.1"/>
    <n v="129.9"/>
    <n v="132.1"/>
    <n v="137.80000000000001"/>
    <n v="1"/>
  </r>
  <r>
    <x v="1"/>
    <x v="6"/>
    <x v="6"/>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n v="1"/>
  </r>
  <r>
    <x v="2"/>
    <x v="6"/>
    <x v="6"/>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n v="1"/>
  </r>
  <r>
    <x v="3"/>
    <x v="6"/>
    <x v="6"/>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n v="1"/>
  </r>
  <r>
    <x v="1"/>
    <x v="6"/>
    <x v="7"/>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n v="1"/>
  </r>
  <r>
    <x v="2"/>
    <x v="6"/>
    <x v="7"/>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n v="1"/>
  </r>
  <r>
    <x v="3"/>
    <x v="6"/>
    <x v="7"/>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n v="1"/>
  </r>
  <r>
    <x v="1"/>
    <x v="6"/>
    <x v="8"/>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n v="1"/>
  </r>
  <r>
    <x v="2"/>
    <x v="6"/>
    <x v="8"/>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n v="1"/>
  </r>
  <r>
    <x v="3"/>
    <x v="6"/>
    <x v="8"/>
    <n v="138.30000000000001"/>
    <n v="148"/>
    <n v="138.1"/>
    <n v="142.6"/>
    <n v="122.2"/>
    <n v="150.6"/>
    <n v="156.6"/>
    <n v="122.4"/>
    <n v="114.7"/>
    <n v="139.4"/>
    <n v="131.1"/>
    <n v="153"/>
    <n v="141.69999999999999"/>
    <n v="157.9"/>
    <n v="147.30000000000001"/>
    <n v="138.80000000000001"/>
    <n v="146.1"/>
    <n v="144.6"/>
    <n v="140.9"/>
    <n v="139.4"/>
    <n v="137.69999999999999"/>
    <n v="124.3"/>
    <n v="133.6"/>
    <n v="146"/>
    <n v="130.1"/>
    <n v="133.9"/>
    <n v="140.4"/>
    <n v="1"/>
  </r>
  <r>
    <x v="1"/>
    <x v="6"/>
    <x v="9"/>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n v="1"/>
  </r>
  <r>
    <x v="2"/>
    <x v="6"/>
    <x v="9"/>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n v="1"/>
  </r>
  <r>
    <x v="3"/>
    <x v="6"/>
    <x v="9"/>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n v="1"/>
  </r>
  <r>
    <x v="1"/>
    <x v="6"/>
    <x v="10"/>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n v="1"/>
  </r>
  <r>
    <x v="2"/>
    <x v="6"/>
    <x v="10"/>
    <n v="137.6"/>
    <n v="144.9"/>
    <n v="133.5"/>
    <n v="141.5"/>
    <n v="118"/>
    <n v="139.5"/>
    <n v="153"/>
    <n v="113.2"/>
    <n v="112.8"/>
    <n v="141.1"/>
    <n v="127.6"/>
    <n v="152"/>
    <n v="139.4"/>
    <n v="164"/>
    <n v="141.5"/>
    <n v="129.80000000000001"/>
    <n v="139.69999999999999"/>
    <n v="146.30000000000001"/>
    <n v="133.4"/>
    <n v="135.1"/>
    <n v="136.19999999999999"/>
    <n v="123.3"/>
    <n v="130.69999999999999"/>
    <n v="145.5"/>
    <n v="130.4"/>
    <n v="132.5"/>
    <n v="138.9"/>
    <n v="1"/>
  </r>
  <r>
    <x v="3"/>
    <x v="6"/>
    <x v="10"/>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n v="1"/>
  </r>
  <r>
    <x v="1"/>
    <x v="6"/>
    <x v="11"/>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n v="1"/>
  </r>
  <r>
    <x v="2"/>
    <x v="6"/>
    <x v="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n v="1"/>
  </r>
  <r>
    <x v="3"/>
    <x v="6"/>
    <x v="1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n v="1"/>
  </r>
  <r>
    <x v="1"/>
    <x v="6"/>
    <x v="12"/>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n v="1"/>
  </r>
  <r>
    <x v="2"/>
    <x v="6"/>
    <x v="1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n v="1"/>
  </r>
  <r>
    <x v="3"/>
    <x v="6"/>
    <x v="1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n v="1"/>
  </r>
  <r>
    <x v="1"/>
    <x v="7"/>
    <x v="1"/>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n v="1"/>
  </r>
  <r>
    <x v="2"/>
    <x v="7"/>
    <x v="1"/>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n v="1"/>
  </r>
  <r>
    <x v="3"/>
    <x v="7"/>
    <x v="1"/>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n v="1"/>
  </r>
  <r>
    <x v="1"/>
    <x v="7"/>
    <x v="2"/>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n v="1"/>
  </r>
  <r>
    <x v="2"/>
    <x v="7"/>
    <x v="2"/>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n v="1"/>
  </r>
  <r>
    <x v="3"/>
    <x v="7"/>
    <x v="2"/>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n v="1"/>
  </r>
  <r>
    <x v="1"/>
    <x v="7"/>
    <x v="3"/>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n v="1"/>
  </r>
  <r>
    <x v="2"/>
    <x v="7"/>
    <x v="3"/>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n v="1"/>
  </r>
  <r>
    <x v="3"/>
    <x v="7"/>
    <x v="3"/>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n v="1"/>
  </r>
  <r>
    <x v="1"/>
    <x v="7"/>
    <x v="5"/>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n v="1"/>
  </r>
  <r>
    <x v="2"/>
    <x v="7"/>
    <x v="5"/>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n v="1"/>
  </r>
  <r>
    <x v="3"/>
    <x v="7"/>
    <x v="5"/>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n v="1"/>
  </r>
  <r>
    <x v="1"/>
    <x v="7"/>
    <x v="6"/>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n v="1"/>
  </r>
  <r>
    <x v="2"/>
    <x v="7"/>
    <x v="6"/>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n v="1"/>
  </r>
  <r>
    <x v="3"/>
    <x v="7"/>
    <x v="6"/>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n v="1"/>
  </r>
  <r>
    <x v="1"/>
    <x v="7"/>
    <x v="7"/>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n v="1"/>
  </r>
  <r>
    <x v="2"/>
    <x v="7"/>
    <x v="7"/>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n v="1"/>
  </r>
  <r>
    <x v="3"/>
    <x v="7"/>
    <x v="7"/>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n v="1"/>
  </r>
  <r>
    <x v="1"/>
    <x v="7"/>
    <x v="8"/>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n v="1"/>
  </r>
  <r>
    <x v="2"/>
    <x v="7"/>
    <x v="8"/>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n v="1"/>
  </r>
  <r>
    <x v="3"/>
    <x v="7"/>
    <x v="8"/>
    <n v="140.1"/>
    <n v="160.6"/>
    <n v="138.5"/>
    <n v="144.69999999999999"/>
    <n v="122.9"/>
    <n v="149.4"/>
    <n v="167.4"/>
    <n v="130.9"/>
    <n v="112"/>
    <n v="142.6"/>
    <n v="134.9"/>
    <n v="156.6"/>
    <n v="145.9"/>
    <n v="165.8"/>
    <n v="149.1"/>
    <n v="140.6"/>
    <n v="147.9"/>
    <n v="151.6"/>
    <n v="138.5"/>
    <n v="144.5"/>
    <n v="148.5"/>
    <n v="125.8"/>
    <n v="140.9"/>
    <n v="154.9"/>
    <n v="138.4"/>
    <n v="140.19999999999999"/>
    <n v="145"/>
    <n v="1"/>
  </r>
  <r>
    <x v="1"/>
    <x v="7"/>
    <x v="9"/>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n v="1"/>
  </r>
  <r>
    <x v="2"/>
    <x v="7"/>
    <x v="9"/>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n v="1"/>
  </r>
  <r>
    <x v="3"/>
    <x v="7"/>
    <x v="9"/>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n v="1"/>
  </r>
  <r>
    <x v="1"/>
    <x v="7"/>
    <x v="10"/>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n v="1"/>
  </r>
  <r>
    <x v="2"/>
    <x v="7"/>
    <x v="10"/>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n v="1"/>
  </r>
  <r>
    <x v="3"/>
    <x v="7"/>
    <x v="10"/>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n v="1"/>
  </r>
  <r>
    <x v="1"/>
    <x v="7"/>
    <x v="11"/>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n v="1"/>
  </r>
  <r>
    <x v="2"/>
    <x v="7"/>
    <x v="1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n v="1"/>
  </r>
  <r>
    <x v="3"/>
    <x v="7"/>
    <x v="1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n v="1"/>
  </r>
  <r>
    <x v="1"/>
    <x v="7"/>
    <x v="12"/>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n v="1"/>
  </r>
  <r>
    <x v="2"/>
    <x v="7"/>
    <x v="1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
  </r>
  <r>
    <x v="3"/>
    <x v="7"/>
    <x v="1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n v="1"/>
  </r>
  <r>
    <x v="1"/>
    <x v="8"/>
    <x v="1"/>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n v="1"/>
  </r>
  <r>
    <x v="2"/>
    <x v="8"/>
    <x v="1"/>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n v="1"/>
  </r>
  <r>
    <x v="3"/>
    <x v="8"/>
    <x v="1"/>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n v="1"/>
  </r>
  <r>
    <x v="1"/>
    <x v="8"/>
    <x v="2"/>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n v="1"/>
  </r>
  <r>
    <x v="2"/>
    <x v="8"/>
    <x v="2"/>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n v="1"/>
  </r>
  <r>
    <x v="3"/>
    <x v="8"/>
    <x v="2"/>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n v="1"/>
  </r>
  <r>
    <x v="1"/>
    <x v="8"/>
    <x v="3"/>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n v="1"/>
  </r>
  <r>
    <x v="2"/>
    <x v="8"/>
    <x v="3"/>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n v="1"/>
  </r>
  <r>
    <x v="3"/>
    <x v="8"/>
    <x v="3"/>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n v="1"/>
  </r>
  <r>
    <x v="1"/>
    <x v="8"/>
    <x v="4"/>
    <n v="147.19999999999999"/>
    <n v="174.63333333333335"/>
    <n v="146.9"/>
    <n v="155.6"/>
    <n v="137.1"/>
    <n v="147.30000000000001"/>
    <n v="162.69999999999999"/>
    <n v="150.19999999999999"/>
    <n v="119.8"/>
    <n v="158.69999999999999"/>
    <n v="139.19999999999999"/>
    <n v="160.6"/>
    <n v="150.1"/>
    <n v="174.46666666666667"/>
    <n v="153.83333333333334"/>
    <n v="148.4"/>
    <n v="153.03333333333333"/>
    <s v="NA"/>
    <n v="148.4"/>
    <n v="151.56666666666666"/>
    <n v="154.30000000000001"/>
    <n v="137.66666666666669"/>
    <n v="151.86666666666665"/>
    <n v="161.4"/>
    <n v="147.13333333333333"/>
    <n v="149.63333333333333"/>
    <n v="150.76666666666668"/>
    <n v="1"/>
  </r>
  <r>
    <x v="2"/>
    <x v="8"/>
    <x v="4"/>
    <n v="151.80000000000001"/>
    <n v="177.33333333333334"/>
    <n v="151.9"/>
    <n v="155.5"/>
    <n v="131.6"/>
    <n v="152.9"/>
    <n v="180"/>
    <n v="150.80000000000001"/>
    <n v="121.2"/>
    <n v="154"/>
    <n v="133.5"/>
    <n v="159.96666666666667"/>
    <n v="153.5"/>
    <n v="177.76666666666668"/>
    <n v="148.16666666666666"/>
    <n v="134.73333333333335"/>
    <n v="146.13333333333333"/>
    <n v="155.6"/>
    <n v="137.1"/>
    <n v="140.66666666666669"/>
    <n v="144.80000000000001"/>
    <n v="126.16666666666667"/>
    <n v="140.1"/>
    <n v="152.5"/>
    <n v="147.6"/>
    <n v="139.79999999999998"/>
    <n v="148.46666666666667"/>
    <n v="1"/>
  </r>
  <r>
    <x v="3"/>
    <x v="8"/>
    <x v="4"/>
    <n v="148.69999999999999"/>
    <n v="175.56666666666666"/>
    <n v="148.80000000000001"/>
    <n v="155.6"/>
    <n v="135.1"/>
    <n v="149.9"/>
    <n v="168.6"/>
    <n v="150.4"/>
    <n v="120.3"/>
    <n v="157.1"/>
    <n v="136.80000000000001"/>
    <n v="160.33333333333334"/>
    <n v="151.4"/>
    <n v="175.29999999999998"/>
    <n v="151.63333333333333"/>
    <n v="142.73333333333335"/>
    <n v="150.33333333333334"/>
    <n v="155.6"/>
    <n v="144.1"/>
    <n v="146.4"/>
    <n v="150.69999999999999"/>
    <n v="131.6"/>
    <n v="145.23333333333332"/>
    <n v="156.19999999999999"/>
    <n v="147.33333333333331"/>
    <n v="144.86666666666667"/>
    <n v="149.66666666666666"/>
    <n v="1"/>
  </r>
  <r>
    <x v="1"/>
    <x v="8"/>
    <x v="5"/>
    <n v="147.69999999999999"/>
    <n v="182.46666666666667"/>
    <n v="148.15"/>
    <n v="154.44999999999999"/>
    <n v="137.64999999999998"/>
    <n v="145.25"/>
    <n v="155.80000000000001"/>
    <n v="150.25"/>
    <n v="116.5"/>
    <n v="159.25"/>
    <n v="140.64999999999998"/>
    <n v="161.20000000000002"/>
    <n v="151.19999999999999"/>
    <n v="178.43333333333334"/>
    <n v="154.26666666666665"/>
    <n v="149.19999999999999"/>
    <n v="153.56666666666666"/>
    <s v="NA"/>
    <n v="146.65"/>
    <n v="151.63333333333333"/>
    <n v="156.25"/>
    <n v="139.53333333333333"/>
    <n v="152.53333333333333"/>
    <n v="161.6"/>
    <n v="149.16666666666666"/>
    <n v="150.66666666666666"/>
    <n v="151.73333333333332"/>
    <n v="1"/>
  </r>
  <r>
    <x v="2"/>
    <x v="8"/>
    <x v="5"/>
    <n v="152.25"/>
    <n v="187.16666666666666"/>
    <n v="153.25"/>
    <n v="154.44999999999999"/>
    <n v="132.25"/>
    <n v="152.35000000000002"/>
    <n v="175.6"/>
    <n v="151.4"/>
    <n v="118.75"/>
    <n v="156.4"/>
    <n v="136.19999999999999"/>
    <n v="160.83333333333331"/>
    <n v="155.25"/>
    <n v="182.23333333333332"/>
    <n v="148.63333333333333"/>
    <n v="135.66666666666666"/>
    <n v="146.66666666666666"/>
    <n v="155.29999999999998"/>
    <n v="137.1"/>
    <n v="140.53333333333333"/>
    <n v="146.44999999999999"/>
    <n v="127.73333333333333"/>
    <n v="142.30000000000001"/>
    <n v="152.5"/>
    <n v="149.9"/>
    <n v="140.9"/>
    <n v="149.63333333333335"/>
    <n v="1"/>
  </r>
  <r>
    <x v="3"/>
    <x v="8"/>
    <x v="5"/>
    <n v="149.14999999999998"/>
    <n v="184.13333333333333"/>
    <n v="150.10000000000002"/>
    <n v="154.44999999999999"/>
    <n v="135.69999999999999"/>
    <n v="148.55000000000001"/>
    <n v="162.55000000000001"/>
    <n v="150.65"/>
    <n v="117.25"/>
    <n v="158.30000000000001"/>
    <n v="138.10000000000002"/>
    <n v="161.06666666666666"/>
    <n v="152.69999999999999"/>
    <n v="179.4"/>
    <n v="152.06666666666666"/>
    <n v="143.56666666666666"/>
    <n v="150.86666666666667"/>
    <n v="155.29999999999998"/>
    <n v="143"/>
    <n v="146.4"/>
    <n v="152.55000000000001"/>
    <n v="133.30000000000001"/>
    <n v="146.76666666666668"/>
    <n v="156.30000000000001"/>
    <n v="149.46666666666667"/>
    <n v="145.93333333333334"/>
    <n v="150.73333333333335"/>
    <n v="1"/>
  </r>
  <r>
    <x v="1"/>
    <x v="8"/>
    <x v="6"/>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
  </r>
  <r>
    <x v="2"/>
    <x v="8"/>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
  </r>
  <r>
    <x v="3"/>
    <x v="8"/>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
  </r>
  <r>
    <x v="1"/>
    <x v="8"/>
    <x v="7"/>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n v="1"/>
  </r>
  <r>
    <x v="2"/>
    <x v="8"/>
    <x v="7"/>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n v="1"/>
  </r>
  <r>
    <x v="3"/>
    <x v="8"/>
    <x v="7"/>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n v="1"/>
  </r>
  <r>
    <x v="1"/>
    <x v="8"/>
    <x v="8"/>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n v="1"/>
  </r>
  <r>
    <x v="2"/>
    <x v="8"/>
    <x v="8"/>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n v="1"/>
  </r>
  <r>
    <x v="3"/>
    <x v="8"/>
    <x v="8"/>
    <n v="148.9"/>
    <n v="190.9"/>
    <n v="150.80000000000001"/>
    <n v="153.30000000000001"/>
    <n v="137.4"/>
    <n v="150.4"/>
    <n v="178.1"/>
    <n v="150.4"/>
    <n v="115.1"/>
    <n v="160"/>
    <n v="140.6"/>
    <n v="162.30000000000001"/>
    <n v="157"/>
    <n v="182.6"/>
    <n v="153.1"/>
    <n v="143.4"/>
    <n v="151.69999999999999"/>
    <n v="155.5"/>
    <n v="143"/>
    <n v="148.4"/>
    <n v="155"/>
    <n v="138.5"/>
    <n v="146"/>
    <n v="158.5"/>
    <n v="154.30000000000001"/>
    <n v="149"/>
    <n v="153.9"/>
    <n v="1"/>
  </r>
  <r>
    <x v="1"/>
    <x v="8"/>
    <x v="9"/>
    <n v="146.9"/>
    <n v="183.9"/>
    <n v="149.5"/>
    <n v="153.4"/>
    <n v="140.4"/>
    <n v="147"/>
    <n v="178.8"/>
    <n v="149.30000000000001"/>
    <n v="115.1"/>
    <n v="160"/>
    <n v="145.4"/>
    <n v="161.6"/>
    <n v="156.1"/>
    <n v="182.9"/>
    <n v="155.4"/>
    <n v="149.9"/>
    <n v="154.6"/>
    <s v="NA"/>
    <n v="146.4"/>
    <n v="151.6"/>
    <n v="159.1"/>
    <n v="144.6"/>
    <n v="152.80000000000001"/>
    <n v="161.1"/>
    <n v="157.4"/>
    <n v="153.69999999999999"/>
    <n v="155.4"/>
    <n v="1"/>
  </r>
  <r>
    <x v="2"/>
    <x v="8"/>
    <x v="9"/>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n v="1"/>
  </r>
  <r>
    <x v="3"/>
    <x v="8"/>
    <x v="9"/>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n v="1"/>
  </r>
  <r>
    <x v="1"/>
    <x v="8"/>
    <x v="10"/>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n v="1"/>
  </r>
  <r>
    <x v="2"/>
    <x v="8"/>
    <x v="10"/>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n v="1"/>
  </r>
  <r>
    <x v="3"/>
    <x v="8"/>
    <x v="10"/>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n v="1"/>
  </r>
  <r>
    <x v="1"/>
    <x v="8"/>
    <x v="11"/>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n v="1"/>
  </r>
  <r>
    <x v="2"/>
    <x v="8"/>
    <x v="11"/>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n v="1"/>
  </r>
  <r>
    <x v="3"/>
    <x v="8"/>
    <x v="1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n v="1"/>
  </r>
  <r>
    <x v="1"/>
    <x v="8"/>
    <x v="12"/>
    <n v="144.6"/>
    <n v="188.5"/>
    <n v="173.4"/>
    <n v="154"/>
    <n v="150"/>
    <n v="145.9"/>
    <n v="225.2"/>
    <n v="159.5"/>
    <n v="114.4"/>
    <n v="163.5"/>
    <n v="153.4"/>
    <n v="163.6"/>
    <n v="164.5"/>
    <n v="183.6"/>
    <n v="157"/>
    <n v="151.6"/>
    <n v="156.30000000000001"/>
    <s v="NA"/>
    <n v="148.69999999999999"/>
    <n v="153.4"/>
    <n v="161.6"/>
    <n v="146.4"/>
    <n v="153.9"/>
    <n v="162.9"/>
    <n v="156.6"/>
    <n v="155.19999999999999"/>
    <n v="160.69999999999999"/>
    <n v="1"/>
  </r>
  <r>
    <x v="2"/>
    <x v="8"/>
    <x v="12"/>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n v="1"/>
  </r>
  <r>
    <x v="3"/>
    <x v="8"/>
    <x v="12"/>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n v="1"/>
  </r>
  <r>
    <x v="1"/>
    <x v="9"/>
    <x v="1"/>
    <n v="143.4"/>
    <n v="187.5"/>
    <n v="173.4"/>
    <n v="154"/>
    <n v="154.80000000000001"/>
    <n v="147"/>
    <n v="187.8"/>
    <n v="159.5"/>
    <n v="113.8"/>
    <n v="164.5"/>
    <n v="156.1"/>
    <n v="164.3"/>
    <n v="159.6"/>
    <n v="184.6"/>
    <n v="157.5"/>
    <n v="152.4"/>
    <n v="156.80000000000001"/>
    <s v="NA"/>
    <n v="150.9"/>
    <n v="153.9"/>
    <n v="162.5"/>
    <n v="147.5"/>
    <n v="155.1"/>
    <n v="163.5"/>
    <n v="156.19999999999999"/>
    <n v="155.9"/>
    <n v="158.5"/>
    <n v="1"/>
  </r>
  <r>
    <x v="2"/>
    <x v="9"/>
    <x v="1"/>
    <n v="148"/>
    <n v="194.8"/>
    <n v="178.4"/>
    <n v="154.4"/>
    <n v="144.1"/>
    <n v="152.6"/>
    <n v="206.8"/>
    <n v="162.1"/>
    <n v="116.3"/>
    <n v="163"/>
    <n v="145.9"/>
    <n v="167.2"/>
    <n v="163.4"/>
    <n v="191.8"/>
    <n v="152.5"/>
    <n v="137.30000000000001"/>
    <n v="150.19999999999999"/>
    <n v="157.69999999999999"/>
    <n v="142.9"/>
    <n v="145.69999999999999"/>
    <n v="154.1"/>
    <n v="136.9"/>
    <n v="145.4"/>
    <n v="156.1"/>
    <n v="157.69999999999999"/>
    <n v="147.6"/>
    <n v="156"/>
    <n v="1"/>
  </r>
  <r>
    <x v="3"/>
    <x v="9"/>
    <x v="1"/>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n v="1"/>
  </r>
  <r>
    <x v="1"/>
    <x v="9"/>
    <x v="2"/>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n v="1"/>
  </r>
  <r>
    <x v="2"/>
    <x v="9"/>
    <x v="2"/>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n v="1"/>
  </r>
  <r>
    <x v="3"/>
    <x v="9"/>
    <x v="2"/>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n v="1"/>
  </r>
  <r>
    <x v="1"/>
    <x v="9"/>
    <x v="3"/>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n v="1"/>
  </r>
  <r>
    <x v="2"/>
    <x v="9"/>
    <x v="3"/>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n v="1"/>
  </r>
  <r>
    <x v="3"/>
    <x v="9"/>
    <x v="3"/>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n v="1"/>
  </r>
  <r>
    <x v="1"/>
    <x v="9"/>
    <x v="4"/>
    <n v="142.69999999999999"/>
    <n v="195.5"/>
    <n v="163.4"/>
    <n v="155"/>
    <n v="175.2"/>
    <n v="160.6"/>
    <n v="135.1"/>
    <n v="161.1"/>
    <n v="112.2"/>
    <n v="164.4"/>
    <n v="161.9"/>
    <n v="166.8"/>
    <n v="155.6"/>
    <n v="186.8"/>
    <n v="160.69999999999999"/>
    <n v="155.1"/>
    <n v="159.9"/>
    <s v="-"/>
    <n v="156"/>
    <n v="155.5"/>
    <n v="165.3"/>
    <n v="151.69999999999999"/>
    <n v="158.6"/>
    <n v="164.1"/>
    <n v="154.6"/>
    <n v="158"/>
    <n v="157.6"/>
    <n v="1"/>
  </r>
  <r>
    <x v="2"/>
    <x v="9"/>
    <x v="4"/>
    <n v="147.6"/>
    <n v="202.5"/>
    <n v="166.4"/>
    <n v="156"/>
    <n v="161.4"/>
    <n v="168.8"/>
    <n v="161.6"/>
    <n v="162.80000000000001"/>
    <n v="114.8"/>
    <n v="162.80000000000001"/>
    <n v="151.5"/>
    <n v="171.4"/>
    <n v="162"/>
    <n v="194.4"/>
    <n v="155.9"/>
    <n v="139.30000000000001"/>
    <n v="153.4"/>
    <n v="161.4"/>
    <n v="154.9"/>
    <n v="147.6"/>
    <n v="157.5"/>
    <n v="142.1"/>
    <n v="149.1"/>
    <n v="157.6"/>
    <n v="156.6"/>
    <n v="150.5"/>
    <n v="158"/>
    <n v="1"/>
  </r>
  <r>
    <x v="3"/>
    <x v="9"/>
    <x v="4"/>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n v="1"/>
  </r>
  <r>
    <x v="1"/>
    <x v="9"/>
    <x v="5"/>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n v="1"/>
  </r>
  <r>
    <x v="2"/>
    <x v="9"/>
    <x v="5"/>
    <n v="148.80000000000001"/>
    <n v="204.3"/>
    <n v="173"/>
    <n v="156.5"/>
    <n v="168.8"/>
    <n v="172.5"/>
    <n v="166.5"/>
    <n v="165.9"/>
    <n v="115.9"/>
    <n v="165.2"/>
    <n v="152"/>
    <n v="171.1"/>
    <n v="164.2"/>
    <n v="198.2"/>
    <n v="156.5"/>
    <n v="140.19999999999999"/>
    <n v="154.1"/>
    <n v="161.6"/>
    <n v="155.5"/>
    <n v="150.1"/>
    <n v="160.4"/>
    <n v="145"/>
    <n v="152.6"/>
    <n v="156.6"/>
    <n v="157.5"/>
    <n v="152.30000000000001"/>
    <n v="159.5"/>
    <n v="1"/>
  </r>
  <r>
    <x v="3"/>
    <x v="9"/>
    <x v="5"/>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n v="1"/>
  </r>
  <r>
    <x v="1"/>
    <x v="9"/>
    <x v="6"/>
    <n v="145.6"/>
    <n v="200.1"/>
    <n v="179.3"/>
    <n v="156.1"/>
    <n v="190.4"/>
    <n v="158.6"/>
    <n v="144.69999999999999"/>
    <n v="165.5"/>
    <n v="114.6"/>
    <n v="170"/>
    <n v="165.5"/>
    <n v="171.7"/>
    <n v="160.5"/>
    <n v="189.1"/>
    <n v="165.3"/>
    <n v="159.9"/>
    <n v="164.6"/>
    <s v="NA"/>
    <n v="162.1"/>
    <n v="159.19999999999999"/>
    <n v="169.7"/>
    <n v="154.19999999999999"/>
    <n v="160.4"/>
    <n v="166.8"/>
    <n v="159.4"/>
    <n v="161.5"/>
    <n v="162.1"/>
    <n v="1"/>
  </r>
  <r>
    <x v="2"/>
    <x v="9"/>
    <x v="6"/>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n v="1"/>
  </r>
  <r>
    <x v="3"/>
    <x v="9"/>
    <x v="6"/>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n v="1"/>
  </r>
  <r>
    <x v="1"/>
    <x v="9"/>
    <x v="7"/>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n v="1"/>
  </r>
  <r>
    <x v="2"/>
    <x v="9"/>
    <x v="7"/>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n v="1"/>
  </r>
  <r>
    <x v="3"/>
    <x v="9"/>
    <x v="7"/>
    <n v="146.4"/>
    <n v="206.8"/>
    <n v="182.2"/>
    <n v="157.5"/>
    <n v="182.1"/>
    <n v="163.9"/>
    <n v="164.2"/>
    <n v="164"/>
    <n v="114.5"/>
    <n v="168.3"/>
    <n v="160.9"/>
    <n v="172.2"/>
    <n v="164"/>
    <n v="191.2"/>
    <n v="162.80000000000001"/>
    <n v="153.1"/>
    <n v="161.4"/>
    <n v="161.5"/>
    <n v="160.69999999999999"/>
    <n v="155.80000000000001"/>
    <n v="167"/>
    <n v="153.1"/>
    <n v="155.30000000000001"/>
    <n v="163.19999999999999"/>
    <n v="160.1"/>
    <n v="159"/>
    <n v="162.5"/>
    <n v="1"/>
  </r>
  <r>
    <x v="1"/>
    <x v="9"/>
    <x v="8"/>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n v="1"/>
  </r>
  <r>
    <x v="2"/>
    <x v="9"/>
    <x v="8"/>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n v="1"/>
  </r>
  <r>
    <x v="3"/>
    <x v="9"/>
    <x v="8"/>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n v="1"/>
  </r>
  <r>
    <x v="1"/>
    <x v="9"/>
    <x v="9"/>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n v="1"/>
  </r>
  <r>
    <x v="2"/>
    <x v="9"/>
    <x v="9"/>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n v="1"/>
  </r>
  <r>
    <x v="3"/>
    <x v="9"/>
    <x v="9"/>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n v="1"/>
  </r>
  <r>
    <x v="1"/>
    <x v="9"/>
    <x v="10"/>
    <n v="146.1"/>
    <n v="202.5"/>
    <n v="170.1"/>
    <n v="158.4"/>
    <n v="198.8"/>
    <n v="152.6"/>
    <n v="170.4"/>
    <n v="165.2"/>
    <n v="121.6"/>
    <n v="170.6"/>
    <n v="168.8"/>
    <n v="173.6"/>
    <n v="165.5"/>
    <n v="191.2"/>
    <n v="168.9"/>
    <n v="164.8"/>
    <n v="168.3"/>
    <s v="NA"/>
    <n v="165.5"/>
    <n v="162"/>
    <n v="172.5"/>
    <n v="159.5"/>
    <n v="163.19999999999999"/>
    <n v="169"/>
    <n v="161.1"/>
    <n v="164.7"/>
    <n v="166.3"/>
    <n v="1"/>
  </r>
  <r>
    <x v="2"/>
    <x v="9"/>
    <x v="10"/>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n v="1"/>
  </r>
  <r>
    <x v="3"/>
    <x v="9"/>
    <x v="10"/>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n v="1"/>
  </r>
  <r>
    <x v="1"/>
    <x v="9"/>
    <x v="11"/>
    <n v="146.9"/>
    <n v="199.8"/>
    <n v="171.5"/>
    <n v="159.1"/>
    <n v="198.4"/>
    <n v="153.19999999999999"/>
    <n v="183.9"/>
    <n v="165.4"/>
    <n v="122.1"/>
    <n v="170.8"/>
    <n v="169.1"/>
    <n v="174.3"/>
    <n v="167.5"/>
    <n v="191.4"/>
    <n v="170.4"/>
    <n v="166"/>
    <n v="169.8"/>
    <s v="NA"/>
    <n v="165.3"/>
    <n v="162.9"/>
    <n v="173.4"/>
    <n v="158.9"/>
    <n v="163.80000000000001"/>
    <n v="169.3"/>
    <n v="162.4"/>
    <n v="165.2"/>
    <n v="167.6"/>
    <n v="1"/>
  </r>
  <r>
    <x v="2"/>
    <x v="9"/>
    <x v="11"/>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n v="1"/>
  </r>
  <r>
    <x v="3"/>
    <x v="9"/>
    <x v="1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n v="1"/>
  </r>
  <r>
    <x v="1"/>
    <x v="9"/>
    <x v="12"/>
    <n v="147.4"/>
    <n v="197"/>
    <n v="176.5"/>
    <n v="159.80000000000001"/>
    <n v="195.8"/>
    <n v="152"/>
    <n v="172.3"/>
    <n v="164.5"/>
    <n v="120.6"/>
    <n v="171.7"/>
    <n v="169.7"/>
    <n v="175.1"/>
    <n v="165.8"/>
    <n v="190.8"/>
    <n v="171.8"/>
    <n v="167.3"/>
    <n v="171.2"/>
    <s v="NA"/>
    <n v="165.6"/>
    <n v="163.9"/>
    <n v="174"/>
    <n v="160.1"/>
    <n v="164.5"/>
    <n v="169.7"/>
    <n v="162.80000000000001"/>
    <n v="166"/>
    <n v="167"/>
    <n v="1"/>
  </r>
  <r>
    <x v="2"/>
    <x v="9"/>
    <x v="12"/>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n v="1"/>
  </r>
  <r>
    <x v="3"/>
    <x v="9"/>
    <x v="12"/>
    <n v="148.69999999999999"/>
    <n v="198.8"/>
    <n v="177.9"/>
    <n v="159.9"/>
    <n v="187.6"/>
    <n v="154.9"/>
    <n v="188.3"/>
    <n v="164.4"/>
    <n v="121"/>
    <n v="170.5"/>
    <n v="164.2"/>
    <n v="176.5"/>
    <n v="168.2"/>
    <n v="192.4"/>
    <n v="168.5"/>
    <n v="158.69999999999999"/>
    <n v="167"/>
    <n v="163.4"/>
    <n v="164.1"/>
    <n v="160.19999999999999"/>
    <n v="170.6"/>
    <n v="155.69999999999999"/>
    <n v="160.6"/>
    <n v="164.4"/>
    <n v="162.6"/>
    <n v="162"/>
    <n v="166.2"/>
    <n v="1"/>
  </r>
  <r>
    <x v="1"/>
    <x v="10"/>
    <x v="1"/>
    <n v="148.30000000000001"/>
    <n v="196.9"/>
    <n v="178"/>
    <n v="160.5"/>
    <n v="192.6"/>
    <n v="151.19999999999999"/>
    <n v="159.19999999999999"/>
    <n v="164"/>
    <n v="119.3"/>
    <n v="173.3"/>
    <n v="169.8"/>
    <n v="175.8"/>
    <n v="164.1"/>
    <n v="190.7"/>
    <n v="173.2"/>
    <n v="169.3"/>
    <n v="172.7"/>
    <s v="NA"/>
    <n v="165.8"/>
    <n v="164.9"/>
    <n v="174.7"/>
    <n v="160.80000000000001"/>
    <n v="164.9"/>
    <n v="169.9"/>
    <n v="163.19999999999999"/>
    <n v="166.6"/>
    <n v="166.4"/>
    <n v="1"/>
  </r>
  <r>
    <x v="2"/>
    <x v="10"/>
    <x v="1"/>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n v="1"/>
  </r>
  <r>
    <x v="3"/>
    <x v="10"/>
    <x v="1"/>
    <n v="149.5"/>
    <n v="198.7"/>
    <n v="178.8"/>
    <n v="160.5"/>
    <n v="184.7"/>
    <n v="153.69999999999999"/>
    <n v="174.3"/>
    <n v="163.9"/>
    <n v="120"/>
    <n v="172.1"/>
    <n v="164.3"/>
    <n v="177.3"/>
    <n v="166.4"/>
    <n v="192.2"/>
    <n v="169.9"/>
    <n v="160.69999999999999"/>
    <n v="168.5"/>
    <n v="164.5"/>
    <n v="164.2"/>
    <n v="161.1"/>
    <n v="171.4"/>
    <n v="156.5"/>
    <n v="161.19999999999999"/>
    <n v="164.7"/>
    <n v="163"/>
    <n v="162.69999999999999"/>
    <n v="165.7"/>
    <n v="1"/>
  </r>
  <r>
    <x v="1"/>
    <x v="10"/>
    <x v="2"/>
    <n v="148.80000000000001"/>
    <n v="198.1"/>
    <n v="175.5"/>
    <n v="160.69999999999999"/>
    <n v="192.6"/>
    <n v="151.4"/>
    <n v="155.19999999999999"/>
    <n v="163.9"/>
    <n v="118.1"/>
    <n v="175.4"/>
    <n v="170.5"/>
    <n v="176.3"/>
    <n v="163.9"/>
    <n v="191.5"/>
    <n v="174.1"/>
    <n v="171"/>
    <n v="173.7"/>
    <s v="NA"/>
    <n v="167.4"/>
    <n v="165.7"/>
    <n v="175.3"/>
    <n v="161.19999999999999"/>
    <n v="165.5"/>
    <n v="170.3"/>
    <n v="164.5"/>
    <n v="167.3"/>
    <n v="166.7"/>
    <n v="1"/>
  </r>
  <r>
    <x v="2"/>
    <x v="10"/>
    <x v="2"/>
    <n v="152.5"/>
    <n v="205.2"/>
    <n v="176.4"/>
    <n v="160.6"/>
    <n v="171.5"/>
    <n v="156.4"/>
    <n v="198"/>
    <n v="163.19999999999999"/>
    <n v="120.6"/>
    <n v="172.2"/>
    <n v="156.69999999999999"/>
    <n v="180"/>
    <n v="170.2"/>
    <n v="196.5"/>
    <n v="165.7"/>
    <n v="150.4"/>
    <n v="163.4"/>
    <n v="165.5"/>
    <n v="163"/>
    <n v="157.4"/>
    <n v="167.2"/>
    <n v="153.1"/>
    <n v="159.5"/>
    <n v="162"/>
    <n v="164.2"/>
    <n v="159.4"/>
    <n v="165.5"/>
    <n v="1"/>
  </r>
  <r>
    <x v="3"/>
    <x v="10"/>
    <x v="2"/>
    <n v="150"/>
    <n v="200.6"/>
    <n v="175.8"/>
    <n v="160.69999999999999"/>
    <n v="184.9"/>
    <n v="153.69999999999999"/>
    <n v="169.7"/>
    <n v="163.69999999999999"/>
    <n v="118.9"/>
    <n v="174.3"/>
    <n v="164.7"/>
    <n v="178"/>
    <n v="166.2"/>
    <n v="192.8"/>
    <n v="170.8"/>
    <n v="162.4"/>
    <n v="169.6"/>
    <n v="165.5"/>
    <n v="165.7"/>
    <n v="161.80000000000001"/>
    <n v="172.2"/>
    <n v="156.9"/>
    <n v="162.1"/>
    <n v="165.4"/>
    <n v="164.4"/>
    <n v="163.5"/>
    <n v="166.1"/>
    <n v="1"/>
  </r>
  <r>
    <x v="1"/>
    <x v="10"/>
    <x v="3"/>
    <n v="150.19999999999999"/>
    <n v="208"/>
    <n v="167.9"/>
    <n v="162"/>
    <n v="203.1"/>
    <n v="155.9"/>
    <n v="155.80000000000001"/>
    <n v="164.2"/>
    <n v="118.1"/>
    <n v="178.7"/>
    <n v="171.2"/>
    <n v="177.4"/>
    <n v="166.6"/>
    <n v="192.3"/>
    <n v="175.4"/>
    <n v="173.2"/>
    <n v="175.1"/>
    <s v="NA"/>
    <n v="168.9"/>
    <n v="166.5"/>
    <n v="176"/>
    <n v="162"/>
    <n v="166.6"/>
    <n v="170.6"/>
    <n v="167.4"/>
    <n v="168.3"/>
    <n v="168.7"/>
    <n v="1"/>
  </r>
  <r>
    <x v="2"/>
    <x v="10"/>
    <x v="3"/>
    <n v="153.69999999999999"/>
    <n v="215.8"/>
    <n v="167.7"/>
    <n v="162.6"/>
    <n v="180"/>
    <n v="159.6"/>
    <n v="188.4"/>
    <n v="163.4"/>
    <n v="120.3"/>
    <n v="174.7"/>
    <n v="157.1"/>
    <n v="181.5"/>
    <n v="171.5"/>
    <n v="197.5"/>
    <n v="167.1"/>
    <n v="152.6"/>
    <n v="164.9"/>
    <n v="165.3"/>
    <n v="164.5"/>
    <n v="158.6"/>
    <n v="168.2"/>
    <n v="154.19999999999999"/>
    <n v="160.80000000000001"/>
    <n v="162.69999999999999"/>
    <n v="166.8"/>
    <n v="160.6"/>
    <n v="166.5"/>
    <n v="1"/>
  </r>
  <r>
    <x v="3"/>
    <x v="10"/>
    <x v="3"/>
    <n v="151.30000000000001"/>
    <n v="210.7"/>
    <n v="167.8"/>
    <n v="162.19999999999999"/>
    <n v="194.6"/>
    <n v="157.6"/>
    <n v="166.9"/>
    <n v="163.9"/>
    <n v="118.8"/>
    <n v="177.4"/>
    <n v="165.3"/>
    <n v="179.3"/>
    <n v="168.4"/>
    <n v="193.7"/>
    <n v="172.1"/>
    <n v="164.6"/>
    <n v="171.1"/>
    <n v="165.3"/>
    <n v="167.2"/>
    <n v="162.80000000000001"/>
    <n v="173"/>
    <n v="157.9"/>
    <n v="163.30000000000001"/>
    <n v="166"/>
    <n v="167.2"/>
    <n v="164.6"/>
    <n v="167.7"/>
    <n v="1"/>
  </r>
  <r>
    <x v="1"/>
    <x v="10"/>
    <x v="4"/>
    <n v="151.80000000000001"/>
    <n v="209.7"/>
    <n v="164.5"/>
    <n v="163.80000000000001"/>
    <n v="207.4"/>
    <n v="169.7"/>
    <n v="153.6"/>
    <n v="165.1"/>
    <n v="118.2"/>
    <n v="182.9"/>
    <n v="172.4"/>
    <n v="178.9"/>
    <n v="168.6"/>
    <n v="192.8"/>
    <n v="177.5"/>
    <n v="175.1"/>
    <n v="177.1"/>
    <s v="NA"/>
    <n v="173.3"/>
    <n v="167.7"/>
    <n v="177"/>
    <n v="166.2"/>
    <n v="167.2"/>
    <n v="170.9"/>
    <n v="169"/>
    <n v="170.2"/>
    <n v="170.8"/>
    <n v="1"/>
  </r>
  <r>
    <x v="2"/>
    <x v="10"/>
    <x v="4"/>
    <n v="155.4"/>
    <n v="215.8"/>
    <n v="164.6"/>
    <n v="164.2"/>
    <n v="186"/>
    <n v="175.9"/>
    <n v="190.7"/>
    <n v="164"/>
    <n v="120.5"/>
    <n v="178"/>
    <n v="157.5"/>
    <n v="183.3"/>
    <n v="174.5"/>
    <n v="197.1"/>
    <n v="168.4"/>
    <n v="154.5"/>
    <n v="166.3"/>
    <n v="167"/>
    <n v="170.5"/>
    <n v="159.80000000000001"/>
    <n v="169"/>
    <n v="159.30000000000001"/>
    <n v="162.19999999999999"/>
    <n v="164"/>
    <n v="168.4"/>
    <n v="163.1"/>
    <n v="169.2"/>
    <n v="1"/>
  </r>
  <r>
    <x v="3"/>
    <x v="10"/>
    <x v="4"/>
    <n v="152.9"/>
    <n v="211.8"/>
    <n v="164.5"/>
    <n v="163.9"/>
    <n v="199.5"/>
    <n v="172.6"/>
    <n v="166.2"/>
    <n v="164.7"/>
    <n v="119"/>
    <n v="181.3"/>
    <n v="166.2"/>
    <n v="180.9"/>
    <n v="170.8"/>
    <n v="193.9"/>
    <n v="173.9"/>
    <n v="166.5"/>
    <n v="172.8"/>
    <n v="167"/>
    <n v="172.2"/>
    <n v="164"/>
    <n v="174"/>
    <n v="162.6"/>
    <n v="164.4"/>
    <n v="166.9"/>
    <n v="168.8"/>
    <n v="166.8"/>
    <n v="170.1"/>
    <n v="1"/>
  </r>
  <r>
    <x v="1"/>
    <x v="10"/>
    <x v="5"/>
    <n v="152.9"/>
    <n v="214.7"/>
    <n v="161.4"/>
    <n v="164.6"/>
    <n v="209.9"/>
    <n v="168"/>
    <n v="160.4"/>
    <n v="165"/>
    <n v="118.9"/>
    <n v="186.6"/>
    <n v="173.2"/>
    <n v="180.4"/>
    <n v="170.8"/>
    <n v="192.9"/>
    <n v="179.3"/>
    <n v="177.2"/>
    <n v="179"/>
    <s v="NA"/>
    <n v="175.3"/>
    <n v="168.9"/>
    <n v="177.7"/>
    <n v="167.1"/>
    <n v="167.6"/>
    <n v="171.8"/>
    <n v="168.5"/>
    <n v="170.9"/>
    <n v="172.5"/>
    <n v="1"/>
  </r>
  <r>
    <x v="2"/>
    <x v="10"/>
    <x v="5"/>
    <n v="156.69999999999999"/>
    <n v="221.2"/>
    <n v="164.1"/>
    <n v="165.4"/>
    <n v="189.5"/>
    <n v="174.5"/>
    <n v="203.2"/>
    <n v="164.1"/>
    <n v="121.2"/>
    <n v="181.4"/>
    <n v="158.5"/>
    <n v="184.9"/>
    <n v="177.5"/>
    <n v="197.5"/>
    <n v="170"/>
    <n v="155.9"/>
    <n v="167.8"/>
    <n v="167.5"/>
    <n v="173.5"/>
    <n v="161.1"/>
    <n v="170.1"/>
    <n v="159.4"/>
    <n v="163.19999999999999"/>
    <n v="165.2"/>
    <n v="168.2"/>
    <n v="163.80000000000001"/>
    <n v="170.8"/>
    <n v="1"/>
  </r>
  <r>
    <x v="3"/>
    <x v="10"/>
    <x v="5"/>
    <n v="154.1"/>
    <n v="217"/>
    <n v="162.4"/>
    <n v="164.9"/>
    <n v="202.4"/>
    <n v="171"/>
    <n v="174.9"/>
    <n v="164.7"/>
    <n v="119.7"/>
    <n v="184.9"/>
    <n v="167.1"/>
    <n v="182.5"/>
    <n v="173.3"/>
    <n v="194.1"/>
    <n v="175.6"/>
    <n v="168.4"/>
    <n v="174.6"/>
    <n v="167.5"/>
    <n v="174.6"/>
    <n v="165.2"/>
    <n v="174.8"/>
    <n v="163"/>
    <n v="165.1"/>
    <n v="167.9"/>
    <n v="168.4"/>
    <n v="167.5"/>
    <n v="171.7"/>
    <n v="1"/>
  </r>
  <r>
    <x v="1"/>
    <x v="10"/>
    <x v="6"/>
    <n v="153.80000000000001"/>
    <n v="217.2"/>
    <n v="169.6"/>
    <n v="165.4"/>
    <n v="208.1"/>
    <n v="165.8"/>
    <n v="167.3"/>
    <n v="164.6"/>
    <n v="119.1"/>
    <n v="188.9"/>
    <n v="174.2"/>
    <n v="181.9"/>
    <n v="172.4"/>
    <n v="192.9"/>
    <n v="180.7"/>
    <n v="178.7"/>
    <n v="180.4"/>
    <s v="NA"/>
    <n v="176.7"/>
    <n v="170.3"/>
    <n v="178.2"/>
    <n v="165.5"/>
    <n v="168"/>
    <n v="172.6"/>
    <n v="169.5"/>
    <n v="171"/>
    <n v="173.6"/>
    <n v="1"/>
  </r>
  <r>
    <x v="2"/>
    <x v="10"/>
    <x v="6"/>
    <n v="157.5"/>
    <n v="223.4"/>
    <n v="172.8"/>
    <n v="166.4"/>
    <n v="188.6"/>
    <n v="174.1"/>
    <n v="211.5"/>
    <n v="163.6"/>
    <n v="121.4"/>
    <n v="183.5"/>
    <n v="159.1"/>
    <n v="186.3"/>
    <n v="179.3"/>
    <n v="198.3"/>
    <n v="171.6"/>
    <n v="157.4"/>
    <n v="169.4"/>
    <n v="166.8"/>
    <n v="174.9"/>
    <n v="162.1"/>
    <n v="170.9"/>
    <n v="157.19999999999999"/>
    <n v="164.1"/>
    <n v="166.5"/>
    <n v="169.2"/>
    <n v="163.80000000000001"/>
    <n v="171.4"/>
    <n v="1"/>
  </r>
  <r>
    <x v="3"/>
    <x v="10"/>
    <x v="6"/>
    <n v="155"/>
    <n v="219.4"/>
    <n v="170.8"/>
    <n v="165.8"/>
    <n v="200.9"/>
    <n v="169.7"/>
    <n v="182.3"/>
    <n v="164.3"/>
    <n v="119.9"/>
    <n v="187.1"/>
    <n v="167.9"/>
    <n v="183.9"/>
    <n v="174.9"/>
    <n v="194.3"/>
    <n v="177.1"/>
    <n v="169.9"/>
    <n v="176"/>
    <n v="166.8"/>
    <n v="176"/>
    <n v="166.4"/>
    <n v="175.4"/>
    <n v="161.1"/>
    <n v="165.8"/>
    <n v="169"/>
    <n v="169.4"/>
    <n v="167.5"/>
    <n v="172.6"/>
    <n v="1"/>
  </r>
  <r>
    <x v="1"/>
    <x v="10"/>
    <x v="7"/>
    <n v="155.19999999999999"/>
    <n v="210.8"/>
    <n v="174.3"/>
    <n v="166.3"/>
    <n v="202.2"/>
    <n v="169.6"/>
    <n v="168.6"/>
    <n v="164.4"/>
    <n v="119.2"/>
    <n v="191.8"/>
    <n v="174.5"/>
    <n v="183.1"/>
    <n v="172.5"/>
    <n v="193.2"/>
    <n v="182"/>
    <n v="180.3"/>
    <n v="181.7"/>
    <s v="NA"/>
    <n v="179.6"/>
    <n v="171.3"/>
    <n v="178.8"/>
    <n v="166.3"/>
    <n v="168.6"/>
    <n v="174.7"/>
    <n v="169.7"/>
    <n v="171.8"/>
    <n v="174.3"/>
    <n v="1"/>
  </r>
  <r>
    <x v="2"/>
    <x v="10"/>
    <x v="7"/>
    <n v="159.30000000000001"/>
    <n v="217.1"/>
    <n v="176.6"/>
    <n v="167.1"/>
    <n v="184.8"/>
    <n v="179.5"/>
    <n v="208.5"/>
    <n v="164"/>
    <n v="121.5"/>
    <n v="186.3"/>
    <n v="159.80000000000001"/>
    <n v="187.7"/>
    <n v="179.4"/>
    <n v="198.6"/>
    <n v="172.7"/>
    <n v="158.69999999999999"/>
    <n v="170.6"/>
    <n v="167.8"/>
    <n v="179.5"/>
    <n v="163.1"/>
    <n v="171.7"/>
    <n v="157.4"/>
    <n v="164.6"/>
    <n v="169.1"/>
    <n v="169.8"/>
    <n v="164.7"/>
    <n v="172.3"/>
    <n v="1"/>
  </r>
  <r>
    <x v="3"/>
    <x v="10"/>
    <x v="7"/>
    <n v="156.5"/>
    <n v="213"/>
    <n v="175.2"/>
    <n v="166.6"/>
    <n v="195.8"/>
    <n v="174.2"/>
    <n v="182.1"/>
    <n v="164.3"/>
    <n v="120"/>
    <n v="190"/>
    <n v="168.4"/>
    <n v="185.2"/>
    <n v="175"/>
    <n v="194.6"/>
    <n v="178.3"/>
    <n v="171.3"/>
    <n v="177.3"/>
    <n v="167.8"/>
    <n v="179.6"/>
    <n v="167.4"/>
    <n v="176.1"/>
    <n v="161.6"/>
    <n v="166.3"/>
    <n v="171.4"/>
    <n v="169.7"/>
    <n v="168.4"/>
    <n v="173.4"/>
    <n v="1"/>
  </r>
  <r>
    <x v="1"/>
    <x v="10"/>
    <x v="8"/>
    <n v="159.5"/>
    <n v="204.1"/>
    <n v="168.3"/>
    <n v="167.9"/>
    <n v="198.1"/>
    <n v="169.2"/>
    <n v="173.1"/>
    <n v="167.1"/>
    <n v="120.2"/>
    <n v="195.6"/>
    <n v="174.8"/>
    <n v="184"/>
    <n v="173.9"/>
    <n v="193.7"/>
    <n v="183.2"/>
    <n v="181.7"/>
    <n v="183"/>
    <s v="NA"/>
    <n v="179.1"/>
    <n v="172.3"/>
    <n v="179.4"/>
    <n v="166.6"/>
    <n v="169.3"/>
    <n v="175.7"/>
    <n v="171.1"/>
    <n v="172.6"/>
    <n v="175.3"/>
    <n v="1"/>
  </r>
  <r>
    <x v="2"/>
    <x v="10"/>
    <x v="8"/>
    <n v="162.1"/>
    <n v="210.9"/>
    <n v="170.6"/>
    <n v="168.4"/>
    <n v="182.5"/>
    <n v="177.1"/>
    <n v="213.1"/>
    <n v="167.3"/>
    <n v="122.2"/>
    <n v="189.7"/>
    <n v="160.5"/>
    <n v="188.9"/>
    <n v="180.4"/>
    <n v="198.7"/>
    <n v="173.7"/>
    <n v="160"/>
    <n v="171.6"/>
    <n v="169"/>
    <n v="178.4"/>
    <n v="164.2"/>
    <n v="172.6"/>
    <n v="157.69999999999999"/>
    <n v="165.1"/>
    <n v="169.9"/>
    <n v="171.4"/>
    <n v="165.4"/>
    <n v="173.1"/>
    <n v="1"/>
  </r>
  <r>
    <x v="3"/>
    <x v="10"/>
    <x v="8"/>
    <n v="160.30000000000001"/>
    <n v="206.5"/>
    <n v="169.2"/>
    <n v="168.1"/>
    <n v="192.4"/>
    <n v="172.9"/>
    <n v="186.7"/>
    <n v="167.2"/>
    <n v="120.9"/>
    <n v="193.6"/>
    <n v="168.8"/>
    <n v="186.3"/>
    <n v="176.3"/>
    <n v="195"/>
    <n v="179.5"/>
    <n v="172.7"/>
    <n v="178.5"/>
    <n v="169"/>
    <n v="178.8"/>
    <n v="168.5"/>
    <n v="176.8"/>
    <n v="161.9"/>
    <n v="166.9"/>
    <n v="172.3"/>
    <n v="171.2"/>
    <n v="169.1"/>
    <n v="174.3"/>
    <n v="1"/>
  </r>
  <r>
    <x v="1"/>
    <x v="10"/>
    <x v="9"/>
    <n v="162.9"/>
    <n v="206.7"/>
    <n v="169"/>
    <n v="169.5"/>
    <n v="194.1"/>
    <n v="164.1"/>
    <n v="176.9"/>
    <n v="169"/>
    <n v="120.8"/>
    <n v="199.1"/>
    <n v="175.4"/>
    <n v="184.8"/>
    <n v="175.5"/>
    <n v="194.5"/>
    <n v="184.7"/>
    <n v="183.3"/>
    <n v="184.5"/>
    <s v="NA"/>
    <n v="179.7"/>
    <n v="173.6"/>
    <n v="180.2"/>
    <n v="166.9"/>
    <n v="170"/>
    <n v="176.2"/>
    <n v="170.8"/>
    <n v="173.1"/>
    <n v="176.4"/>
    <n v="1"/>
  </r>
  <r>
    <x v="2"/>
    <x v="10"/>
    <x v="9"/>
    <n v="164.9"/>
    <n v="213.7"/>
    <n v="170.9"/>
    <n v="170.1"/>
    <n v="179.3"/>
    <n v="167.5"/>
    <n v="220.8"/>
    <n v="169.2"/>
    <n v="123.1"/>
    <n v="193.6"/>
    <n v="161.1"/>
    <n v="190.4"/>
    <n v="181.8"/>
    <n v="199.7"/>
    <n v="175"/>
    <n v="161.69999999999999"/>
    <n v="173"/>
    <n v="169.5"/>
    <n v="179.2"/>
    <n v="165"/>
    <n v="173.8"/>
    <n v="158.19999999999999"/>
    <n v="165.8"/>
    <n v="170.9"/>
    <n v="171.1"/>
    <n v="166.1"/>
    <n v="174.1"/>
    <n v="1"/>
  </r>
  <r>
    <x v="3"/>
    <x v="10"/>
    <x v="9"/>
    <n v="163.5"/>
    <n v="209.2"/>
    <n v="169.7"/>
    <n v="169.7"/>
    <n v="188.7"/>
    <n v="165.7"/>
    <n v="191.8"/>
    <n v="169.1"/>
    <n v="121.6"/>
    <n v="197.3"/>
    <n v="169.4"/>
    <n v="187.4"/>
    <n v="177.8"/>
    <n v="195.9"/>
    <n v="180.9"/>
    <n v="174.3"/>
    <n v="179.9"/>
    <n v="169.5"/>
    <n v="179.5"/>
    <n v="169.5"/>
    <n v="177.8"/>
    <n v="162.30000000000001"/>
    <n v="167.6"/>
    <n v="173.1"/>
    <n v="170.9"/>
    <n v="169.7"/>
    <n v="175.3"/>
    <n v="1"/>
  </r>
  <r>
    <x v="1"/>
    <x v="10"/>
    <x v="10"/>
    <n v="164.7"/>
    <n v="208.8"/>
    <n v="170.3"/>
    <n v="170.9"/>
    <n v="191.6"/>
    <n v="162.19999999999999"/>
    <n v="184.8"/>
    <n v="169.7"/>
    <n v="121.1"/>
    <n v="201.6"/>
    <n v="175.8"/>
    <n v="185.6"/>
    <n v="177.4"/>
    <n v="194.9"/>
    <n v="186.1"/>
    <n v="184.4"/>
    <n v="185.9"/>
    <s v="NA"/>
    <n v="180.8"/>
    <n v="174.4"/>
    <n v="181.2"/>
    <n v="167.4"/>
    <n v="170.6"/>
    <n v="176.5"/>
    <n v="172"/>
    <n v="173.9"/>
    <n v="177.9"/>
    <n v="1"/>
  </r>
  <r>
    <x v="2"/>
    <x v="10"/>
    <x v="10"/>
    <n v="166.4"/>
    <n v="214.9"/>
    <n v="171.9"/>
    <n v="171"/>
    <n v="177.7"/>
    <n v="165.7"/>
    <n v="228.6"/>
    <n v="169.9"/>
    <n v="123.4"/>
    <n v="196.4"/>
    <n v="161.6"/>
    <n v="191.5"/>
    <n v="183.3"/>
    <n v="200.1"/>
    <n v="175.5"/>
    <n v="162.6"/>
    <n v="173.6"/>
    <n v="171.2"/>
    <n v="180"/>
    <n v="166"/>
    <n v="174.7"/>
    <n v="158.80000000000001"/>
    <n v="166.3"/>
    <n v="171.2"/>
    <n v="172.3"/>
    <n v="166.8"/>
    <n v="175.3"/>
    <n v="1"/>
  </r>
  <r>
    <x v="3"/>
    <x v="10"/>
    <x v="10"/>
    <n v="165.2"/>
    <n v="210.9"/>
    <n v="170.9"/>
    <n v="170.9"/>
    <n v="186.5"/>
    <n v="163.80000000000001"/>
    <n v="199.7"/>
    <n v="169.8"/>
    <n v="121.9"/>
    <n v="199.9"/>
    <n v="169.9"/>
    <n v="188.3"/>
    <n v="179.6"/>
    <n v="196.3"/>
    <n v="181.9"/>
    <n v="175.3"/>
    <n v="181"/>
    <n v="171.2"/>
    <n v="180.5"/>
    <n v="170.4"/>
    <n v="178.7"/>
    <n v="162.9"/>
    <n v="168.2"/>
    <n v="173.4"/>
    <n v="172.1"/>
    <n v="170.5"/>
    <n v="176.7"/>
    <n v="1"/>
  </r>
  <r>
    <x v="1"/>
    <x v="10"/>
    <x v="11"/>
    <n v="166.9"/>
    <n v="207.2"/>
    <n v="180.2"/>
    <n v="172.3"/>
    <n v="194"/>
    <n v="159.1"/>
    <n v="171.6"/>
    <n v="170.2"/>
    <n v="121.5"/>
    <n v="204.8"/>
    <n v="176.4"/>
    <n v="186.9"/>
    <n v="176.6"/>
    <n v="195.5"/>
    <n v="187.2"/>
    <n v="185.2"/>
    <n v="186.9"/>
    <s v="NA"/>
    <n v="181.9"/>
    <n v="175.5"/>
    <n v="182.3"/>
    <n v="167.5"/>
    <n v="170.8"/>
    <n v="176.9"/>
    <n v="173.4"/>
    <n v="174.6"/>
    <n v="177.8"/>
    <n v="1"/>
  </r>
  <r>
    <x v="2"/>
    <x v="10"/>
    <x v="11"/>
    <n v="168.4"/>
    <n v="213.4"/>
    <n v="183.2"/>
    <n v="172.3"/>
    <n v="180"/>
    <n v="162.6"/>
    <n v="205.5"/>
    <n v="171"/>
    <n v="123.4"/>
    <n v="198.8"/>
    <n v="162.1"/>
    <n v="192.4"/>
    <n v="181.3"/>
    <n v="200.6"/>
    <n v="176.7"/>
    <n v="163.5"/>
    <n v="174.7"/>
    <n v="171.8"/>
    <n v="180.3"/>
    <n v="166.9"/>
    <n v="175.8"/>
    <n v="158.9"/>
    <n v="166.7"/>
    <n v="171.5"/>
    <n v="173.8"/>
    <n v="167.4"/>
    <n v="174.1"/>
    <n v="1"/>
  </r>
  <r>
    <x v="3"/>
    <x v="10"/>
    <x v="11"/>
    <n v="167.4"/>
    <n v="209.4"/>
    <n v="181.4"/>
    <n v="172.3"/>
    <n v="188.9"/>
    <n v="160.69999999999999"/>
    <n v="183.1"/>
    <n v="170.5"/>
    <n v="122.1"/>
    <n v="202.8"/>
    <n v="170.4"/>
    <n v="189.5"/>
    <n v="178.3"/>
    <n v="196.9"/>
    <n v="183.1"/>
    <n v="176.2"/>
    <n v="182.1"/>
    <n v="171.8"/>
    <n v="181.3"/>
    <n v="171.4"/>
    <n v="179.8"/>
    <n v="163"/>
    <n v="168.5"/>
    <n v="173.7"/>
    <n v="173.6"/>
    <n v="171.1"/>
    <n v="176.5"/>
    <n v="1"/>
  </r>
  <r>
    <x v="1"/>
    <x v="10"/>
    <x v="12"/>
    <n v="168.8"/>
    <n v="206.9"/>
    <n v="189.1"/>
    <n v="173.4"/>
    <n v="193.9"/>
    <n v="156.69999999999999"/>
    <n v="150.19999999999999"/>
    <n v="170.5"/>
    <n v="121.2"/>
    <n v="207.5"/>
    <n v="176.8"/>
    <n v="187.7"/>
    <n v="174.4"/>
    <n v="195.9"/>
    <n v="188.1"/>
    <n v="185.9"/>
    <n v="187.8"/>
    <s v="NA"/>
    <n v="182.8"/>
    <n v="176.4"/>
    <n v="183.5"/>
    <n v="167.8"/>
    <n v="171.2"/>
    <n v="177.3"/>
    <n v="175.7"/>
    <n v="175.5"/>
    <n v="177.1"/>
    <n v="1"/>
  </r>
  <r>
    <x v="2"/>
    <x v="10"/>
    <x v="12"/>
    <n v="170.2"/>
    <n v="212.9"/>
    <n v="191.9"/>
    <n v="173.9"/>
    <n v="179.1"/>
    <n v="159.5"/>
    <n v="178.7"/>
    <n v="171.3"/>
    <n v="123.1"/>
    <n v="200.5"/>
    <n v="162.80000000000001"/>
    <n v="193.3"/>
    <n v="178.6"/>
    <n v="201.1"/>
    <n v="177.7"/>
    <n v="164.5"/>
    <n v="175.7"/>
    <n v="170.7"/>
    <n v="180.6"/>
    <n v="167.3"/>
    <n v="177.2"/>
    <n v="159.4"/>
    <n v="167.1"/>
    <n v="171.8"/>
    <n v="176"/>
    <n v="168.2"/>
    <n v="174.1"/>
    <n v="1"/>
  </r>
  <r>
    <x v="3"/>
    <x v="10"/>
    <x v="12"/>
    <n v="169.2"/>
    <n v="209"/>
    <n v="190.2"/>
    <n v="173.6"/>
    <n v="188.5"/>
    <n v="158"/>
    <n v="159.9"/>
    <n v="170.8"/>
    <n v="121.8"/>
    <n v="205.2"/>
    <n v="171"/>
    <n v="190.3"/>
    <n v="175.9"/>
    <n v="197.3"/>
    <n v="184"/>
    <n v="177"/>
    <n v="183"/>
    <n v="170.7"/>
    <n v="182"/>
    <n v="172.1"/>
    <n v="181.1"/>
    <n v="163.4"/>
    <n v="168.9"/>
    <n v="174.1"/>
    <n v="175.8"/>
    <n v="172"/>
    <n v="175.7"/>
    <n v="0"/>
  </r>
  <r>
    <x v="1"/>
    <x v="11"/>
    <x v="1"/>
    <n v="174"/>
    <n v="208.3"/>
    <n v="192.9"/>
    <n v="174.3"/>
    <n v="192.6"/>
    <n v="156.30000000000001"/>
    <n v="142.9"/>
    <n v="170.7"/>
    <n v="120.3"/>
    <n v="210.5"/>
    <n v="176.9"/>
    <n v="188.5"/>
    <n v="175"/>
    <n v="196.9"/>
    <n v="189"/>
    <n v="186.3"/>
    <n v="188.6"/>
    <s v="NA"/>
    <n v="183.2"/>
    <n v="177.2"/>
    <n v="184.7"/>
    <n v="168.2"/>
    <n v="171.8"/>
    <n v="177.8"/>
    <n v="178.4"/>
    <n v="176.5"/>
    <n v="177.8"/>
    <n v="1"/>
  </r>
  <r>
    <x v="2"/>
    <x v="11"/>
    <x v="1"/>
    <n v="173.3"/>
    <n v="215.2"/>
    <n v="197"/>
    <n v="175.2"/>
    <n v="178"/>
    <n v="160.5"/>
    <n v="175.3"/>
    <n v="171.2"/>
    <n v="122.7"/>
    <n v="204.3"/>
    <n v="163.69999999999999"/>
    <n v="194.3"/>
    <n v="179.5"/>
    <n v="201.6"/>
    <n v="178.7"/>
    <n v="165.3"/>
    <n v="176.6"/>
    <n v="172.1"/>
    <n v="180.1"/>
    <n v="168"/>
    <n v="178.5"/>
    <n v="159.5"/>
    <n v="167.8"/>
    <n v="171.8"/>
    <n v="178.8"/>
    <n v="168.9"/>
    <n v="174.9"/>
    <n v="1"/>
  </r>
  <r>
    <x v="3"/>
    <x v="11"/>
    <x v="1"/>
    <n v="173.8"/>
    <n v="210.7"/>
    <n v="194.5"/>
    <n v="174.6"/>
    <n v="187.2"/>
    <n v="158.30000000000001"/>
    <n v="153.9"/>
    <n v="170.9"/>
    <n v="121.1"/>
    <n v="208.4"/>
    <n v="171.4"/>
    <n v="191.2"/>
    <n v="176.7"/>
    <n v="198.2"/>
    <n v="184.9"/>
    <n v="177.6"/>
    <n v="183.8"/>
    <n v="172.1"/>
    <n v="182"/>
    <n v="172.9"/>
    <n v="182.3"/>
    <n v="163.6"/>
    <n v="169.5"/>
    <n v="174.3"/>
    <n v="178.6"/>
    <n v="172.8"/>
    <n v="176.5"/>
    <n v="1"/>
  </r>
  <r>
    <x v="1"/>
    <x v="11"/>
    <x v="2"/>
    <n v="174.2"/>
    <n v="205.2"/>
    <n v="173.9"/>
    <n v="177"/>
    <n v="183.4"/>
    <n v="167.2"/>
    <n v="140.9"/>
    <n v="170.4"/>
    <n v="119.1"/>
    <n v="212.1"/>
    <n v="177.6"/>
    <n v="189.9"/>
    <n v="174.8"/>
    <n v="198.3"/>
    <n v="190"/>
    <n v="187"/>
    <n v="189.6"/>
    <s v="NA"/>
    <n v="181.6"/>
    <n v="178.6"/>
    <n v="186.6"/>
    <n v="169"/>
    <n v="172.8"/>
    <n v="178.5"/>
    <n v="180.7"/>
    <n v="177.9"/>
    <n v="178"/>
    <n v="1"/>
  </r>
  <r>
    <x v="2"/>
    <x v="11"/>
    <x v="2"/>
    <n v="174.7"/>
    <n v="212.2"/>
    <n v="177.2"/>
    <n v="177.9"/>
    <n v="172.2"/>
    <n v="172.1"/>
    <n v="175.8"/>
    <n v="172.2"/>
    <n v="121.9"/>
    <n v="204.8"/>
    <n v="164.9"/>
    <n v="196.6"/>
    <n v="180.7"/>
    <n v="202.7"/>
    <n v="180.3"/>
    <n v="167"/>
    <n v="178.2"/>
    <n v="173.5"/>
    <n v="182.8"/>
    <n v="169.2"/>
    <n v="180.8"/>
    <n v="159.80000000000001"/>
    <n v="168.4"/>
    <n v="172.5"/>
    <n v="181.4"/>
    <n v="170"/>
    <n v="176.3"/>
    <n v="1"/>
  </r>
  <r>
    <x v="3"/>
    <x v="11"/>
    <x v="2"/>
    <n v="174.4"/>
    <n v="207.7"/>
    <n v="175.2"/>
    <n v="177.3"/>
    <n v="179.3"/>
    <n v="169.5"/>
    <n v="152.69999999999999"/>
    <n v="171"/>
    <n v="120"/>
    <n v="209.7"/>
    <n v="172.3"/>
    <n v="193"/>
    <n v="177"/>
    <n v="199.5"/>
    <n v="186.2"/>
    <n v="178.7"/>
    <n v="185.1"/>
    <n v="173.5"/>
    <n v="182.1"/>
    <n v="174.2"/>
    <n v="184.4"/>
    <n v="164.2"/>
    <n v="170.3"/>
    <n v="175"/>
    <n v="181"/>
    <n v="174.1"/>
    <n v="177.2"/>
    <n v="1"/>
  </r>
  <r>
    <x v="1"/>
    <x v="11"/>
    <x v="3"/>
    <n v="174.3"/>
    <n v="205.2"/>
    <n v="173.9"/>
    <n v="177"/>
    <n v="183.3"/>
    <n v="167.2"/>
    <n v="140.9"/>
    <n v="170.5"/>
    <n v="119.1"/>
    <n v="212.1"/>
    <n v="177.6"/>
    <n v="189.9"/>
    <n v="174.8"/>
    <n v="198.4"/>
    <n v="190"/>
    <n v="187"/>
    <n v="189.6"/>
    <s v="NA"/>
    <n v="181.4"/>
    <n v="178.6"/>
    <n v="186.6"/>
    <n v="169"/>
    <n v="172.8"/>
    <n v="178.5"/>
    <n v="180.7"/>
    <n v="177.9"/>
    <n v="178"/>
    <n v="1"/>
  </r>
  <r>
    <x v="2"/>
    <x v="11"/>
    <x v="3"/>
    <n v="174.7"/>
    <n v="212.2"/>
    <n v="177.2"/>
    <n v="177.9"/>
    <n v="172.2"/>
    <n v="172.1"/>
    <n v="175.9"/>
    <n v="172.2"/>
    <n v="121.9"/>
    <n v="204.8"/>
    <n v="164.9"/>
    <n v="196.6"/>
    <n v="180.8"/>
    <n v="202.7"/>
    <n v="180.2"/>
    <n v="167"/>
    <n v="178.2"/>
    <n v="173.5"/>
    <n v="182.6"/>
    <n v="169.2"/>
    <n v="180.8"/>
    <n v="159.80000000000001"/>
    <n v="168.4"/>
    <n v="172.5"/>
    <n v="181.5"/>
    <n v="170"/>
    <n v="176.3"/>
    <n v="1"/>
  </r>
  <r>
    <x v="3"/>
    <x v="11"/>
    <x v="3"/>
    <n v="174.4"/>
    <n v="207.7"/>
    <n v="175.2"/>
    <n v="177.3"/>
    <n v="179.2"/>
    <n v="169.5"/>
    <n v="152.80000000000001"/>
    <n v="171.1"/>
    <n v="120"/>
    <n v="209.7"/>
    <n v="172.3"/>
    <n v="193"/>
    <n v="177"/>
    <n v="199.5"/>
    <n v="186.1"/>
    <n v="178.7"/>
    <n v="185.1"/>
    <n v="173.5"/>
    <n v="181.9"/>
    <n v="174.2"/>
    <n v="184.4"/>
    <n v="164.2"/>
    <n v="170.3"/>
    <n v="175"/>
    <n v="181"/>
    <n v="174.1"/>
    <n v="177.2"/>
    <n v="1"/>
  </r>
  <r>
    <x v="1"/>
    <x v="11"/>
    <x v="4"/>
    <n v="173.3"/>
    <n v="206.9"/>
    <n v="167.9"/>
    <n v="178.2"/>
    <n v="178.5"/>
    <n v="173.7"/>
    <n v="142.80000000000001"/>
    <n v="172.8"/>
    <n v="120.4"/>
    <n v="215.5"/>
    <n v="178.2"/>
    <n v="190.5"/>
    <n v="175.5"/>
    <n v="199.5"/>
    <n v="190.7"/>
    <n v="187.3"/>
    <n v="190.2"/>
    <s v="-"/>
    <n v="181.5"/>
    <n v="179.1"/>
    <n v="187.2"/>
    <n v="169.4"/>
    <n v="173.2"/>
    <n v="179.4"/>
    <n v="183.8"/>
    <n v="178.9"/>
    <n v="178.8"/>
    <n v="1"/>
  </r>
  <r>
    <x v="2"/>
    <x v="11"/>
    <x v="4"/>
    <n v="174.8"/>
    <n v="213.7"/>
    <n v="172.4"/>
    <n v="178.8"/>
    <n v="168.7"/>
    <n v="179.2"/>
    <n v="179.9"/>
    <n v="174.7"/>
    <n v="123.1"/>
    <n v="207.8"/>
    <n v="165.5"/>
    <n v="197"/>
    <n v="182.1"/>
    <n v="203.5"/>
    <n v="181"/>
    <n v="167.7"/>
    <n v="178.9"/>
    <n v="175.2"/>
    <n v="182.1"/>
    <n v="169.6"/>
    <n v="181.5"/>
    <n v="160.1"/>
    <n v="168.8"/>
    <n v="174.2"/>
    <n v="184.4"/>
    <n v="170.9"/>
    <n v="177.4"/>
    <n v="1"/>
  </r>
  <r>
    <x v="3"/>
    <x v="11"/>
    <x v="4"/>
    <n v="173.8"/>
    <n v="209.3"/>
    <n v="169.6"/>
    <n v="178.4"/>
    <n v="174.9"/>
    <n v="176.3"/>
    <n v="155.4"/>
    <n v="173.4"/>
    <n v="121.3"/>
    <n v="212.9"/>
    <n v="172.9"/>
    <n v="193.5"/>
    <n v="177.9"/>
    <n v="200.6"/>
    <n v="186.9"/>
    <n v="179.2"/>
    <n v="185.7"/>
    <n v="175.2"/>
    <n v="181.7"/>
    <n v="174.6"/>
    <n v="185"/>
    <n v="164.5"/>
    <n v="170.7"/>
    <n v="176.4"/>
    <n v="184"/>
    <n v="175"/>
    <n v="178.1"/>
    <n v="1"/>
  </r>
  <r>
    <x v="1"/>
    <x v="11"/>
    <x v="5"/>
    <n v="173.2"/>
    <n v="211.5"/>
    <n v="171"/>
    <n v="179.6"/>
    <n v="173.3"/>
    <n v="169"/>
    <n v="148.69999999999999"/>
    <n v="174.9"/>
    <n v="121.9"/>
    <n v="221"/>
    <n v="178.7"/>
    <n v="191.1"/>
    <n v="176.8"/>
    <n v="199.9"/>
    <n v="191.2"/>
    <n v="187.9"/>
    <n v="190.8"/>
    <s v="-"/>
    <n v="182.5"/>
    <n v="179.8"/>
    <n v="187.8"/>
    <n v="169.7"/>
    <n v="173.8"/>
    <n v="180.3"/>
    <n v="184.9"/>
    <n v="179.5"/>
    <n v="179.8"/>
    <n v="1"/>
  </r>
  <r>
    <x v="2"/>
    <x v="11"/>
    <x v="5"/>
    <n v="174.7"/>
    <n v="219.4"/>
    <n v="176.7"/>
    <n v="179.4"/>
    <n v="164.4"/>
    <n v="175.8"/>
    <n v="185"/>
    <n v="176.9"/>
    <n v="124.2"/>
    <n v="211.9"/>
    <n v="165.9"/>
    <n v="197.7"/>
    <n v="183.1"/>
    <n v="204.2"/>
    <n v="181.3"/>
    <n v="168.1"/>
    <n v="179.3"/>
    <n v="175.6"/>
    <n v="183.4"/>
    <n v="170.1"/>
    <n v="182.2"/>
    <n v="160.4"/>
    <n v="169.2"/>
    <n v="174.8"/>
    <n v="185.6"/>
    <n v="171.6"/>
    <n v="178.2"/>
    <n v="1"/>
  </r>
  <r>
    <x v="3"/>
    <x v="11"/>
    <x v="5"/>
    <n v="173.7"/>
    <n v="214.3"/>
    <n v="173.2"/>
    <n v="179.5"/>
    <n v="170"/>
    <n v="172.2"/>
    <n v="161"/>
    <n v="175.6"/>
    <n v="122.7"/>
    <n v="218"/>
    <n v="173.4"/>
    <n v="194.2"/>
    <n v="179.1"/>
    <n v="201"/>
    <n v="187.3"/>
    <n v="179.7"/>
    <n v="186.2"/>
    <n v="175.6"/>
    <n v="182.8"/>
    <n v="175.2"/>
    <n v="185.7"/>
    <n v="164.8"/>
    <n v="171.2"/>
    <n v="177.1"/>
    <n v="185.2"/>
    <n v="175.7"/>
    <n v="179.1"/>
    <n v="0"/>
  </r>
  <r>
    <x v="4"/>
    <x v="12"/>
    <x v="13"/>
    <m/>
    <m/>
    <m/>
    <m/>
    <m/>
    <m/>
    <m/>
    <m/>
    <m/>
    <m/>
    <m/>
    <m/>
    <m/>
    <m/>
    <m/>
    <m/>
    <m/>
    <m/>
    <m/>
    <m/>
    <m/>
    <m/>
    <m/>
    <m/>
    <m/>
    <m/>
    <m/>
    <n v="0"/>
  </r>
  <r>
    <x v="4"/>
    <x v="12"/>
    <x v="13"/>
    <m/>
    <m/>
    <m/>
    <m/>
    <m/>
    <m/>
    <m/>
    <m/>
    <m/>
    <m/>
    <m/>
    <m/>
    <m/>
    <m/>
    <m/>
    <m/>
    <m/>
    <m/>
    <m/>
    <m/>
    <m/>
    <m/>
    <m/>
    <m/>
    <m/>
    <m/>
    <m/>
    <n v="0"/>
  </r>
  <r>
    <x v="4"/>
    <x v="12"/>
    <x v="13"/>
    <m/>
    <m/>
    <m/>
    <m/>
    <m/>
    <m/>
    <m/>
    <m/>
    <m/>
    <m/>
    <m/>
    <m/>
    <m/>
    <m/>
    <m/>
    <m/>
    <m/>
    <m/>
    <m/>
    <m/>
    <m/>
    <m/>
    <m/>
    <m/>
    <m/>
    <m/>
    <m/>
    <n v="0"/>
  </r>
  <r>
    <x v="4"/>
    <x v="12"/>
    <x v="13"/>
    <m/>
    <m/>
    <m/>
    <m/>
    <m/>
    <m/>
    <m/>
    <m/>
    <m/>
    <m/>
    <m/>
    <m/>
    <m/>
    <m/>
    <m/>
    <m/>
    <m/>
    <m/>
    <m/>
    <m/>
    <m/>
    <m/>
    <m/>
    <m/>
    <m/>
    <m/>
    <m/>
    <n v="0"/>
  </r>
  <r>
    <x v="4"/>
    <x v="12"/>
    <x v="13"/>
    <m/>
    <m/>
    <m/>
    <m/>
    <m/>
    <m/>
    <m/>
    <m/>
    <m/>
    <m/>
    <m/>
    <m/>
    <m/>
    <m/>
    <m/>
    <m/>
    <m/>
    <m/>
    <m/>
    <m/>
    <m/>
    <m/>
    <m/>
    <m/>
    <m/>
    <m/>
    <m/>
    <n v="0"/>
  </r>
  <r>
    <x v="4"/>
    <x v="12"/>
    <x v="13"/>
    <m/>
    <m/>
    <m/>
    <m/>
    <m/>
    <m/>
    <m/>
    <m/>
    <m/>
    <m/>
    <m/>
    <m/>
    <m/>
    <m/>
    <m/>
    <m/>
    <m/>
    <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EDBA2-93BF-49A9-A3FA-39C7DA9835DC}" name="PivotTable2" cacheId="6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5:G33" firstHeaderRow="1" firstDataRow="2" firstDataCol="2" rowPageCount="1" colPageCount="1"/>
  <pivotFields count="31">
    <pivotField axis="axisRow" compact="0" outline="0" showAll="0">
      <items count="4">
        <item x="0"/>
        <item x="2"/>
        <item x="1"/>
        <item t="default"/>
      </items>
    </pivotField>
    <pivotField axis="axisRow" compact="0" outline="0" showAll="0">
      <items count="12">
        <item x="0"/>
        <item x="1"/>
        <item x="2"/>
        <item x="3"/>
        <item x="4"/>
        <item x="5"/>
        <item x="6"/>
        <item x="7"/>
        <item x="8"/>
        <item x="9"/>
        <item x="10"/>
        <item t="default"/>
      </items>
    </pivotField>
    <pivotField axis="axisCol" compact="0" outline="0" showAll="0">
      <items count="13">
        <item x="0"/>
        <item x="1"/>
        <item x="2"/>
        <item x="3"/>
        <item x="4"/>
        <item x="5"/>
        <item x="6"/>
        <item x="7"/>
        <item x="8"/>
        <item x="9"/>
        <item x="10"/>
        <item x="11"/>
        <item t="default"/>
      </items>
    </pivotField>
    <pivotField compact="0" outline="0" showAll="0"/>
    <pivotField axis="axisPage" dataField="1" compact="0" outline="0" showAll="0">
      <items count="292">
        <item h="1" x="0"/>
        <item h="1" x="2"/>
        <item h="1" x="3"/>
        <item h="1" x="6"/>
        <item h="1" x="1"/>
        <item h="1" x="9"/>
        <item h="1" x="8"/>
        <item h="1" x="12"/>
        <item h="1" x="5"/>
        <item h="1" x="11"/>
        <item h="1" x="14"/>
        <item h="1" x="7"/>
        <item h="1" x="15"/>
        <item h="1" x="4"/>
        <item h="1" x="10"/>
        <item h="1" x="13"/>
        <item h="1" x="17"/>
        <item h="1" x="20"/>
        <item h="1" x="23"/>
        <item h="1" x="28"/>
        <item h="1" x="27"/>
        <item h="1" x="19"/>
        <item h="1" x="29"/>
        <item h="1" x="25"/>
        <item h="1" x="30"/>
        <item h="1" x="22"/>
        <item h="1" x="33"/>
        <item h="1" x="26"/>
        <item h="1" x="32"/>
        <item h="1" x="36"/>
        <item h="1" x="24"/>
        <item h="1" x="18"/>
        <item h="1" x="35"/>
        <item h="1" x="38"/>
        <item h="1" x="16"/>
        <item h="1" x="39"/>
        <item h="1" x="21"/>
        <item h="1" x="34"/>
        <item h="1" x="41"/>
        <item h="1" x="37"/>
        <item h="1" x="31"/>
        <item h="1" x="50"/>
        <item h="1" x="44"/>
        <item h="1" x="55"/>
        <item h="1" x="47"/>
        <item h="1" x="43"/>
        <item h="1" x="59"/>
        <item h="1" x="52"/>
        <item h="1" x="57"/>
        <item h="1" x="54"/>
        <item h="1" x="46"/>
        <item h="1" x="40"/>
        <item h="1" x="49"/>
        <item h="1" x="58"/>
        <item h="1" x="62"/>
        <item h="1" x="51"/>
        <item h="1" x="60"/>
        <item h="1" x="56"/>
        <item h="1" x="42"/>
        <item h="1" x="53"/>
        <item h="1" x="45"/>
        <item h="1" x="61"/>
        <item h="1" x="63"/>
        <item h="1" x="65"/>
        <item h="1" x="48"/>
        <item h="1" x="67"/>
        <item h="1" x="64"/>
        <item h="1" x="79"/>
        <item h="1" x="78"/>
        <item h="1" x="66"/>
        <item h="1" x="80"/>
        <item h="1" x="82"/>
        <item h="1" x="68"/>
        <item h="1" x="81"/>
        <item h="1" x="77"/>
        <item h="1" x="74"/>
        <item h="1" x="76"/>
        <item h="1" x="71"/>
        <item h="1" x="75"/>
        <item h="1" x="70"/>
        <item h="1" x="73"/>
        <item h="1" x="83"/>
        <item h="1" x="86"/>
        <item h="1" x="85"/>
        <item h="1" x="88"/>
        <item h="1" x="72"/>
        <item h="1" x="69"/>
        <item h="1" x="87"/>
        <item h="1" x="90"/>
        <item h="1" x="84"/>
        <item h="1" x="89"/>
        <item h="1" x="92"/>
        <item h="1" x="113"/>
        <item h="1" x="110"/>
        <item h="1" x="93"/>
        <item h="1" x="107"/>
        <item h="1" x="105"/>
        <item h="1" x="112"/>
        <item h="1" x="109"/>
        <item h="1" x="106"/>
        <item h="1" x="104"/>
        <item h="1" x="115"/>
        <item h="1" x="108"/>
        <item h="1" x="111"/>
        <item h="1" x="96"/>
        <item h="1" x="119"/>
        <item h="1" x="102"/>
        <item h="1" x="114"/>
        <item h="1" x="118"/>
        <item h="1" x="95"/>
        <item h="1" x="91"/>
        <item h="1" x="117"/>
        <item h="1" x="99"/>
        <item h="1" x="116"/>
        <item h="1" x="103"/>
        <item h="1" x="98"/>
        <item h="1" x="120"/>
        <item h="1" x="101"/>
        <item h="1" x="122"/>
        <item h="1" x="133"/>
        <item h="1" x="130"/>
        <item h="1" x="94"/>
        <item h="1" x="135"/>
        <item h="1" x="132"/>
        <item h="1" x="136"/>
        <item h="1" x="137"/>
        <item h="1" x="134"/>
        <item h="1" x="131"/>
        <item h="1" x="128"/>
        <item h="1" x="138"/>
        <item h="1" x="129"/>
        <item h="1" x="140"/>
        <item h="1" x="142"/>
        <item h="1" x="123"/>
        <item h="1" x="141"/>
        <item h="1" x="97"/>
        <item h="1" x="121"/>
        <item h="1" x="100"/>
        <item h="1" x="144"/>
        <item h="1" x="139"/>
        <item h="1" x="143"/>
        <item h="1" x="158"/>
        <item h="1" x="125"/>
        <item h="1" x="127"/>
        <item h="1" x="156"/>
        <item h="1" x="161"/>
        <item h="1" x="153"/>
        <item h="1" x="146"/>
        <item h="1" x="155"/>
        <item h="1" x="157"/>
        <item h="1" x="164"/>
        <item h="1" x="154"/>
        <item h="1" x="147"/>
        <item h="1" x="145"/>
        <item h="1" x="126"/>
        <item h="1" x="150"/>
        <item h="1" x="124"/>
        <item h="1" x="152"/>
        <item h="1" x="151"/>
        <item h="1" x="162"/>
        <item h="1" x="149"/>
        <item h="1" x="167"/>
        <item h="1" x="159"/>
        <item h="1" x="148"/>
        <item h="1" x="170"/>
        <item h="1" x="165"/>
        <item h="1" x="160"/>
        <item h="1" x="173"/>
        <item h="1" x="168"/>
        <item h="1" x="163"/>
        <item h="1" x="171"/>
        <item h="1" x="166"/>
        <item h="1" x="169"/>
        <item h="1" x="172"/>
        <item h="1" x="175"/>
        <item h="1" x="184"/>
        <item h="1" x="176"/>
        <item h="1" x="186"/>
        <item h="1" x="174"/>
        <item h="1" x="178"/>
        <item h="1" x="189"/>
        <item h="1" x="181"/>
        <item h="1" x="185"/>
        <item h="1" x="187"/>
        <item h="1" x="190"/>
        <item h="1" x="188"/>
        <item h="1" x="183"/>
        <item h="1" x="179"/>
        <item h="1" x="192"/>
        <item h="1" x="182"/>
        <item h="1" x="193"/>
        <item h="1" x="177"/>
        <item h="1" x="191"/>
        <item h="1" x="180"/>
        <item h="1" x="195"/>
        <item h="1" x="196"/>
        <item h="1" x="194"/>
        <item h="1" x="201"/>
        <item h="1" x="202"/>
        <item h="1" x="197"/>
        <item h="1" x="199"/>
        <item h="1" x="200"/>
        <item h="1" x="198"/>
        <item h="1" x="210"/>
        <item h="1" x="224"/>
        <item h="1" x="213"/>
        <item h="1" x="226"/>
        <item h="1" x="212"/>
        <item h="1" x="207"/>
        <item h="1" x="221"/>
        <item h="1" x="219"/>
        <item h="1" x="216"/>
        <item h="1" x="215"/>
        <item h="1" x="227"/>
        <item h="1" x="223"/>
        <item h="1" x="204"/>
        <item h="1" x="209"/>
        <item h="1" x="218"/>
        <item h="1" x="225"/>
        <item h="1" x="229"/>
        <item h="1" x="206"/>
        <item h="1" x="211"/>
        <item h="1" x="214"/>
        <item h="1" x="222"/>
        <item h="1" x="217"/>
        <item h="1" x="220"/>
        <item h="1" x="252"/>
        <item h="1" x="205"/>
        <item h="1" x="228"/>
        <item h="1" x="208"/>
        <item h="1" x="231"/>
        <item h="1" x="254"/>
        <item h="1" x="232"/>
        <item h="1" x="253"/>
        <item h="1" x="251"/>
        <item h="1" x="247"/>
        <item h="1" x="235"/>
        <item h="1" x="234"/>
        <item h="1" x="256"/>
        <item h="1" x="249"/>
        <item h="1" x="237"/>
        <item h="1" x="244"/>
        <item h="1" x="250"/>
        <item h="1" x="241"/>
        <item h="1" x="230"/>
        <item h="1" x="243"/>
        <item h="1" x="271"/>
        <item h="1" x="233"/>
        <item h="1" x="238"/>
        <item h="1" x="246"/>
        <item h="1" x="248"/>
        <item h="1" x="255"/>
        <item h="1" x="236"/>
        <item h="1" x="272"/>
        <item h="1" x="273"/>
        <item h="1" x="240"/>
        <item h="1" x="281"/>
        <item h="1" x="278"/>
        <item h="1" x="242"/>
        <item h="1" x="287"/>
        <item h="1" x="257"/>
        <item h="1" x="284"/>
        <item h="1" x="245"/>
        <item h="1" x="276"/>
        <item h="1" x="283"/>
        <item h="1" x="275"/>
        <item h="1" x="288"/>
        <item h="1" x="280"/>
        <item h="1" x="260"/>
        <item h="1" x="259"/>
        <item h="1" x="268"/>
        <item h="1" x="239"/>
        <item h="1" x="289"/>
        <item h="1" x="261"/>
        <item h="1" x="286"/>
        <item h="1" x="282"/>
        <item h="1" x="270"/>
        <item h="1" x="279"/>
        <item h="1" x="274"/>
        <item h="1" x="290"/>
        <item h="1" x="262"/>
        <item h="1" x="277"/>
        <item h="1" x="285"/>
        <item h="1" x="258"/>
        <item h="1" x="264"/>
        <item h="1" x="269"/>
        <item h="1" x="265"/>
        <item h="1" x="267"/>
        <item h="1" x="263"/>
        <item h="1" x="266"/>
        <item x="20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1"/>
  </rowFields>
  <rowItems count="7">
    <i>
      <x/>
      <x v="7"/>
    </i>
    <i t="default">
      <x/>
    </i>
    <i>
      <x v="1"/>
      <x v="7"/>
    </i>
    <i t="default">
      <x v="1"/>
    </i>
    <i>
      <x v="2"/>
      <x v="7"/>
    </i>
    <i t="default">
      <x v="2"/>
    </i>
    <i t="grand">
      <x/>
    </i>
  </rowItems>
  <colFields count="1">
    <field x="2"/>
  </colFields>
  <colItems count="3">
    <i>
      <x v="3"/>
    </i>
    <i>
      <x v="4"/>
    </i>
    <i t="grand">
      <x/>
    </i>
  </colItems>
  <pageFields count="1">
    <pageField fld="4" item="290" hier="-1"/>
  </pageFields>
  <dataFields count="1">
    <dataField name="Count of Meat and fish"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B27370-521D-4FE0-974E-C7A12FB1C087}" name="PivotTable3" cacheId="6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8:Q56" firstHeaderRow="1" firstDataRow="2" firstDataCol="2" rowPageCount="1" colPageCount="1"/>
  <pivotFields count="31">
    <pivotField axis="axisRow" compact="0" outline="0" showAll="0">
      <items count="4">
        <item x="0"/>
        <item x="2"/>
        <item x="1"/>
        <item t="default"/>
      </items>
    </pivotField>
    <pivotField axis="axisRow" compact="0" outline="0" showAll="0">
      <items count="12">
        <item x="0"/>
        <item x="1"/>
        <item x="2"/>
        <item x="3"/>
        <item x="4"/>
        <item x="5"/>
        <item x="6"/>
        <item x="7"/>
        <item x="8"/>
        <item x="9"/>
        <item x="10"/>
        <item t="default"/>
      </items>
    </pivotField>
    <pivotField axis="axisCol"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119">
        <item h="1" x="1"/>
        <item h="1" x="2"/>
        <item h="1" x="3"/>
        <item h="1" x="4"/>
        <item h="1" x="5"/>
        <item h="1" x="6"/>
        <item h="1" x="7"/>
        <item h="1" x="8"/>
        <item h="1" x="10"/>
        <item h="1" x="9"/>
        <item h="1" x="11"/>
        <item h="1" x="12"/>
        <item h="1" x="13"/>
        <item h="1" x="14"/>
        <item h="1" x="15"/>
        <item h="1" x="16"/>
        <item h="1" x="17"/>
        <item h="1" x="18"/>
        <item h="1" x="21"/>
        <item h="1" x="19"/>
        <item h="1" x="20"/>
        <item h="1" x="22"/>
        <item h="1" x="23"/>
        <item h="1" x="24"/>
        <item h="1" x="27"/>
        <item h="1" x="25"/>
        <item h="1" x="26"/>
        <item h="1" x="28"/>
        <item h="1" x="29"/>
        <item h="1" x="30"/>
        <item h="1" x="31"/>
        <item h="1" x="32"/>
        <item h="1" x="33"/>
        <item h="1" x="34"/>
        <item h="1" x="35"/>
        <item h="1" x="38"/>
        <item h="1" x="36"/>
        <item h="1" x="37"/>
        <item h="1" x="39"/>
        <item h="1" x="40"/>
        <item h="1" x="41"/>
        <item h="1" x="44"/>
        <item h="1" x="42"/>
        <item h="1" x="43"/>
        <item h="1" x="45"/>
        <item h="1" x="46"/>
        <item h="1" x="47"/>
        <item h="1" x="50"/>
        <item h="1" x="48"/>
        <item h="1" x="49"/>
        <item h="1" x="51"/>
        <item h="1" x="52"/>
        <item h="1" x="53"/>
        <item h="1" x="54"/>
        <item h="1" x="55"/>
        <item h="1" x="56"/>
        <item h="1" x="57"/>
        <item h="1" x="58"/>
        <item h="1" x="59"/>
        <item h="1" x="62"/>
        <item h="1" x="60"/>
        <item h="1" x="61"/>
        <item h="1" x="63"/>
        <item h="1" x="64"/>
        <item h="1" x="65"/>
        <item h="1" x="66"/>
        <item h="1" x="68"/>
        <item h="1" x="67"/>
        <item h="1" x="69"/>
        <item h="1" x="70"/>
        <item h="1" x="71"/>
        <item h="1" x="73"/>
        <item h="1" x="72"/>
        <item h="1" x="74"/>
        <item h="1" x="75"/>
        <item h="1" x="76"/>
        <item h="1" x="79"/>
        <item h="1" x="77"/>
        <item h="1" x="78"/>
        <item h="1" x="80"/>
        <item h="1" x="82"/>
        <item h="1" x="84"/>
        <item h="1" x="81"/>
        <item h="1" x="85"/>
        <item h="1" x="83"/>
        <item h="1" x="86"/>
        <item h="1" x="87"/>
        <item h="1" x="90"/>
        <item h="1" x="88"/>
        <item h="1" x="89"/>
        <item h="1" x="91"/>
        <item h="1" x="93"/>
        <item h="1" x="96"/>
        <item h="1" x="94"/>
        <item h="1" x="97"/>
        <item h="1" x="95"/>
        <item h="1" x="98"/>
        <item h="1" x="101"/>
        <item h="1" x="99"/>
        <item h="1" x="100"/>
        <item h="1" x="102"/>
        <item h="1" x="104"/>
        <item h="1" x="103"/>
        <item h="1" x="107"/>
        <item h="1" x="105"/>
        <item h="1" x="106"/>
        <item h="1" x="108"/>
        <item h="1" x="109"/>
        <item h="1" x="110"/>
        <item h="1" x="113"/>
        <item h="1" x="111"/>
        <item h="1" x="112"/>
        <item h="1" x="114"/>
        <item h="1" x="115"/>
        <item h="1" x="116"/>
        <item h="1" x="117"/>
        <item x="9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1"/>
  </rowFields>
  <rowItems count="17">
    <i>
      <x/>
      <x/>
    </i>
    <i r="1">
      <x v="1"/>
    </i>
    <i r="1">
      <x v="2"/>
    </i>
    <i r="1">
      <x v="3"/>
    </i>
    <i r="1">
      <x v="4"/>
    </i>
    <i r="1">
      <x v="5"/>
    </i>
    <i r="1">
      <x v="6"/>
    </i>
    <i r="1">
      <x v="7"/>
    </i>
    <i r="1">
      <x v="8"/>
    </i>
    <i r="1">
      <x v="9"/>
    </i>
    <i r="1">
      <x v="10"/>
    </i>
    <i t="default">
      <x/>
    </i>
    <i>
      <x v="1"/>
      <x v="7"/>
    </i>
    <i t="default">
      <x v="1"/>
    </i>
    <i>
      <x v="2"/>
      <x v="7"/>
    </i>
    <i t="default">
      <x v="2"/>
    </i>
    <i t="grand">
      <x/>
    </i>
  </rowItems>
  <colFields count="1">
    <field x="2"/>
  </colFields>
  <colItems count="13">
    <i>
      <x/>
    </i>
    <i>
      <x v="1"/>
    </i>
    <i>
      <x v="2"/>
    </i>
    <i>
      <x v="3"/>
    </i>
    <i>
      <x v="4"/>
    </i>
    <i>
      <x v="5"/>
    </i>
    <i>
      <x v="6"/>
    </i>
    <i>
      <x v="7"/>
    </i>
    <i>
      <x v="8"/>
    </i>
    <i>
      <x v="9"/>
    </i>
    <i>
      <x v="10"/>
    </i>
    <i>
      <x v="11"/>
    </i>
    <i t="grand">
      <x/>
    </i>
  </colItems>
  <pageFields count="1">
    <pageField fld="20" hier="-1"/>
  </pageFields>
  <dataFields count="1">
    <dataField name="Count of Housing" fld="2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12778D-7C2F-4E8C-8D47-733D6FFDF27D}" name="PivotTable1" cacheId="6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6:F16" firstHeaderRow="1" firstDataRow="1" firstDataCol="3" rowPageCount="1" colPageCount="1"/>
  <pivotFields count="31">
    <pivotField axis="axisRow" compact="0" outline="0" showAll="0">
      <items count="4">
        <item x="0"/>
        <item x="2"/>
        <item x="1"/>
        <item t="default"/>
      </items>
    </pivotField>
    <pivotField axis="axisRow" compact="0" outline="0" showAll="0">
      <items count="12">
        <item x="0"/>
        <item x="1"/>
        <item x="2"/>
        <item x="3"/>
        <item x="4"/>
        <item x="5"/>
        <item x="6"/>
        <item x="7"/>
        <item x="8"/>
        <item x="9"/>
        <item x="10"/>
        <item t="default"/>
      </items>
    </pivotField>
    <pivotField axis="axisRow" compact="0" outline="0" showAll="0">
      <items count="13">
        <item x="0"/>
        <item x="1"/>
        <item x="2"/>
        <item x="3"/>
        <item x="4"/>
        <item x="5"/>
        <item x="6"/>
        <item x="7"/>
        <item x="8"/>
        <item x="9"/>
        <item x="10"/>
        <item x="11"/>
        <item t="default"/>
      </items>
    </pivotField>
    <pivotField axis="axisPage" dataField="1" compact="0" outline="0" showAll="0">
      <items count="254">
        <item h="1" x="0"/>
        <item h="1" x="2"/>
        <item h="1" x="3"/>
        <item h="1" x="6"/>
        <item h="1" x="5"/>
        <item h="1" x="1"/>
        <item h="1" x="11"/>
        <item h="1" x="8"/>
        <item h="1" x="10"/>
        <item h="1" x="13"/>
        <item h="1" x="4"/>
        <item h="1" x="16"/>
        <item h="1" x="15"/>
        <item h="1" x="7"/>
        <item h="1" x="19"/>
        <item h="1" x="9"/>
        <item h="1" x="18"/>
        <item h="1" x="12"/>
        <item h="1" x="21"/>
        <item h="1" x="24"/>
        <item h="1" x="23"/>
        <item h="1" x="14"/>
        <item h="1" x="26"/>
        <item h="1" x="27"/>
        <item h="1" x="17"/>
        <item h="1" x="29"/>
        <item h="1" x="20"/>
        <item h="1" x="30"/>
        <item h="1" x="22"/>
        <item h="1" x="25"/>
        <item h="1" x="32"/>
        <item h="1" x="35"/>
        <item h="1" x="34"/>
        <item h="1" x="28"/>
        <item h="1" x="38"/>
        <item h="1" x="37"/>
        <item h="1" x="43"/>
        <item h="1" x="31"/>
        <item h="1" x="40"/>
        <item h="1" x="42"/>
        <item h="1" x="45"/>
        <item h="1" x="33"/>
        <item h="1" x="47"/>
        <item h="1" x="48"/>
        <item h="1" x="51"/>
        <item h="1" x="36"/>
        <item h="1" x="39"/>
        <item h="1" x="53"/>
        <item h="1" x="50"/>
        <item h="1" x="41"/>
        <item h="1" x="56"/>
        <item h="1" x="44"/>
        <item h="1" x="55"/>
        <item h="1" x="46"/>
        <item h="1" x="58"/>
        <item h="1" x="60"/>
        <item h="1" x="62"/>
        <item h="1" x="65"/>
        <item h="1" x="66"/>
        <item h="1" x="64"/>
        <item h="1" x="49"/>
        <item h="1" x="68"/>
        <item h="1" x="61"/>
        <item h="1" x="67"/>
        <item h="1" x="54"/>
        <item h="1" x="63"/>
        <item h="1" x="59"/>
        <item h="1" x="57"/>
        <item h="1" x="69"/>
        <item h="1" x="52"/>
        <item h="1" x="83"/>
        <item h="1" x="72"/>
        <item h="1" x="70"/>
        <item h="1" x="74"/>
        <item h="1" x="71"/>
        <item h="1" x="76"/>
        <item h="1" x="87"/>
        <item h="1" x="73"/>
        <item h="1" x="75"/>
        <item h="1" x="79"/>
        <item h="1" x="81"/>
        <item h="1" x="84"/>
        <item h="1" x="77"/>
        <item h="1" x="78"/>
        <item h="1" x="80"/>
        <item h="1" x="82"/>
        <item h="1" x="85"/>
        <item h="1" x="88"/>
        <item h="1" x="93"/>
        <item h="1" x="90"/>
        <item h="1" x="86"/>
        <item h="1" x="96"/>
        <item h="1" x="89"/>
        <item h="1" x="94"/>
        <item h="1" x="91"/>
        <item h="1" x="99"/>
        <item h="1" x="97"/>
        <item h="1" x="92"/>
        <item h="1" x="95"/>
        <item h="1" x="100"/>
        <item h="1" x="102"/>
        <item h="1" x="98"/>
        <item h="1" x="105"/>
        <item h="1" x="103"/>
        <item h="1" x="101"/>
        <item h="1" x="109"/>
        <item h="1" x="106"/>
        <item h="1" x="112"/>
        <item h="1" x="111"/>
        <item h="1" x="104"/>
        <item h="1" x="110"/>
        <item h="1" x="107"/>
        <item h="1" x="113"/>
        <item h="1" x="108"/>
        <item h="1" x="120"/>
        <item h="1" x="114"/>
        <item h="1" x="116"/>
        <item h="1" x="125"/>
        <item h="1" x="128"/>
        <item h="1" x="118"/>
        <item h="1" x="115"/>
        <item h="1" x="131"/>
        <item h="1" x="117"/>
        <item h="1" x="121"/>
        <item h="1" x="138"/>
        <item h="1" x="123"/>
        <item h="1" x="126"/>
        <item h="1" x="119"/>
        <item h="1" x="129"/>
        <item h="1" x="132"/>
        <item h="1" x="122"/>
        <item h="1" x="124"/>
        <item h="1" x="141"/>
        <item h="1" x="127"/>
        <item h="1" x="130"/>
        <item h="1" x="136"/>
        <item h="1" x="144"/>
        <item h="1" x="133"/>
        <item h="1" x="134"/>
        <item h="1" x="139"/>
        <item h="1" x="135"/>
        <item h="1" x="150"/>
        <item h="1" x="147"/>
        <item h="1" x="142"/>
        <item h="1" x="137"/>
        <item h="1" x="148"/>
        <item h="1" x="145"/>
        <item h="1" x="153"/>
        <item h="1" x="140"/>
        <item h="1" x="146"/>
        <item h="1" x="143"/>
        <item h="1" x="149"/>
        <item h="1" x="156"/>
        <item h="1" x="151"/>
        <item h="1" x="152"/>
        <item h="1" x="158"/>
        <item h="1" x="159"/>
        <item h="1" x="154"/>
        <item h="1" x="161"/>
        <item h="1" x="155"/>
        <item h="1" x="163"/>
        <item h="1" x="157"/>
        <item h="1" x="164"/>
        <item h="1" x="196"/>
        <item h="1" x="160"/>
        <item h="1" x="166"/>
        <item h="1" x="162"/>
        <item h="1" x="169"/>
        <item h="1" x="168"/>
        <item h="1" x="172"/>
        <item h="1" x="194"/>
        <item h="1" x="171"/>
        <item h="1" x="165"/>
        <item h="1" x="174"/>
        <item h="1" x="191"/>
        <item h="1" x="167"/>
        <item h="1" x="188"/>
        <item h="1" x="206"/>
        <item h="1" x="170"/>
        <item h="1" x="199"/>
        <item h="1" x="203"/>
        <item h="1" x="173"/>
        <item h="1" x="205"/>
        <item h="1" x="201"/>
        <item h="1" x="193"/>
        <item h="1" x="185"/>
        <item h="1" x="175"/>
        <item h="1" x="208"/>
        <item h="1" x="190"/>
        <item h="1" x="182"/>
        <item h="1" x="197"/>
        <item h="1" x="179"/>
        <item h="1" x="210"/>
        <item h="1" x="187"/>
        <item h="1" x="177"/>
        <item h="1" x="198"/>
        <item h="1" x="184"/>
        <item h="1" x="195"/>
        <item h="1" x="202"/>
        <item h="1" x="200"/>
        <item h="1" x="204"/>
        <item h="1" x="212"/>
        <item h="1" x="181"/>
        <item h="1" x="192"/>
        <item h="1" x="214"/>
        <item h="1" x="207"/>
        <item h="1" x="215"/>
        <item h="1" x="189"/>
        <item h="1" x="209"/>
        <item h="1" x="217"/>
        <item h="1" x="186"/>
        <item h="1" x="183"/>
        <item h="1" x="176"/>
        <item h="1" x="211"/>
        <item h="1" x="213"/>
        <item h="1" x="180"/>
        <item h="1" x="219"/>
        <item h="1" x="216"/>
        <item h="1" x="222"/>
        <item h="1" x="221"/>
        <item h="1" x="224"/>
        <item h="1" x="225"/>
        <item h="1" x="218"/>
        <item h="1" x="227"/>
        <item h="1" x="220"/>
        <item h="1" x="223"/>
        <item h="1" x="226"/>
        <item h="1" x="228"/>
        <item h="1" x="230"/>
        <item h="1" x="229"/>
        <item h="1" x="231"/>
        <item h="1" x="233"/>
        <item h="1" x="234"/>
        <item h="1" x="232"/>
        <item h="1" x="236"/>
        <item h="1" x="235"/>
        <item h="1" x="237"/>
        <item h="1" x="239"/>
        <item h="1" x="238"/>
        <item h="1" x="240"/>
        <item h="1" x="242"/>
        <item h="1" x="241"/>
        <item h="1" x="251"/>
        <item h="1" x="244"/>
        <item h="1" x="252"/>
        <item h="1" x="245"/>
        <item h="1" x="243"/>
        <item h="1" x="246"/>
        <item h="1" x="249"/>
        <item h="1" x="248"/>
        <item h="1" x="247"/>
        <item h="1" x="250"/>
        <item x="17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0"/>
    <field x="1"/>
    <field x="2"/>
  </rowFields>
  <rowItems count="10">
    <i>
      <x/>
      <x v="7"/>
      <x v="4"/>
    </i>
    <i t="default" r="1">
      <x v="7"/>
    </i>
    <i t="default">
      <x/>
    </i>
    <i>
      <x v="1"/>
      <x v="7"/>
      <x v="4"/>
    </i>
    <i t="default" r="1">
      <x v="7"/>
    </i>
    <i t="default">
      <x v="1"/>
    </i>
    <i>
      <x v="2"/>
      <x v="7"/>
      <x v="4"/>
    </i>
    <i t="default" r="1">
      <x v="7"/>
    </i>
    <i t="default">
      <x v="2"/>
    </i>
    <i t="grand">
      <x/>
    </i>
  </rowItems>
  <colItems count="1">
    <i/>
  </colItems>
  <pageFields count="1">
    <pageField fld="3" item="252" hier="-1"/>
  </pageFields>
  <dataFields count="1">
    <dataField name="Count of Cereals and products"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020AA-BB10-48B8-AB1D-9300C226E74B}" name="PivotTable3" cacheId="6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7:L21" firstHeaderRow="1" firstDataRow="1" firstDataCol="1"/>
  <pivotFields count="5">
    <pivotField axis="axisRow" compact="0" outline="0" showAll="0">
      <items count="14">
        <item x="1"/>
        <item x="8"/>
        <item x="3"/>
        <item x="0"/>
        <item x="5"/>
        <item x="4"/>
        <item x="2"/>
        <item x="11"/>
        <item x="10"/>
        <item x="9"/>
        <item x="7"/>
        <item x="12"/>
        <item x="6"/>
        <item t="default"/>
      </items>
    </pivotField>
    <pivotField compact="0" outline="0" showAll="0"/>
    <pivotField compact="0" outline="0" showAll="0"/>
    <pivotField compact="0" outline="0" showAll="0"/>
    <pivotField dataField="1" compact="0" outline="0" showAll="0"/>
  </pivotFields>
  <rowFields count="1">
    <field x="0"/>
  </rowFields>
  <rowItems count="14">
    <i>
      <x/>
    </i>
    <i>
      <x v="1"/>
    </i>
    <i>
      <x v="2"/>
    </i>
    <i>
      <x v="3"/>
    </i>
    <i>
      <x v="4"/>
    </i>
    <i>
      <x v="5"/>
    </i>
    <i>
      <x v="6"/>
    </i>
    <i>
      <x v="7"/>
    </i>
    <i>
      <x v="8"/>
    </i>
    <i>
      <x v="9"/>
    </i>
    <i>
      <x v="10"/>
    </i>
    <i>
      <x v="11"/>
    </i>
    <i>
      <x v="12"/>
    </i>
    <i t="grand">
      <x/>
    </i>
  </rowItems>
  <colItems count="1">
    <i/>
  </colItems>
  <dataFields count="1">
    <dataField name="Sum of contribution" fld="4"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B24E67-1314-4903-A856-5B21039CD9FB}" name="PivotTable4" cacheId="6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6:N13" firstHeaderRow="1" firstDataRow="1" firstDataCol="1"/>
  <pivotFields count="5">
    <pivotField axis="axisRow" compact="0" outline="0" showAll="0">
      <items count="7">
        <item x="0"/>
        <item x="1"/>
        <item x="2"/>
        <item x="3"/>
        <item x="4"/>
        <item x="5"/>
        <item t="default"/>
      </items>
    </pivotField>
    <pivotField compact="0" outline="0" showAll="0"/>
    <pivotField compact="0" outline="0" showAll="0"/>
    <pivotField compact="0" outline="0" showAll="0"/>
    <pivotField dataField="1" compact="0" outline="0" showAll="0"/>
  </pivotFields>
  <rowFields count="1">
    <field x="0"/>
  </rowFields>
  <rowItems count="7">
    <i>
      <x/>
    </i>
    <i>
      <x v="1"/>
    </i>
    <i>
      <x v="2"/>
    </i>
    <i>
      <x v="3"/>
    </i>
    <i>
      <x v="4"/>
    </i>
    <i>
      <x v="5"/>
    </i>
    <i t="grand">
      <x/>
    </i>
  </rowItems>
  <colItems count="1">
    <i/>
  </colItems>
  <dataFields count="1">
    <dataField name="Sum of inflation" fld="4" baseField="0" baseItem="0"/>
  </dataFields>
  <conditionalFormats count="1">
    <conditionalFormat priority="1">
      <pivotAreas count="1">
        <pivotArea type="data" outline="0" collapsedLevelsAreSubtotals="1" fieldPosition="0">
          <references count="2">
            <reference field="4294967294" count="1" selected="0">
              <x v="0"/>
            </reference>
            <reference field="0" count="6" selected="0">
              <x v="0"/>
              <x v="1"/>
              <x v="2"/>
              <x v="3"/>
              <x v="4"/>
              <x v="5"/>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88E5BD-B940-4D21-8DCE-15CB0D5EBAF1}" name="PivotTable2" cacheId="6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0:C33" firstHeaderRow="1" firstDataRow="1" firstDataCol="1"/>
  <pivotFields count="3">
    <pivotField axis="axisRow" compact="0" numFmtId="17" outline="0" showAll="0">
      <items count="14">
        <item h="1" x="0"/>
        <item x="1"/>
        <item x="2"/>
        <item x="3"/>
        <item x="4"/>
        <item x="5"/>
        <item x="6"/>
        <item x="7"/>
        <item x="8"/>
        <item x="9"/>
        <item x="10"/>
        <item x="11"/>
        <item x="12"/>
        <item t="default"/>
      </items>
    </pivotField>
    <pivotField compact="0" numFmtId="164" outline="0" showAll="0"/>
    <pivotField dataField="1" compact="0" outline="0" showAll="0"/>
  </pivotFields>
  <rowFields count="1">
    <field x="0"/>
  </rowFields>
  <rowItems count="13">
    <i>
      <x v="1"/>
    </i>
    <i>
      <x v="2"/>
    </i>
    <i>
      <x v="3"/>
    </i>
    <i>
      <x v="4"/>
    </i>
    <i>
      <x v="5"/>
    </i>
    <i>
      <x v="6"/>
    </i>
    <i>
      <x v="7"/>
    </i>
    <i>
      <x v="8"/>
    </i>
    <i>
      <x v="9"/>
    </i>
    <i>
      <x v="10"/>
    </i>
    <i>
      <x v="11"/>
    </i>
    <i>
      <x v="12"/>
    </i>
    <i t="grand">
      <x/>
    </i>
  </rowItems>
  <colItems count="1">
    <i/>
  </colItems>
  <dataFields count="1">
    <dataField name="Sum of FOOD MOM INFLATION" fld="2" baseField="0" baseItem="0"/>
  </dataFields>
  <conditionalFormats count="1">
    <conditionalFormat priority="6">
      <pivotAreas count="1">
        <pivotArea type="data" outline="0" collapsedLevelsAreSubtotals="1" fieldPosition="0">
          <references count="2">
            <reference field="4294967294" count="1" selected="0">
              <x v="0"/>
            </reference>
            <reference field="0" count="12" selected="0">
              <x v="1"/>
              <x v="2"/>
              <x v="3"/>
              <x v="4"/>
              <x v="5"/>
              <x v="6"/>
              <x v="7"/>
              <x v="8"/>
              <x v="9"/>
              <x v="10"/>
              <x v="11"/>
              <x v="12"/>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45569E-F318-4883-92A7-F8F94CC16F2D}" name="PivotTable1" cacheId="6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W24" firstHeaderRow="0" firstDataRow="1" firstDataCol="2" rowPageCount="1" colPageCount="1"/>
  <pivotFields count="31">
    <pivotField axis="axisPage" compact="0" outline="0" showAll="0">
      <items count="4">
        <item h="1" x="0"/>
        <item x="2"/>
        <item h="1" x="1"/>
        <item t="default"/>
      </items>
    </pivotField>
    <pivotField axis="axisRow" compact="0" outline="0" multipleItemSelectionAllowed="1" showAll="0">
      <items count="12">
        <item h="1" x="0"/>
        <item h="1" x="1"/>
        <item h="1" x="2"/>
        <item h="1" x="3"/>
        <item h="1" x="4"/>
        <item h="1" x="5"/>
        <item h="1" x="6"/>
        <item h="1" x="7"/>
        <item h="1" x="8"/>
        <item x="9"/>
        <item x="10"/>
        <item t="default"/>
      </items>
    </pivotField>
    <pivotField axis="axisRow" compact="0" outline="0" showAll="0">
      <items count="13">
        <item x="0"/>
        <item x="1"/>
        <item x="2"/>
        <item x="3"/>
        <item x="4"/>
        <item x="5"/>
        <item x="6"/>
        <item x="7"/>
        <item x="8"/>
        <item x="9"/>
        <item x="10"/>
        <item x="11"/>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20">
    <i>
      <x v="9"/>
      <x/>
    </i>
    <i r="1">
      <x v="1"/>
    </i>
    <i r="1">
      <x v="2"/>
    </i>
    <i r="1">
      <x v="3"/>
    </i>
    <i r="1">
      <x v="4"/>
    </i>
    <i r="1">
      <x v="5"/>
    </i>
    <i r="1">
      <x v="6"/>
    </i>
    <i r="1">
      <x v="7"/>
    </i>
    <i r="1">
      <x v="8"/>
    </i>
    <i r="1">
      <x v="9"/>
    </i>
    <i r="1">
      <x v="10"/>
    </i>
    <i r="1">
      <x v="11"/>
    </i>
    <i t="default">
      <x v="9"/>
    </i>
    <i>
      <x v="10"/>
      <x/>
    </i>
    <i r="1">
      <x v="1"/>
    </i>
    <i r="1">
      <x v="2"/>
    </i>
    <i r="1">
      <x v="3"/>
    </i>
    <i r="1">
      <x v="4"/>
    </i>
    <i t="default">
      <x v="10"/>
    </i>
    <i t="grand">
      <x/>
    </i>
  </rowItems>
  <colFields count="1">
    <field x="-2"/>
  </colFields>
  <colItems count="12">
    <i>
      <x/>
    </i>
    <i i="1">
      <x v="1"/>
    </i>
    <i i="2">
      <x v="2"/>
    </i>
    <i i="3">
      <x v="3"/>
    </i>
    <i i="4">
      <x v="4"/>
    </i>
    <i i="5">
      <x v="5"/>
    </i>
    <i i="6">
      <x v="6"/>
    </i>
    <i i="7">
      <x v="7"/>
    </i>
    <i i="8">
      <x v="8"/>
    </i>
    <i i="9">
      <x v="9"/>
    </i>
    <i i="10">
      <x v="10"/>
    </i>
    <i i="11">
      <x v="11"/>
    </i>
  </colItems>
  <pageFields count="1">
    <pageField fld="0" item="1" hier="-1"/>
  </pageFields>
  <dataFields count="12">
    <dataField name="Average of Meat and fish" fld="4" subtotal="average" baseField="0" baseItem="0"/>
    <dataField name="Average of Cereals and products" fld="3" subtotal="average" baseField="0" baseItem="0"/>
    <dataField name="Average of Oils and fats" fld="7" subtotal="average" baseField="0" baseItem="0"/>
    <dataField name="Average of Egg" fld="5" subtotal="average" baseField="0" baseItem="0"/>
    <dataField name="Average of Milk and products" fld="6" subtotal="average" baseField="0" baseItem="0"/>
    <dataField name="Average of Fruits" fld="8" subtotal="average" baseField="0" baseItem="0"/>
    <dataField name="Average of Pulses and products" fld="10" subtotal="average" baseField="0" baseItem="0"/>
    <dataField name="Average of Sugar and Confectionery" fld="11" subtotal="average" baseField="0" baseItem="0"/>
    <dataField name="Average of Spices" fld="12" subtotal="average" baseField="0" baseItem="0"/>
    <dataField name="Average of Non-alcoholic beverages" fld="13" subtotal="average" baseField="0" baseItem="0"/>
    <dataField name="Average of Vegetables" fld="9" subtotal="average" baseField="0" baseItem="0"/>
    <dataField name="Average of Prepared meals, snacks, sweets etc." fld="14"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77C334-8618-465D-81DC-31BB3494AEB4}" name="PivotTable2" cacheId="6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19:AE45" firstHeaderRow="0" firstDataRow="1" firstDataCol="2" rowPageCount="1" colPageCount="1"/>
  <pivotFields count="31">
    <pivotField axis="axisPage" compact="0" outline="0" showAll="0">
      <items count="6">
        <item h="1" x="1"/>
        <item x="3"/>
        <item h="1" x="0"/>
        <item h="1" x="2"/>
        <item h="1" x="4"/>
        <item t="default"/>
      </items>
    </pivotField>
    <pivotField axis="axisRow" compact="0" outline="0" showAll="0">
      <items count="14">
        <item h="1" x="1"/>
        <item h="1" x="2"/>
        <item h="1" x="3"/>
        <item h="1" x="4"/>
        <item h="1" x="5"/>
        <item h="1" x="6"/>
        <item x="7"/>
        <item x="8"/>
        <item h="1" x="9"/>
        <item h="1" x="10"/>
        <item h="1" x="11"/>
        <item h="1" x="0"/>
        <item h="1" x="12"/>
        <item t="default"/>
      </items>
    </pivotField>
    <pivotField axis="axisRow" compact="0" outline="0" showAll="0">
      <items count="15">
        <item x="1"/>
        <item x="2"/>
        <item x="3"/>
        <item x="4"/>
        <item x="5"/>
        <item x="6"/>
        <item x="7"/>
        <item x="8"/>
        <item x="9"/>
        <item x="10"/>
        <item x="11"/>
        <item x="12"/>
        <item x="0"/>
        <item x="13"/>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26">
    <i>
      <x v="6"/>
      <x/>
    </i>
    <i r="1">
      <x v="1"/>
    </i>
    <i r="1">
      <x v="2"/>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i t="grand">
      <x/>
    </i>
  </rowItems>
  <colFields count="1">
    <field x="-2"/>
  </colFields>
  <colItems count="12">
    <i>
      <x/>
    </i>
    <i i="1">
      <x v="1"/>
    </i>
    <i i="2">
      <x v="2"/>
    </i>
    <i i="3">
      <x v="3"/>
    </i>
    <i i="4">
      <x v="4"/>
    </i>
    <i i="5">
      <x v="5"/>
    </i>
    <i i="6">
      <x v="6"/>
    </i>
    <i i="7">
      <x v="7"/>
    </i>
    <i i="8">
      <x v="8"/>
    </i>
    <i i="9">
      <x v="9"/>
    </i>
    <i i="10">
      <x v="10"/>
    </i>
    <i i="11">
      <x v="11"/>
    </i>
  </colItems>
  <pageFields count="1">
    <pageField fld="0" item="1" hier="-1"/>
  </pageFields>
  <dataFields count="12">
    <dataField name="Average of Cereals and products" fld="3" subtotal="average" baseField="0" baseItem="0"/>
    <dataField name="Average of Meat and fish" fld="4" subtotal="average" baseField="0" baseItem="0"/>
    <dataField name="Average of Egg" fld="5" subtotal="average" baseField="0" baseItem="0"/>
    <dataField name="Average of Milk and products" fld="6" subtotal="average" baseField="0" baseItem="0"/>
    <dataField name="Average of Oils and fats" fld="7" subtotal="average" baseField="0" baseItem="0"/>
    <dataField name="Average of Fruits" fld="8" subtotal="average" baseField="0" baseItem="0"/>
    <dataField name="Average of Vegetables" fld="9" subtotal="average" baseField="0" baseItem="0"/>
    <dataField name="Average of Pulses and products" fld="10" subtotal="average" baseField="0" baseItem="0"/>
    <dataField name="Average of Sugar and Confectionery" fld="11" subtotal="average" baseField="0" baseItem="0"/>
    <dataField name="Average of Spices" fld="12" subtotal="average" baseField="0" baseItem="0"/>
    <dataField name="Average of Non-alcoholic beverages" fld="13" subtotal="average" baseField="0" baseItem="0"/>
    <dataField name="Average of Prepared meals, snacks, sweets etc." fld="14"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3CBA89-0F82-4AA4-83CD-E5F4B048F09D}" name="PivotTable5" cacheId="6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49:AC75" firstHeaderRow="0" firstDataRow="1" firstDataCol="2" rowPageCount="1" colPageCount="1"/>
  <pivotFields count="31">
    <pivotField axis="axisPage" compact="0" outline="0" showAll="0">
      <items count="6">
        <item x="1"/>
        <item x="3"/>
        <item x="0"/>
        <item x="2"/>
        <item x="4"/>
        <item t="default"/>
      </items>
    </pivotField>
    <pivotField axis="axisRow" compact="0" outline="0" showAll="0">
      <items count="14">
        <item h="1" x="1"/>
        <item h="1" x="2"/>
        <item h="1" x="3"/>
        <item h="1" x="4"/>
        <item h="1" x="5"/>
        <item h="1" x="6"/>
        <item x="7"/>
        <item x="8"/>
        <item h="1" x="9"/>
        <item h="1" x="10"/>
        <item h="1" x="11"/>
        <item h="1" x="0"/>
        <item h="1" x="12"/>
        <item t="default"/>
      </items>
    </pivotField>
    <pivotField axis="axisRow" compact="0" outline="0" showAll="0">
      <items count="15">
        <item x="1"/>
        <item x="2"/>
        <item x="3"/>
        <item x="4"/>
        <item x="5"/>
        <item x="6"/>
        <item x="7"/>
        <item x="8"/>
        <item x="9"/>
        <item x="10"/>
        <item x="11"/>
        <item x="12"/>
        <item x="0"/>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2">
    <field x="1"/>
    <field x="2"/>
  </rowFields>
  <rowItems count="26">
    <i>
      <x v="6"/>
      <x/>
    </i>
    <i r="1">
      <x v="1"/>
    </i>
    <i r="1">
      <x v="2"/>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i t="grand">
      <x/>
    </i>
  </rowItems>
  <colFields count="1">
    <field x="-2"/>
  </colFields>
  <colItems count="6">
    <i>
      <x/>
    </i>
    <i i="1">
      <x v="1"/>
    </i>
    <i i="2">
      <x v="2"/>
    </i>
    <i i="3">
      <x v="3"/>
    </i>
    <i i="4">
      <x v="4"/>
    </i>
    <i i="5">
      <x v="5"/>
    </i>
  </colItems>
  <pageFields count="1">
    <pageField fld="0" hier="-1"/>
  </pageFields>
  <dataFields count="6">
    <dataField name="Average of Clothing" fld="17" subtotal="average" baseField="0" baseItem="0"/>
    <dataField name="Average of Footwear" fld="18" subtotal="average" baseField="0" baseItem="0"/>
    <dataField name="Average of Fuel and light" fld="21" subtotal="average" baseField="0" baseItem="0"/>
    <dataField name="Average of Household goods and services" fld="22" subtotal="average" baseField="0" baseItem="0"/>
    <dataField name="Average of Transport and communication" fld="24" subtotal="average" baseField="0" baseItem="0"/>
    <dataField name="Average of Education" fld="26" subtotal="average" baseField="0" baseItem="0"/>
  </dataFields>
  <formats count="7">
    <format dxfId="86">
      <pivotArea outline="0" fieldPosition="0">
        <references count="3">
          <reference field="4294967294" count="1" selected="0">
            <x v="0"/>
          </reference>
          <reference field="1" count="1" selected="0">
            <x v="6"/>
          </reference>
          <reference field="2" count="11" selected="0">
            <x v="0"/>
            <x v="1"/>
            <x v="2"/>
            <x v="4"/>
            <x v="5"/>
            <x v="6"/>
            <x v="7"/>
            <x v="8"/>
            <x v="9"/>
            <x v="10"/>
            <x v="11"/>
          </reference>
        </references>
      </pivotArea>
    </format>
    <format dxfId="87">
      <pivotArea outline="0" fieldPosition="0">
        <references count="3">
          <reference field="4294967294" count="1" selected="0">
            <x v="1"/>
          </reference>
          <reference field="1" count="1" selected="0">
            <x v="6"/>
          </reference>
          <reference field="2" count="11" selected="0">
            <x v="0"/>
            <x v="1"/>
            <x v="2"/>
            <x v="4"/>
            <x v="5"/>
            <x v="6"/>
            <x v="7"/>
            <x v="8"/>
            <x v="9"/>
            <x v="10"/>
            <x v="11"/>
          </reference>
        </references>
      </pivotArea>
    </format>
    <format dxfId="88">
      <pivotArea outline="0" fieldPosition="0">
        <references count="3">
          <reference field="4294967294" count="1" selected="0">
            <x v="2"/>
          </reference>
          <reference field="1" count="1" selected="0">
            <x v="6"/>
          </reference>
          <reference field="2" count="11" selected="0">
            <x v="0"/>
            <x v="1"/>
            <x v="2"/>
            <x v="4"/>
            <x v="5"/>
            <x v="6"/>
            <x v="7"/>
            <x v="8"/>
            <x v="9"/>
            <x v="10"/>
            <x v="11"/>
          </reference>
        </references>
      </pivotArea>
    </format>
    <format dxfId="89">
      <pivotArea outline="0" fieldPosition="0">
        <references count="3">
          <reference field="4294967294" count="1" selected="0">
            <x v="3"/>
          </reference>
          <reference field="1" count="1" selected="0">
            <x v="6"/>
          </reference>
          <reference field="2" count="11" selected="0">
            <x v="0"/>
            <x v="1"/>
            <x v="2"/>
            <x v="4"/>
            <x v="5"/>
            <x v="6"/>
            <x v="7"/>
            <x v="8"/>
            <x v="9"/>
            <x v="10"/>
            <x v="11"/>
          </reference>
        </references>
      </pivotArea>
    </format>
    <format dxfId="90">
      <pivotArea outline="0" fieldPosition="0">
        <references count="3">
          <reference field="4294967294" count="1" selected="0">
            <x v="4"/>
          </reference>
          <reference field="1" count="1" selected="0">
            <x v="6"/>
          </reference>
          <reference field="2" count="1" selected="0">
            <x v="4"/>
          </reference>
        </references>
      </pivotArea>
    </format>
    <format dxfId="91">
      <pivotArea outline="0" fieldPosition="0">
        <references count="3">
          <reference field="4294967294" count="1" selected="0">
            <x v="5"/>
          </reference>
          <reference field="1" count="1" selected="0">
            <x v="6"/>
          </reference>
          <reference field="2" count="11" selected="0">
            <x v="0"/>
            <x v="1"/>
            <x v="2"/>
            <x v="4"/>
            <x v="5"/>
            <x v="6"/>
            <x v="7"/>
            <x v="8"/>
            <x v="9"/>
            <x v="10"/>
            <x v="11"/>
          </reference>
        </references>
      </pivotArea>
    </format>
    <format dxfId="92">
      <pivotArea outline="0" fieldPosition="0">
        <references count="1">
          <reference field="1" count="1" selected="0" defaultSubtotal="1">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B7C88B-7469-4529-BA8E-CB775A49CCFB}" name="PivotTable3" cacheId="6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49:T75" firstHeaderRow="1" firstDataRow="1" firstDataCol="2" rowPageCount="1" colPageCount="1"/>
  <pivotFields count="31">
    <pivotField axis="axisPage" compact="0" outline="0" showAll="0">
      <items count="6">
        <item h="1" x="1"/>
        <item x="3"/>
        <item h="1" x="0"/>
        <item h="1" x="2"/>
        <item h="1" x="4"/>
        <item t="default"/>
      </items>
    </pivotField>
    <pivotField axis="axisRow" compact="0" outline="0" showAll="0">
      <items count="14">
        <item h="1" x="1"/>
        <item h="1" x="2"/>
        <item h="1" x="3"/>
        <item h="1" x="4"/>
        <item h="1" x="5"/>
        <item h="1" x="6"/>
        <item x="7"/>
        <item x="8"/>
        <item h="1" x="9"/>
        <item h="1" x="10"/>
        <item h="1" x="11"/>
        <item h="1" x="0"/>
        <item h="1" x="12"/>
        <item t="default"/>
      </items>
    </pivotField>
    <pivotField axis="axisRow" compact="0" outline="0" showAll="0">
      <items count="15">
        <item x="1"/>
        <item x="2"/>
        <item x="3"/>
        <item x="4"/>
        <item x="5"/>
        <item x="6"/>
        <item x="7"/>
        <item x="8"/>
        <item x="9"/>
        <item x="10"/>
        <item x="11"/>
        <item x="12"/>
        <item x="0"/>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26">
    <i>
      <x v="6"/>
      <x/>
    </i>
    <i r="1">
      <x v="1"/>
    </i>
    <i r="1">
      <x v="2"/>
    </i>
    <i r="1">
      <x v="4"/>
    </i>
    <i r="1">
      <x v="5"/>
    </i>
    <i r="1">
      <x v="6"/>
    </i>
    <i r="1">
      <x v="7"/>
    </i>
    <i r="1">
      <x v="8"/>
    </i>
    <i r="1">
      <x v="9"/>
    </i>
    <i r="1">
      <x v="10"/>
    </i>
    <i r="1">
      <x v="11"/>
    </i>
    <i t="default">
      <x v="6"/>
    </i>
    <i>
      <x v="7"/>
      <x/>
    </i>
    <i r="1">
      <x v="1"/>
    </i>
    <i r="1">
      <x v="2"/>
    </i>
    <i r="1">
      <x v="3"/>
    </i>
    <i r="1">
      <x v="4"/>
    </i>
    <i r="1">
      <x v="5"/>
    </i>
    <i r="1">
      <x v="6"/>
    </i>
    <i r="1">
      <x v="7"/>
    </i>
    <i r="1">
      <x v="8"/>
    </i>
    <i r="1">
      <x v="9"/>
    </i>
    <i r="1">
      <x v="10"/>
    </i>
    <i r="1">
      <x v="11"/>
    </i>
    <i t="default">
      <x v="7"/>
    </i>
    <i t="grand">
      <x/>
    </i>
  </rowItems>
  <colItems count="1">
    <i/>
  </colItems>
  <pageFields count="1">
    <pageField fld="0" item="1" hier="-1"/>
  </pageFields>
  <dataFields count="1">
    <dataField name="Average of Health" fld="23"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98D856-9E74-4E59-9DF2-712574F943E9}" name="PivotTable3" cacheId="6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G3:AI49" firstHeaderRow="1" firstDataRow="1" firstDataCol="2" rowPageCount="1" colPageCount="1"/>
  <pivotFields count="31">
    <pivotField axis="axisPage" compact="0" outline="0" showAll="0">
      <items count="6">
        <item h="1" x="1"/>
        <item x="3"/>
        <item h="1" x="0"/>
        <item h="1" x="2"/>
        <item h="1" x="4"/>
        <item t="default"/>
      </items>
    </pivotField>
    <pivotField axis="axisRow" compact="0" outline="0" showAll="0">
      <items count="14">
        <item h="1" x="1"/>
        <item h="1" x="2"/>
        <item h="1" x="3"/>
        <item h="1" x="4"/>
        <item h="1" x="5"/>
        <item h="1" x="6"/>
        <item h="1" x="7"/>
        <item x="8"/>
        <item x="9"/>
        <item x="10"/>
        <item x="11"/>
        <item h="1" x="0"/>
        <item h="1" x="12"/>
        <item t="default"/>
      </items>
    </pivotField>
    <pivotField axis="axisRow" compact="0" outline="0" showAll="0">
      <items count="15">
        <item x="1"/>
        <item x="2"/>
        <item x="3"/>
        <item x="4"/>
        <item x="5"/>
        <item x="6"/>
        <item x="7"/>
        <item x="8"/>
        <item x="9"/>
        <item x="10"/>
        <item x="11"/>
        <item x="12"/>
        <item x="0"/>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2">
    <field x="1"/>
    <field x="2"/>
  </rowFields>
  <rowItems count="46">
    <i>
      <x v="7"/>
      <x/>
    </i>
    <i r="1">
      <x v="1"/>
    </i>
    <i r="1">
      <x v="2"/>
    </i>
    <i r="1">
      <x v="3"/>
    </i>
    <i r="1">
      <x v="4"/>
    </i>
    <i r="1">
      <x v="5"/>
    </i>
    <i r="1">
      <x v="6"/>
    </i>
    <i r="1">
      <x v="7"/>
    </i>
    <i r="1">
      <x v="8"/>
    </i>
    <i r="1">
      <x v="9"/>
    </i>
    <i r="1">
      <x v="10"/>
    </i>
    <i r="1">
      <x v="11"/>
    </i>
    <i t="default">
      <x v="7"/>
    </i>
    <i>
      <x v="8"/>
      <x/>
    </i>
    <i r="1">
      <x v="1"/>
    </i>
    <i r="1">
      <x v="2"/>
    </i>
    <i r="1">
      <x v="3"/>
    </i>
    <i r="1">
      <x v="4"/>
    </i>
    <i r="1">
      <x v="5"/>
    </i>
    <i r="1">
      <x v="6"/>
    </i>
    <i r="1">
      <x v="7"/>
    </i>
    <i r="1">
      <x v="8"/>
    </i>
    <i r="1">
      <x v="9"/>
    </i>
    <i r="1">
      <x v="10"/>
    </i>
    <i r="1">
      <x v="11"/>
    </i>
    <i t="default">
      <x v="8"/>
    </i>
    <i>
      <x v="9"/>
      <x/>
    </i>
    <i r="1">
      <x v="1"/>
    </i>
    <i r="1">
      <x v="2"/>
    </i>
    <i r="1">
      <x v="3"/>
    </i>
    <i r="1">
      <x v="4"/>
    </i>
    <i r="1">
      <x v="5"/>
    </i>
    <i r="1">
      <x v="6"/>
    </i>
    <i r="1">
      <x v="7"/>
    </i>
    <i r="1">
      <x v="8"/>
    </i>
    <i r="1">
      <x v="9"/>
    </i>
    <i r="1">
      <x v="10"/>
    </i>
    <i r="1">
      <x v="11"/>
    </i>
    <i t="default">
      <x v="9"/>
    </i>
    <i>
      <x v="10"/>
      <x/>
    </i>
    <i r="1">
      <x v="1"/>
    </i>
    <i r="1">
      <x v="2"/>
    </i>
    <i r="1">
      <x v="3"/>
    </i>
    <i r="1">
      <x v="4"/>
    </i>
    <i t="default">
      <x v="10"/>
    </i>
    <i t="grand">
      <x/>
    </i>
  </rowItems>
  <colItems count="1">
    <i/>
  </colItems>
  <pageFields count="1">
    <pageField fld="0" item="1" hier="-1"/>
  </pageFields>
  <dataFields count="1">
    <dataField name="Average of General index2" fld="29" subtotal="average" baseField="0" baseItem="0"/>
  </dataFields>
  <formats count="4">
    <format dxfId="82">
      <pivotArea outline="0" fieldPosition="0">
        <references count="2">
          <reference field="1" count="1" selected="0">
            <x v="8"/>
          </reference>
          <reference field="2" count="12" selected="0">
            <x v="0"/>
            <x v="1"/>
            <x v="2"/>
            <x v="3"/>
            <x v="4"/>
            <x v="5"/>
            <x v="6"/>
            <x v="7"/>
            <x v="8"/>
            <x v="9"/>
            <x v="10"/>
            <x v="11"/>
          </reference>
        </references>
      </pivotArea>
    </format>
    <format dxfId="83">
      <pivotArea outline="0" fieldPosition="0">
        <references count="2">
          <reference field="1" count="1" selected="0">
            <x v="9"/>
          </reference>
          <reference field="2" count="12" selected="0">
            <x v="0"/>
            <x v="1"/>
            <x v="2"/>
            <x v="3"/>
            <x v="4"/>
            <x v="5"/>
            <x v="6"/>
            <x v="7"/>
            <x v="8"/>
            <x v="9"/>
            <x v="10"/>
            <x v="11"/>
          </reference>
        </references>
      </pivotArea>
    </format>
    <format dxfId="84">
      <pivotArea outline="0" fieldPosition="0">
        <references count="2">
          <reference field="1" count="1" selected="0">
            <x v="10"/>
          </reference>
          <reference field="2" count="5" selected="0">
            <x v="0"/>
            <x v="1"/>
            <x v="2"/>
            <x v="3"/>
            <x v="4"/>
          </reference>
        </references>
      </pivotArea>
    </format>
    <format dxfId="85">
      <pivotArea outline="0" fieldPosition="0">
        <references count="2">
          <reference field="1" count="1" selected="0">
            <x v="7"/>
          </reference>
          <reference field="2" count="12" selected="0">
            <x v="0"/>
            <x v="1"/>
            <x v="2"/>
            <x v="3"/>
            <x v="4"/>
            <x v="5"/>
            <x v="6"/>
            <x v="7"/>
            <x v="8"/>
            <x v="9"/>
            <x v="10"/>
            <x v="1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DFFE2-478C-49AB-A520-AA09AB3AC78F}" name="Table1" displayName="Table1" ref="A1:AE379" totalsRowShown="0" headerRowDxfId="81" dataDxfId="80" headerRowBorderDxfId="78" tableBorderDxfId="79" totalsRowBorderDxfId="77">
  <autoFilter ref="A1:AE379" xr:uid="{E27DFFE2-478C-49AB-A520-AA09AB3AC78F}"/>
  <tableColumns count="31">
    <tableColumn id="1" xr3:uid="{61E5997E-1AFD-46AE-A3E2-C8C4EC0448E9}" name="Sector" dataDxfId="76"/>
    <tableColumn id="2" xr3:uid="{9225AF77-E383-4222-B9E0-C0F7F4757CEB}" name="Year" dataDxfId="75"/>
    <tableColumn id="3" xr3:uid="{37F79692-6E2E-4025-B30B-181B4F503EB7}" name="Month" dataDxfId="74"/>
    <tableColumn id="32" xr3:uid="{D72D6EEE-7AEE-429F-AB73-FE096D57BB30}" name="Cereals and products" dataDxfId="73"/>
    <tableColumn id="33" xr3:uid="{F6271D6E-4AC0-47CE-9418-102C9E551B5F}" name="Meat and fish" dataDxfId="72"/>
    <tableColumn id="34" xr3:uid="{84571010-A791-4E7E-82C3-13ACDB6C3477}" name="Egg" dataDxfId="71"/>
    <tableColumn id="35" xr3:uid="{D0AF9A76-E2D2-4154-808B-F81265614C87}" name="Milk and products" dataDxfId="70"/>
    <tableColumn id="36" xr3:uid="{CB20E00D-2475-4B37-A6F1-B1A68CFF235D}" name="Oils and fats" dataDxfId="69"/>
    <tableColumn id="37" xr3:uid="{1AFFB23B-8FD7-4BFF-9730-A4DB1EBFA0C5}" name="Fruits" dataDxfId="68"/>
    <tableColumn id="38" xr3:uid="{AF684AF3-69C0-496E-A2BA-5A4D4499A14E}" name="Vegetables" dataDxfId="67"/>
    <tableColumn id="39" xr3:uid="{78A98F82-B8E8-4829-8F77-EA9EA80A74D7}" name="Pulses and products" dataDxfId="66"/>
    <tableColumn id="40" xr3:uid="{BA171F6B-A1A5-4CBB-9894-38162968BEC4}" name="Sugar and Confectionery" dataDxfId="65"/>
    <tableColumn id="41" xr3:uid="{65E355AB-DF58-46A6-A2FE-A1B8886C9E91}" name="Spices" dataDxfId="64"/>
    <tableColumn id="42" xr3:uid="{FC45C30E-8DC3-4DD3-9EF5-59937B1F698F}" name="Non-alcoholic beverages" dataDxfId="63"/>
    <tableColumn id="43" xr3:uid="{26807E34-A64A-4716-AA0B-280660A6C9B3}" name="Prepared meals, snacks, sweets etc." dataDxfId="62"/>
    <tableColumn id="44" xr3:uid="{3080627A-1166-47CD-915A-7920113DF46E}" name="Food and beverages2" dataDxfId="61"/>
    <tableColumn id="45" xr3:uid="{38952720-8F79-4DD0-AF75-FDB5E41AD1C8}" name="Pan, tobacco and intoxicants" dataDxfId="60"/>
    <tableColumn id="46" xr3:uid="{B4463751-9CEC-4468-811A-F5E1133C496A}" name="Clothing" dataDxfId="59"/>
    <tableColumn id="47" xr3:uid="{75E88342-10FF-42F2-A938-E73808E3A254}" name="Footwear" dataDxfId="58"/>
    <tableColumn id="48" xr3:uid="{A9149A5D-2851-48CC-9078-059648CF1F90}" name="Clothing and footwear2" dataDxfId="57"/>
    <tableColumn id="59" xr3:uid="{79C6A65C-608F-414B-863D-99D0892FC55D}" name="Housing" dataDxfId="56"/>
    <tableColumn id="49" xr3:uid="{7220E832-E7EA-4A9A-B36E-49A776E95302}" name="Fuel and light" dataDxfId="55"/>
    <tableColumn id="50" xr3:uid="{292F5762-9CFE-486A-8C8E-0BF4E9AD4A81}" name="Household goods and services" dataDxfId="54"/>
    <tableColumn id="51" xr3:uid="{630D75C0-C36A-45FF-9E4B-E473F3352281}" name="Health" dataDxfId="53"/>
    <tableColumn id="52" xr3:uid="{86AC947B-E2FD-4A83-9C5A-2972B9AEAEC9}" name="Transport and communication" dataDxfId="52"/>
    <tableColumn id="53" xr3:uid="{B68D282D-D90B-4E7F-9A2A-C33F6EBFDBA4}" name="Recreation and amusement" dataDxfId="51"/>
    <tableColumn id="54" xr3:uid="{FFF42163-5937-4C6F-86F2-6834A9E8977A}" name="Education" dataDxfId="50"/>
    <tableColumn id="55" xr3:uid="{1958C810-5C85-4B2D-99A2-D9054E38FB45}" name="Personal care and effects" dataDxfId="49"/>
    <tableColumn id="56" xr3:uid="{362EDB61-7F67-423B-AD2C-3620EEC67723}" name="Miscellaneous" dataDxfId="48"/>
    <tableColumn id="57" xr3:uid="{ED3B42BE-42E4-47C1-A956-65D1B974BC58}" name="General index2" dataDxfId="47"/>
    <tableColumn id="31" xr3:uid="{3C4C8698-7C25-4DB0-AA2F-7245A8195657}" name="duplicates check" dataDxfId="46">
      <calculatedColumnFormula>COUNTIFS($A$2:$A$379,A2,$B$2:$B$379,B3,$C$2:$C$379,C2)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76329B-3791-4372-9372-7CB93C7E4BC7}" name="Table110" displayName="Table110" ref="A1:AE379" totalsRowShown="0" headerRowDxfId="45" dataDxfId="44" headerRowBorderDxfId="42" tableBorderDxfId="43" totalsRowBorderDxfId="41">
  <autoFilter ref="A1:AE379" xr:uid="{B576329B-3791-4372-9372-7CB93C7E4BC7}"/>
  <tableColumns count="31">
    <tableColumn id="1" xr3:uid="{D43A09F7-3B18-4015-8BEC-48E695938143}" name="Sector" dataDxfId="40"/>
    <tableColumn id="2" xr3:uid="{CB8A171C-F848-4D80-9E5B-64E6D45E9B03}" name="Year" dataDxfId="39"/>
    <tableColumn id="3" xr3:uid="{48094A6D-EE0F-49AD-B9F1-69D0194B55A7}" name="Month" dataDxfId="38"/>
    <tableColumn id="32" xr3:uid="{D1A81A19-04F6-4292-95DA-EE837BE8326A}" name="Cereals and products" dataDxfId="37"/>
    <tableColumn id="33" xr3:uid="{F9385ED0-3136-431F-AB4C-5DC8A95AA60A}" name="Meat and fish" dataDxfId="36"/>
    <tableColumn id="34" xr3:uid="{5814664F-91B3-442F-AF0A-748FB2988907}" name="Egg" dataDxfId="35"/>
    <tableColumn id="35" xr3:uid="{CBA7F401-B36C-4D5B-9C76-8BDA09595B42}" name="Milk and products" dataDxfId="34"/>
    <tableColumn id="36" xr3:uid="{56454C0B-4F39-4526-8810-B947755A1505}" name="Oils and fats" dataDxfId="33"/>
    <tableColumn id="37" xr3:uid="{1EA2BDCB-3028-4D99-A681-E7D677B62416}" name="Fruits" dataDxfId="32"/>
    <tableColumn id="38" xr3:uid="{171327C5-BC2A-4DE3-BF8B-D25AB2AB7139}" name="Vegetables" dataDxfId="31"/>
    <tableColumn id="39" xr3:uid="{27B55B4F-FF4D-481D-9642-C4578BA472F3}" name="Pulses and products" dataDxfId="30"/>
    <tableColumn id="40" xr3:uid="{D0551CC3-113C-4D26-9DDF-22B357CA55B2}" name="Sugar and Confectionery" dataDxfId="29"/>
    <tableColumn id="41" xr3:uid="{47084C69-B682-4DED-9EE6-450B193917DF}" name="Spices" dataDxfId="28"/>
    <tableColumn id="42" xr3:uid="{CDF7352F-DF08-421C-865F-B2BC8E425BD5}" name="Non-alcoholic beverages" dataDxfId="27"/>
    <tableColumn id="43" xr3:uid="{A0CAD8BB-56E3-45D8-BCD2-EC2087A28396}" name="Prepared meals, snacks, sweets etc." dataDxfId="26"/>
    <tableColumn id="44" xr3:uid="{B6C7C82C-E59F-418D-818C-D08123EA3953}" name="Food and beverages2" dataDxfId="25"/>
    <tableColumn id="45" xr3:uid="{382D4AED-EE22-43CE-9141-1505C38ADA27}" name="Pan, tobacco and intoxicants" dataDxfId="24"/>
    <tableColumn id="46" xr3:uid="{CB35E3A7-CAF0-4772-B10C-C40A0BEF798E}" name="Clothing" dataDxfId="23"/>
    <tableColumn id="47" xr3:uid="{110C8E37-8657-4099-B374-6F7B01E7B414}" name="Footwear" dataDxfId="22"/>
    <tableColumn id="48" xr3:uid="{3B72F7E4-B3FD-47AD-84C1-0D99055483DA}" name="Clothing and footwear2" dataDxfId="21"/>
    <tableColumn id="59" xr3:uid="{0C5AB185-F923-4B04-9A1F-D650B3493BAA}" name="Housing" dataDxfId="20"/>
    <tableColumn id="49" xr3:uid="{EB91BA82-F915-4D8D-A9BA-71800B49CEFF}" name="Fuel and light" dataDxfId="19"/>
    <tableColumn id="50" xr3:uid="{E6771D42-E5AA-4928-8D4A-DDC49E8803C5}" name="Household goods and services" dataDxfId="18"/>
    <tableColumn id="51" xr3:uid="{B91F40AA-5191-47C3-8B5A-1E82F7482BB5}" name="Health" dataDxfId="17"/>
    <tableColumn id="52" xr3:uid="{2E8203F0-A634-4B4F-8E81-6342FC2AB609}" name="Transport and communication" dataDxfId="16"/>
    <tableColumn id="53" xr3:uid="{16CF30B5-628B-4CEB-BF1D-85EE7E70C04B}" name="Recreation and amusement" dataDxfId="15"/>
    <tableColumn id="54" xr3:uid="{0C9A539D-ED39-4AC2-8BD4-1C3E3355A4B2}" name="Education" dataDxfId="14"/>
    <tableColumn id="55" xr3:uid="{FA2E3F6A-6AE0-48CC-ADA6-85D497A0943B}" name="Personal care and effects" dataDxfId="13"/>
    <tableColumn id="56" xr3:uid="{9FB30B29-779E-45B1-8162-46C50519514B}" name="Miscellaneous" dataDxfId="12"/>
    <tableColumn id="57" xr3:uid="{7170666F-F9A3-4E1F-9B59-4DBE852B54BA}" name="General index2" dataDxfId="11"/>
    <tableColumn id="31" xr3:uid="{FC1088A5-79C4-4A73-A758-C23AD97D4F8B}" name="duplicates check"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8A702-4501-4D84-AB0F-2AC2A0AE3EAD}" name="Table2" displayName="Table2" ref="X4:X22" totalsRowShown="0" headerRowDxfId="9">
  <autoFilter ref="X4:X22" xr:uid="{6E38A702-4501-4D84-AB0F-2AC2A0AE3EAD}"/>
  <tableColumns count="1">
    <tableColumn id="1" xr3:uid="{0BA66A13-E892-4C77-A407-550142E9CEFA}" name="food broader bucket">
      <calculatedColumnFormula>AVERAGE(L5:W5)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BA79F7-ABB6-478B-B129-40FD4A6C80C0}" name="Table4" displayName="Table4" ref="D42:G55" totalsRowShown="0">
  <autoFilter ref="D42:G55" xr:uid="{01BA79F7-ABB6-478B-B129-40FD4A6C80C0}"/>
  <tableColumns count="4">
    <tableColumn id="1" xr3:uid="{05C94A84-ABA8-4BD7-A34C-E577E2431845}" name="MONTH" dataDxfId="8"/>
    <tableColumn id="2" xr3:uid="{6355E31F-FDC1-4E1B-81F8-12B9154B937B}" name="FOOD INDEX"/>
    <tableColumn id="3" xr3:uid="{70CBAD7E-0418-4F39-B2F3-F1F3CC6F79AD}" name="FOOD MOM INFLATION"/>
    <tableColumn id="6" xr3:uid="{AB52BDE1-4EFA-49C4-B6F2-28E51046616A}" name="absolute change inflation">
      <calculatedColumnFormula>ABS(F43-F42)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2D11A0-71DA-414C-81C8-40AD7D09D7A4}" name="Table3" displayName="Table3" ref="L40:O52" totalsRowShown="0">
  <autoFilter ref="L40:O52" xr:uid="{FB2D11A0-71DA-414C-81C8-40AD7D09D7A4}"/>
  <tableColumns count="4">
    <tableColumn id="1" xr3:uid="{F7D406E8-94C6-41A7-B595-16A7903387A8}" name="Category" dataDxfId="7"/>
    <tableColumn id="2" xr3:uid="{6E668DC8-8F49-4258-A17F-85AEE5B4CC42}" name="22-Jun" dataDxfId="6"/>
    <tableColumn id="3" xr3:uid="{E94B777F-0469-447A-836D-8B8FFED3F75D}" name="23-May" dataDxfId="5"/>
    <tableColumn id="4" xr3:uid="{8AB374D3-7556-43E4-9CA7-72B2980C2D53}" name="         12-month change %">
      <calculatedColumnFormula>((N41-M41)/M41)*100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4A86CE-EA0B-468B-8DDE-D1193E2489F1}" name="Table5" displayName="Table5" ref="C3:E16" totalsRowShown="0" headerRowDxfId="4">
  <autoFilter ref="C3:E16" xr:uid="{DC4A86CE-EA0B-468B-8DDE-D1193E2489F1}"/>
  <tableColumns count="3">
    <tableColumn id="1" xr3:uid="{3F73784A-4548-4F96-8B35-384EE45D6118}" name="MONTH" dataDxfId="3"/>
    <tableColumn id="2" xr3:uid="{78E64400-219D-40BC-86C6-E53AE9565F95}" name="FOOD INDEX" dataDxfId="2"/>
    <tableColumn id="3" xr3:uid="{80F2F273-0A41-458C-ABAF-7A4FEF3D56AE}" name="FOOD MOM INFLATION">
      <calculatedColumnFormula>((D4-D3)/D3)*100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5EDE8E-ECEA-481D-8505-A0911A73A558}" name="Table6" displayName="Table6" ref="C2:F15" totalsRowShown="0">
  <autoFilter ref="C2:F15" xr:uid="{EF5EDE8E-ECEA-481D-8505-A0911A73A558}"/>
  <tableColumns count="4">
    <tableColumn id="1" xr3:uid="{8AE1866C-874D-413D-8CF1-2337400A7002}" name="Month" dataDxfId="1"/>
    <tableColumn id="2" xr3:uid="{35080D20-206E-43F1-8B2A-DD32970B4098}" name="Inflation %" dataDxfId="0">
      <calculatedColumnFormula>((E3-E2)/E2)*100</calculatedColumnFormula>
    </tableColumn>
    <tableColumn id="3" xr3:uid="{9BE9B9FC-A425-4FDB-9ADA-41686E5F5022}" name="General Index"/>
    <tableColumn id="4" xr3:uid="{3942B183-E032-4EB2-8B3D-A38709486C45}" name="period">
      <calculatedColumnFormula>IF(ROW()=6,"COVID onset",IF(ROW()&lt;6,"Before COVID","After COVID"))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7" Type="http://schemas.openxmlformats.org/officeDocument/2006/relationships/table" Target="../tables/table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table" Target="../tables/table7.xm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2152-76D9-42C5-BFD0-A93E993CB779}">
  <dimension ref="C3:I11"/>
  <sheetViews>
    <sheetView workbookViewId="0">
      <selection activeCell="F13" sqref="F13"/>
    </sheetView>
  </sheetViews>
  <sheetFormatPr defaultRowHeight="15"/>
  <sheetData>
    <row r="3" spans="3:9">
      <c r="C3" s="19" t="s">
        <v>0</v>
      </c>
    </row>
    <row r="4" spans="3:9">
      <c r="C4">
        <v>1</v>
      </c>
      <c r="D4" t="s">
        <v>1</v>
      </c>
      <c r="I4" t="s">
        <v>2</v>
      </c>
    </row>
    <row r="5" spans="3:9">
      <c r="C5">
        <v>2</v>
      </c>
      <c r="D5" t="s">
        <v>3</v>
      </c>
    </row>
    <row r="6" spans="3:9">
      <c r="D6" t="s">
        <v>4</v>
      </c>
    </row>
    <row r="7" spans="3:9">
      <c r="C7">
        <v>3</v>
      </c>
      <c r="D7" t="s">
        <v>5</v>
      </c>
    </row>
    <row r="8" spans="3:9">
      <c r="D8" t="s">
        <v>6</v>
      </c>
    </row>
    <row r="9" spans="3:9">
      <c r="C9">
        <v>4</v>
      </c>
      <c r="D9" t="s">
        <v>7</v>
      </c>
    </row>
    <row r="10" spans="3:9">
      <c r="C10">
        <v>5</v>
      </c>
      <c r="D10" t="s">
        <v>8</v>
      </c>
    </row>
    <row r="11" spans="3:9">
      <c r="D1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2BFC-5594-491C-ADC8-96BE55AA5D9D}">
  <dimension ref="B3:D5"/>
  <sheetViews>
    <sheetView workbookViewId="0">
      <selection activeCell="D6" sqref="D6"/>
    </sheetView>
  </sheetViews>
  <sheetFormatPr defaultRowHeight="15"/>
  <sheetData>
    <row r="3" spans="2:4">
      <c r="B3" t="s">
        <v>10</v>
      </c>
    </row>
    <row r="4" spans="2:4">
      <c r="C4">
        <v>1</v>
      </c>
      <c r="D4" s="19" t="s">
        <v>11</v>
      </c>
    </row>
    <row r="5" spans="2:4">
      <c r="D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A35A-0825-4877-B186-0BB6CA971414}">
  <dimension ref="C3:AE34"/>
  <sheetViews>
    <sheetView topLeftCell="E4" workbookViewId="0">
      <selection activeCell="P10" sqref="P10"/>
    </sheetView>
  </sheetViews>
  <sheetFormatPr defaultRowHeight="15"/>
  <cols>
    <col min="14" max="14" width="33" bestFit="1" customWidth="1"/>
    <col min="15" max="15" width="26.42578125" bestFit="1" customWidth="1"/>
  </cols>
  <sheetData>
    <row r="3" spans="3:31">
      <c r="C3" t="s">
        <v>13</v>
      </c>
    </row>
    <row r="4" spans="3:31" ht="18">
      <c r="C4" s="32" t="s">
        <v>14</v>
      </c>
      <c r="F4" s="32" t="s">
        <v>15</v>
      </c>
      <c r="J4" s="32" t="s">
        <v>16</v>
      </c>
      <c r="M4" s="32" t="s">
        <v>17</v>
      </c>
      <c r="P4" s="32" t="s">
        <v>18</v>
      </c>
      <c r="S4" s="32" t="s">
        <v>19</v>
      </c>
      <c r="Y4" s="32" t="s">
        <v>20</v>
      </c>
      <c r="AB4" s="32" t="s">
        <v>21</v>
      </c>
      <c r="AE4" s="32" t="s">
        <v>22</v>
      </c>
    </row>
    <row r="6" spans="3:31">
      <c r="C6" t="s">
        <v>23</v>
      </c>
      <c r="F6" t="s">
        <v>24</v>
      </c>
      <c r="J6" t="s">
        <v>25</v>
      </c>
      <c r="M6" t="s">
        <v>26</v>
      </c>
      <c r="P6" t="s">
        <v>27</v>
      </c>
      <c r="S6" t="s">
        <v>28</v>
      </c>
      <c r="Y6" t="s">
        <v>29</v>
      </c>
      <c r="AB6" t="s">
        <v>30</v>
      </c>
      <c r="AE6" t="s">
        <v>31</v>
      </c>
    </row>
    <row r="7" spans="3:31">
      <c r="C7" t="s">
        <v>32</v>
      </c>
      <c r="F7" t="s">
        <v>33</v>
      </c>
    </row>
    <row r="8" spans="3:31">
      <c r="C8" t="s">
        <v>34</v>
      </c>
    </row>
    <row r="9" spans="3:31">
      <c r="C9" t="s">
        <v>35</v>
      </c>
    </row>
    <row r="10" spans="3:31">
      <c r="C10" t="s">
        <v>36</v>
      </c>
      <c r="N10" s="19" t="s">
        <v>37</v>
      </c>
      <c r="O10" s="19" t="s">
        <v>38</v>
      </c>
      <c r="P10" s="21"/>
    </row>
    <row r="11" spans="3:31">
      <c r="C11" t="s">
        <v>39</v>
      </c>
      <c r="N11" t="s">
        <v>23</v>
      </c>
      <c r="O11" t="s">
        <v>40</v>
      </c>
    </row>
    <row r="12" spans="3:31">
      <c r="C12" t="s">
        <v>41</v>
      </c>
      <c r="N12" t="s">
        <v>32</v>
      </c>
      <c r="O12" t="s">
        <v>40</v>
      </c>
    </row>
    <row r="13" spans="3:31">
      <c r="C13" t="s">
        <v>42</v>
      </c>
      <c r="N13" t="s">
        <v>34</v>
      </c>
      <c r="O13" t="s">
        <v>40</v>
      </c>
    </row>
    <row r="14" spans="3:31">
      <c r="C14" t="s">
        <v>43</v>
      </c>
      <c r="N14" t="s">
        <v>35</v>
      </c>
      <c r="O14" t="s">
        <v>40</v>
      </c>
    </row>
    <row r="15" spans="3:31">
      <c r="C15" t="s">
        <v>44</v>
      </c>
      <c r="N15" t="s">
        <v>36</v>
      </c>
      <c r="O15" t="s">
        <v>40</v>
      </c>
    </row>
    <row r="16" spans="3:31">
      <c r="C16" t="s">
        <v>45</v>
      </c>
      <c r="N16" t="s">
        <v>39</v>
      </c>
      <c r="O16" t="s">
        <v>40</v>
      </c>
    </row>
    <row r="17" spans="3:15">
      <c r="C17" t="s">
        <v>46</v>
      </c>
      <c r="N17" t="s">
        <v>41</v>
      </c>
      <c r="O17" t="s">
        <v>40</v>
      </c>
    </row>
    <row r="18" spans="3:15">
      <c r="N18" t="s">
        <v>42</v>
      </c>
      <c r="O18" t="s">
        <v>40</v>
      </c>
    </row>
    <row r="19" spans="3:15" ht="18">
      <c r="C19" s="32" t="s">
        <v>47</v>
      </c>
      <c r="G19" s="32" t="s">
        <v>48</v>
      </c>
      <c r="M19" s="32"/>
      <c r="N19" t="s">
        <v>43</v>
      </c>
      <c r="O19" t="s">
        <v>40</v>
      </c>
    </row>
    <row r="20" spans="3:15">
      <c r="N20" t="s">
        <v>44</v>
      </c>
      <c r="O20" t="s">
        <v>40</v>
      </c>
    </row>
    <row r="21" spans="3:15">
      <c r="C21" t="s">
        <v>49</v>
      </c>
      <c r="G21" t="s">
        <v>50</v>
      </c>
      <c r="N21" t="s">
        <v>46</v>
      </c>
      <c r="O21" t="s">
        <v>40</v>
      </c>
    </row>
    <row r="22" spans="3:15">
      <c r="N22" t="s">
        <v>45</v>
      </c>
      <c r="O22" t="s">
        <v>40</v>
      </c>
    </row>
    <row r="23" spans="3:15">
      <c r="N23" t="s">
        <v>24</v>
      </c>
      <c r="O23" t="s">
        <v>51</v>
      </c>
    </row>
    <row r="24" spans="3:15">
      <c r="N24" t="s">
        <v>33</v>
      </c>
      <c r="O24" t="s">
        <v>51</v>
      </c>
    </row>
    <row r="25" spans="3:15">
      <c r="N25" t="s">
        <v>25</v>
      </c>
      <c r="O25" t="s">
        <v>25</v>
      </c>
    </row>
    <row r="26" spans="3:15">
      <c r="N26" t="s">
        <v>26</v>
      </c>
      <c r="O26" t="s">
        <v>52</v>
      </c>
    </row>
    <row r="27" spans="3:15">
      <c r="N27" t="s">
        <v>49</v>
      </c>
      <c r="O27" t="s">
        <v>53</v>
      </c>
    </row>
    <row r="28" spans="3:15">
      <c r="N28" t="s">
        <v>27</v>
      </c>
      <c r="O28" t="s">
        <v>27</v>
      </c>
    </row>
    <row r="29" spans="3:15">
      <c r="N29" t="s">
        <v>28</v>
      </c>
      <c r="O29" t="s">
        <v>54</v>
      </c>
    </row>
    <row r="30" spans="3:15">
      <c r="N30" t="s">
        <v>30</v>
      </c>
      <c r="O30" t="s">
        <v>55</v>
      </c>
    </row>
    <row r="31" spans="3:15">
      <c r="N31" t="s">
        <v>29</v>
      </c>
      <c r="O31" t="s">
        <v>29</v>
      </c>
    </row>
    <row r="32" spans="3:15">
      <c r="N32" t="s">
        <v>31</v>
      </c>
      <c r="O32" t="s">
        <v>56</v>
      </c>
    </row>
    <row r="33" spans="14:15">
      <c r="N33" t="s">
        <v>50</v>
      </c>
      <c r="O33" t="s">
        <v>57</v>
      </c>
    </row>
    <row r="34" spans="14:15">
      <c r="N34" t="s">
        <v>58</v>
      </c>
      <c r="O34"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73"/>
  <sheetViews>
    <sheetView topLeftCell="F1" workbookViewId="0">
      <selection activeCell="N5" sqref="N5"/>
    </sheetView>
  </sheetViews>
  <sheetFormatPr defaultRowHeight="15"/>
  <cols>
    <col min="1" max="1" width="11.7109375" bestFit="1" customWidth="1"/>
    <col min="4" max="4" width="19.140625" bestFit="1" customWidth="1"/>
    <col min="5" max="5" width="12.28515625" bestFit="1" customWidth="1"/>
    <col min="7" max="7" width="15.85546875" bestFit="1" customWidth="1"/>
    <col min="8" max="8" width="11.42578125" bestFit="1" customWidth="1"/>
    <col min="10" max="10" width="10.42578125" bestFit="1" customWidth="1"/>
    <col min="11" max="11" width="18.28515625" bestFit="1" customWidth="1"/>
    <col min="12" max="12" width="22.140625" bestFit="1" customWidth="1"/>
    <col min="13" max="13" width="6.7109375" bestFit="1" customWidth="1"/>
    <col min="14" max="14" width="22" bestFit="1" customWidth="1"/>
    <col min="15" max="15" width="32.140625" bestFit="1" customWidth="1"/>
    <col min="16" max="16" width="18.42578125" bestFit="1" customWidth="1"/>
    <col min="17" max="17" width="25.28515625" bestFit="1" customWidth="1"/>
    <col min="20" max="20" width="19.42578125" bestFit="1" customWidth="1"/>
    <col min="22" max="22" width="12.28515625" bestFit="1" customWidth="1"/>
    <col min="23" max="23" width="27.140625" bestFit="1" customWidth="1"/>
    <col min="26" max="26" width="24.42578125" bestFit="1" customWidth="1"/>
    <col min="27" max="27" width="9.42578125" bestFit="1" customWidth="1"/>
    <col min="28" max="28" width="22.5703125" bestFit="1" customWidth="1"/>
    <col min="29" max="29" width="12.85546875" bestFit="1" customWidth="1"/>
    <col min="30" max="30" width="12.7109375" bestFit="1" customWidth="1"/>
  </cols>
  <sheetData>
    <row r="1" spans="1:30">
      <c r="A1" s="1" t="s">
        <v>59</v>
      </c>
      <c r="B1" s="2" t="s">
        <v>60</v>
      </c>
      <c r="C1" s="2" t="s">
        <v>61</v>
      </c>
      <c r="D1" s="2" t="s">
        <v>23</v>
      </c>
      <c r="E1" s="2" t="s">
        <v>32</v>
      </c>
      <c r="F1" s="2" t="s">
        <v>34</v>
      </c>
      <c r="G1" s="2" t="s">
        <v>35</v>
      </c>
      <c r="H1" s="2" t="s">
        <v>36</v>
      </c>
      <c r="I1" s="2" t="s">
        <v>39</v>
      </c>
      <c r="J1" s="2" t="s">
        <v>41</v>
      </c>
      <c r="K1" s="2" t="s">
        <v>42</v>
      </c>
      <c r="L1" s="2" t="s">
        <v>43</v>
      </c>
      <c r="M1" s="2" t="s">
        <v>44</v>
      </c>
      <c r="N1" s="2" t="s">
        <v>46</v>
      </c>
      <c r="O1" s="2" t="s">
        <v>45</v>
      </c>
      <c r="P1" s="2" t="s">
        <v>62</v>
      </c>
      <c r="Q1" s="2" t="s">
        <v>50</v>
      </c>
      <c r="R1" s="2" t="s">
        <v>24</v>
      </c>
      <c r="S1" s="2" t="s">
        <v>33</v>
      </c>
      <c r="T1" s="2" t="s">
        <v>63</v>
      </c>
      <c r="U1" s="2" t="s">
        <v>25</v>
      </c>
      <c r="V1" s="2" t="s">
        <v>26</v>
      </c>
      <c r="W1" s="2" t="s">
        <v>49</v>
      </c>
      <c r="X1" s="2" t="s">
        <v>27</v>
      </c>
      <c r="Y1" s="2" t="s">
        <v>28</v>
      </c>
      <c r="Z1" s="2" t="s">
        <v>30</v>
      </c>
      <c r="AA1" s="2" t="s">
        <v>29</v>
      </c>
      <c r="AB1" s="2" t="s">
        <v>31</v>
      </c>
      <c r="AC1" s="2" t="s">
        <v>58</v>
      </c>
      <c r="AD1" s="3" t="s">
        <v>64</v>
      </c>
    </row>
    <row r="2" spans="1:30">
      <c r="A2" s="4" t="s">
        <v>65</v>
      </c>
      <c r="B2" s="5">
        <v>2013</v>
      </c>
      <c r="C2" s="5" t="s">
        <v>66</v>
      </c>
      <c r="D2" s="5">
        <v>107.5</v>
      </c>
      <c r="E2" s="5">
        <v>106.3</v>
      </c>
      <c r="F2" s="5">
        <v>108.1</v>
      </c>
      <c r="G2" s="5">
        <v>104.9</v>
      </c>
      <c r="H2" s="5">
        <v>106.1</v>
      </c>
      <c r="I2" s="5">
        <v>103.9</v>
      </c>
      <c r="J2" s="5">
        <v>101.9</v>
      </c>
      <c r="K2" s="5">
        <v>106.1</v>
      </c>
      <c r="L2" s="5">
        <v>106.8</v>
      </c>
      <c r="M2" s="5">
        <v>103.1</v>
      </c>
      <c r="N2" s="5">
        <v>104.8</v>
      </c>
      <c r="O2" s="5">
        <v>106.7</v>
      </c>
      <c r="P2" s="5">
        <v>105.5</v>
      </c>
      <c r="Q2" s="5">
        <v>105.1</v>
      </c>
      <c r="R2" s="5">
        <v>106.5</v>
      </c>
      <c r="S2" s="5">
        <v>105.8</v>
      </c>
      <c r="T2" s="5">
        <v>106.4</v>
      </c>
      <c r="U2" s="5" t="s">
        <v>67</v>
      </c>
      <c r="V2" s="5">
        <v>105.5</v>
      </c>
      <c r="W2" s="5">
        <v>104.8</v>
      </c>
      <c r="X2" s="5">
        <v>104</v>
      </c>
      <c r="Y2" s="5">
        <v>103.3</v>
      </c>
      <c r="Z2" s="5">
        <v>103.4</v>
      </c>
      <c r="AA2" s="5">
        <v>103.8</v>
      </c>
      <c r="AB2" s="5">
        <v>104.7</v>
      </c>
      <c r="AC2" s="5">
        <v>104</v>
      </c>
      <c r="AD2" s="6">
        <v>105.1</v>
      </c>
    </row>
    <row r="3" spans="1:30">
      <c r="A3" s="4" t="s">
        <v>68</v>
      </c>
      <c r="B3" s="5">
        <v>2013</v>
      </c>
      <c r="C3" s="5" t="s">
        <v>66</v>
      </c>
      <c r="D3" s="5">
        <v>110.5</v>
      </c>
      <c r="E3" s="5">
        <v>109.1</v>
      </c>
      <c r="F3" s="5">
        <v>113</v>
      </c>
      <c r="G3" s="5">
        <v>103.6</v>
      </c>
      <c r="H3" s="5">
        <v>103.4</v>
      </c>
      <c r="I3" s="5">
        <v>102.3</v>
      </c>
      <c r="J3" s="5">
        <v>102.9</v>
      </c>
      <c r="K3" s="5">
        <v>105.8</v>
      </c>
      <c r="L3" s="5">
        <v>105.1</v>
      </c>
      <c r="M3" s="5">
        <v>101.8</v>
      </c>
      <c r="N3" s="5">
        <v>105.1</v>
      </c>
      <c r="O3" s="5">
        <v>107.9</v>
      </c>
      <c r="P3" s="5">
        <v>105.9</v>
      </c>
      <c r="Q3" s="5">
        <v>105.2</v>
      </c>
      <c r="R3" s="5">
        <v>105.9</v>
      </c>
      <c r="S3" s="5">
        <v>105</v>
      </c>
      <c r="T3" s="5">
        <v>105.8</v>
      </c>
      <c r="U3" s="5">
        <v>100.3</v>
      </c>
      <c r="V3" s="5">
        <v>105.4</v>
      </c>
      <c r="W3" s="5">
        <v>104.8</v>
      </c>
      <c r="X3" s="5">
        <v>104.1</v>
      </c>
      <c r="Y3" s="5">
        <v>103.2</v>
      </c>
      <c r="Z3" s="5">
        <v>102.9</v>
      </c>
      <c r="AA3" s="5">
        <v>103.5</v>
      </c>
      <c r="AB3" s="5">
        <v>104.3</v>
      </c>
      <c r="AC3" s="5">
        <v>103.7</v>
      </c>
      <c r="AD3" s="6">
        <v>104</v>
      </c>
    </row>
    <row r="4" spans="1:30">
      <c r="A4" s="4" t="s">
        <v>69</v>
      </c>
      <c r="B4" s="5">
        <v>2013</v>
      </c>
      <c r="C4" s="5" t="s">
        <v>66</v>
      </c>
      <c r="D4" s="5">
        <v>108.4</v>
      </c>
      <c r="E4" s="5">
        <v>107.3</v>
      </c>
      <c r="F4" s="5">
        <v>110</v>
      </c>
      <c r="G4" s="5">
        <v>104.4</v>
      </c>
      <c r="H4" s="5">
        <v>105.1</v>
      </c>
      <c r="I4" s="5">
        <v>103.2</v>
      </c>
      <c r="J4" s="5">
        <v>102.2</v>
      </c>
      <c r="K4" s="5">
        <v>106</v>
      </c>
      <c r="L4" s="5">
        <v>106.2</v>
      </c>
      <c r="M4" s="5">
        <v>102.7</v>
      </c>
      <c r="N4" s="5">
        <v>104.9</v>
      </c>
      <c r="O4" s="5">
        <v>107.3</v>
      </c>
      <c r="P4" s="5">
        <v>105.6</v>
      </c>
      <c r="Q4" s="5">
        <v>105.1</v>
      </c>
      <c r="R4" s="5">
        <v>106.3</v>
      </c>
      <c r="S4" s="5">
        <v>105.5</v>
      </c>
      <c r="T4" s="5">
        <v>106.2</v>
      </c>
      <c r="U4" s="5">
        <v>100.3</v>
      </c>
      <c r="V4" s="5">
        <v>105.5</v>
      </c>
      <c r="W4" s="5">
        <v>104.8</v>
      </c>
      <c r="X4" s="5">
        <v>104</v>
      </c>
      <c r="Y4" s="5">
        <v>103.2</v>
      </c>
      <c r="Z4" s="5">
        <v>103.1</v>
      </c>
      <c r="AA4" s="5">
        <v>103.6</v>
      </c>
      <c r="AB4" s="5">
        <v>104.5</v>
      </c>
      <c r="AC4" s="5">
        <v>103.9</v>
      </c>
      <c r="AD4" s="6">
        <v>104.6</v>
      </c>
    </row>
    <row r="5" spans="1:30">
      <c r="A5" s="4" t="s">
        <v>65</v>
      </c>
      <c r="B5" s="5">
        <v>2013</v>
      </c>
      <c r="C5" s="5" t="s">
        <v>70</v>
      </c>
      <c r="D5" s="5">
        <v>109.2</v>
      </c>
      <c r="E5" s="5">
        <v>108.7</v>
      </c>
      <c r="F5" s="5">
        <v>110.2</v>
      </c>
      <c r="G5" s="5">
        <v>105.4</v>
      </c>
      <c r="H5" s="5">
        <v>106.7</v>
      </c>
      <c r="I5" s="5">
        <v>104</v>
      </c>
      <c r="J5" s="5">
        <v>102.4</v>
      </c>
      <c r="K5" s="5">
        <v>105.9</v>
      </c>
      <c r="L5" s="5">
        <v>105.7</v>
      </c>
      <c r="M5" s="5">
        <v>103.1</v>
      </c>
      <c r="N5" s="5">
        <v>105.1</v>
      </c>
      <c r="O5" s="5">
        <v>107.7</v>
      </c>
      <c r="P5" s="5">
        <v>106.3</v>
      </c>
      <c r="Q5" s="5">
        <v>105.6</v>
      </c>
      <c r="R5" s="5">
        <v>107.1</v>
      </c>
      <c r="S5" s="5">
        <v>106.3</v>
      </c>
      <c r="T5" s="5">
        <v>107</v>
      </c>
      <c r="U5" s="5" t="s">
        <v>67</v>
      </c>
      <c r="V5" s="5">
        <v>106.2</v>
      </c>
      <c r="W5" s="5">
        <v>105.2</v>
      </c>
      <c r="X5" s="5">
        <v>104.4</v>
      </c>
      <c r="Y5" s="5">
        <v>103.9</v>
      </c>
      <c r="Z5" s="5">
        <v>104</v>
      </c>
      <c r="AA5" s="5">
        <v>104.1</v>
      </c>
      <c r="AB5" s="5">
        <v>104.6</v>
      </c>
      <c r="AC5" s="5">
        <v>104.4</v>
      </c>
      <c r="AD5" s="6">
        <v>105.8</v>
      </c>
    </row>
    <row r="6" spans="1:30">
      <c r="A6" s="4" t="s">
        <v>68</v>
      </c>
      <c r="B6" s="5">
        <v>2013</v>
      </c>
      <c r="C6" s="5" t="s">
        <v>70</v>
      </c>
      <c r="D6" s="5">
        <v>112.9</v>
      </c>
      <c r="E6" s="5">
        <v>112.9</v>
      </c>
      <c r="F6" s="5">
        <v>116.9</v>
      </c>
      <c r="G6" s="5">
        <v>104</v>
      </c>
      <c r="H6" s="5">
        <v>103.5</v>
      </c>
      <c r="I6" s="5">
        <v>103.1</v>
      </c>
      <c r="J6" s="5">
        <v>104.9</v>
      </c>
      <c r="K6" s="5">
        <v>104.1</v>
      </c>
      <c r="L6" s="5">
        <v>103.8</v>
      </c>
      <c r="M6" s="5">
        <v>102.3</v>
      </c>
      <c r="N6" s="5">
        <v>106</v>
      </c>
      <c r="O6" s="5">
        <v>109</v>
      </c>
      <c r="P6" s="5">
        <v>107.2</v>
      </c>
      <c r="Q6" s="5">
        <v>106</v>
      </c>
      <c r="R6" s="5">
        <v>106.6</v>
      </c>
      <c r="S6" s="5">
        <v>105.5</v>
      </c>
      <c r="T6" s="5">
        <v>106.4</v>
      </c>
      <c r="U6" s="5">
        <v>100.4</v>
      </c>
      <c r="V6" s="5">
        <v>105.7</v>
      </c>
      <c r="W6" s="5">
        <v>105.2</v>
      </c>
      <c r="X6" s="5">
        <v>104.7</v>
      </c>
      <c r="Y6" s="5">
        <v>104.4</v>
      </c>
      <c r="Z6" s="5">
        <v>103.3</v>
      </c>
      <c r="AA6" s="5">
        <v>103.7</v>
      </c>
      <c r="AB6" s="5">
        <v>104.3</v>
      </c>
      <c r="AC6" s="5">
        <v>104.3</v>
      </c>
      <c r="AD6" s="6">
        <v>104.7</v>
      </c>
    </row>
    <row r="7" spans="1:30">
      <c r="A7" s="4" t="s">
        <v>69</v>
      </c>
      <c r="B7" s="5">
        <v>2013</v>
      </c>
      <c r="C7" s="5" t="s">
        <v>70</v>
      </c>
      <c r="D7" s="5">
        <v>110.4</v>
      </c>
      <c r="E7" s="5">
        <v>110.2</v>
      </c>
      <c r="F7" s="5">
        <v>112.8</v>
      </c>
      <c r="G7" s="5">
        <v>104.9</v>
      </c>
      <c r="H7" s="5">
        <v>105.5</v>
      </c>
      <c r="I7" s="5">
        <v>103.6</v>
      </c>
      <c r="J7" s="5">
        <v>103.2</v>
      </c>
      <c r="K7" s="5">
        <v>105.3</v>
      </c>
      <c r="L7" s="5">
        <v>105.1</v>
      </c>
      <c r="M7" s="5">
        <v>102.8</v>
      </c>
      <c r="N7" s="5">
        <v>105.5</v>
      </c>
      <c r="O7" s="5">
        <v>108.3</v>
      </c>
      <c r="P7" s="5">
        <v>106.6</v>
      </c>
      <c r="Q7" s="5">
        <v>105.7</v>
      </c>
      <c r="R7" s="5">
        <v>106.9</v>
      </c>
      <c r="S7" s="5">
        <v>106</v>
      </c>
      <c r="T7" s="5">
        <v>106.8</v>
      </c>
      <c r="U7" s="5">
        <v>100.4</v>
      </c>
      <c r="V7" s="5">
        <v>106</v>
      </c>
      <c r="W7" s="5">
        <v>105.2</v>
      </c>
      <c r="X7" s="5">
        <v>104.5</v>
      </c>
      <c r="Y7" s="5">
        <v>104.2</v>
      </c>
      <c r="Z7" s="5">
        <v>103.6</v>
      </c>
      <c r="AA7" s="5">
        <v>103.9</v>
      </c>
      <c r="AB7" s="5">
        <v>104.5</v>
      </c>
      <c r="AC7" s="5">
        <v>104.4</v>
      </c>
      <c r="AD7" s="6">
        <v>105.3</v>
      </c>
    </row>
    <row r="8" spans="1:30">
      <c r="A8" s="4" t="s">
        <v>65</v>
      </c>
      <c r="B8" s="5">
        <v>2013</v>
      </c>
      <c r="C8" s="5" t="s">
        <v>71</v>
      </c>
      <c r="D8" s="5">
        <v>110.2</v>
      </c>
      <c r="E8" s="5">
        <v>108.8</v>
      </c>
      <c r="F8" s="5">
        <v>109.9</v>
      </c>
      <c r="G8" s="5">
        <v>105.6</v>
      </c>
      <c r="H8" s="5">
        <v>106.2</v>
      </c>
      <c r="I8" s="5">
        <v>105.7</v>
      </c>
      <c r="J8" s="5">
        <v>101.4</v>
      </c>
      <c r="K8" s="5">
        <v>105.7</v>
      </c>
      <c r="L8" s="5">
        <v>105</v>
      </c>
      <c r="M8" s="5">
        <v>103.3</v>
      </c>
      <c r="N8" s="5">
        <v>105.6</v>
      </c>
      <c r="O8" s="5">
        <v>108.2</v>
      </c>
      <c r="P8" s="5">
        <v>106.6</v>
      </c>
      <c r="Q8" s="5">
        <v>106.5</v>
      </c>
      <c r="R8" s="5">
        <v>107.6</v>
      </c>
      <c r="S8" s="5">
        <v>106.8</v>
      </c>
      <c r="T8" s="5">
        <v>107.5</v>
      </c>
      <c r="U8" s="5" t="s">
        <v>67</v>
      </c>
      <c r="V8" s="5">
        <v>106.1</v>
      </c>
      <c r="W8" s="5">
        <v>105.6</v>
      </c>
      <c r="X8" s="5">
        <v>104.7</v>
      </c>
      <c r="Y8" s="5">
        <v>104.6</v>
      </c>
      <c r="Z8" s="5">
        <v>104</v>
      </c>
      <c r="AA8" s="5">
        <v>104.3</v>
      </c>
      <c r="AB8" s="5">
        <v>104.3</v>
      </c>
      <c r="AC8" s="5">
        <v>104.6</v>
      </c>
      <c r="AD8" s="6">
        <v>106</v>
      </c>
    </row>
    <row r="9" spans="1:30">
      <c r="A9" s="4" t="s">
        <v>68</v>
      </c>
      <c r="B9" s="5">
        <v>2013</v>
      </c>
      <c r="C9" s="5" t="s">
        <v>71</v>
      </c>
      <c r="D9" s="5">
        <v>113.9</v>
      </c>
      <c r="E9" s="5">
        <v>111.4</v>
      </c>
      <c r="F9" s="5">
        <v>113.2</v>
      </c>
      <c r="G9" s="5">
        <v>104.3</v>
      </c>
      <c r="H9" s="5">
        <v>102.7</v>
      </c>
      <c r="I9" s="5">
        <v>104.9</v>
      </c>
      <c r="J9" s="5">
        <v>103.8</v>
      </c>
      <c r="K9" s="5">
        <v>103.5</v>
      </c>
      <c r="L9" s="5">
        <v>102.6</v>
      </c>
      <c r="M9" s="5">
        <v>102.4</v>
      </c>
      <c r="N9" s="5">
        <v>107</v>
      </c>
      <c r="O9" s="5">
        <v>109.8</v>
      </c>
      <c r="P9" s="5">
        <v>107.3</v>
      </c>
      <c r="Q9" s="5">
        <v>106.8</v>
      </c>
      <c r="R9" s="5">
        <v>107.2</v>
      </c>
      <c r="S9" s="5">
        <v>106</v>
      </c>
      <c r="T9" s="5">
        <v>107</v>
      </c>
      <c r="U9" s="5">
        <v>100.4</v>
      </c>
      <c r="V9" s="5">
        <v>106</v>
      </c>
      <c r="W9" s="5">
        <v>105.7</v>
      </c>
      <c r="X9" s="5">
        <v>105.2</v>
      </c>
      <c r="Y9" s="5">
        <v>105.5</v>
      </c>
      <c r="Z9" s="5">
        <v>103.5</v>
      </c>
      <c r="AA9" s="5">
        <v>103.8</v>
      </c>
      <c r="AB9" s="5">
        <v>104.2</v>
      </c>
      <c r="AC9" s="5">
        <v>104.9</v>
      </c>
      <c r="AD9" s="6">
        <v>105</v>
      </c>
    </row>
    <row r="10" spans="1:30">
      <c r="A10" s="4" t="s">
        <v>69</v>
      </c>
      <c r="B10" s="5">
        <v>2013</v>
      </c>
      <c r="C10" s="5" t="s">
        <v>71</v>
      </c>
      <c r="D10" s="5">
        <v>111.4</v>
      </c>
      <c r="E10" s="5">
        <v>109.7</v>
      </c>
      <c r="F10" s="5">
        <v>111.2</v>
      </c>
      <c r="G10" s="5">
        <v>105.1</v>
      </c>
      <c r="H10" s="5">
        <v>104.9</v>
      </c>
      <c r="I10" s="5">
        <v>105.3</v>
      </c>
      <c r="J10" s="5">
        <v>102.2</v>
      </c>
      <c r="K10" s="5">
        <v>105</v>
      </c>
      <c r="L10" s="5">
        <v>104.2</v>
      </c>
      <c r="M10" s="5">
        <v>103</v>
      </c>
      <c r="N10" s="5">
        <v>106.2</v>
      </c>
      <c r="O10" s="5">
        <v>108.9</v>
      </c>
      <c r="P10" s="5">
        <v>106.9</v>
      </c>
      <c r="Q10" s="5">
        <v>106.6</v>
      </c>
      <c r="R10" s="5">
        <v>107.4</v>
      </c>
      <c r="S10" s="5">
        <v>106.5</v>
      </c>
      <c r="T10" s="5">
        <v>107.3</v>
      </c>
      <c r="U10" s="5">
        <v>100.4</v>
      </c>
      <c r="V10" s="5">
        <v>106.1</v>
      </c>
      <c r="W10" s="5">
        <v>105.6</v>
      </c>
      <c r="X10" s="5">
        <v>104.9</v>
      </c>
      <c r="Y10" s="5">
        <v>105.1</v>
      </c>
      <c r="Z10" s="5">
        <v>103.7</v>
      </c>
      <c r="AA10" s="5">
        <v>104</v>
      </c>
      <c r="AB10" s="5">
        <v>104.3</v>
      </c>
      <c r="AC10" s="5">
        <v>104.7</v>
      </c>
      <c r="AD10" s="6">
        <v>105.5</v>
      </c>
    </row>
    <row r="11" spans="1:30">
      <c r="A11" s="4" t="s">
        <v>65</v>
      </c>
      <c r="B11" s="5">
        <v>2013</v>
      </c>
      <c r="C11" s="5" t="s">
        <v>72</v>
      </c>
      <c r="D11" s="5">
        <v>110.2</v>
      </c>
      <c r="E11" s="5">
        <v>109.5</v>
      </c>
      <c r="F11" s="5">
        <v>106.9</v>
      </c>
      <c r="G11" s="5">
        <v>106.3</v>
      </c>
      <c r="H11" s="5">
        <v>105.7</v>
      </c>
      <c r="I11" s="5">
        <v>108.3</v>
      </c>
      <c r="J11" s="5">
        <v>103.4</v>
      </c>
      <c r="K11" s="5">
        <v>105.7</v>
      </c>
      <c r="L11" s="5">
        <v>104.2</v>
      </c>
      <c r="M11" s="5">
        <v>103.2</v>
      </c>
      <c r="N11" s="5">
        <v>106.5</v>
      </c>
      <c r="O11" s="5">
        <v>108.8</v>
      </c>
      <c r="P11" s="5">
        <v>107.1</v>
      </c>
      <c r="Q11" s="5">
        <v>107.1</v>
      </c>
      <c r="R11" s="5">
        <v>108.1</v>
      </c>
      <c r="S11" s="5">
        <v>107.4</v>
      </c>
      <c r="T11" s="5">
        <v>108</v>
      </c>
      <c r="U11" s="5" t="s">
        <v>67</v>
      </c>
      <c r="V11" s="5">
        <v>106.5</v>
      </c>
      <c r="W11" s="5">
        <v>106.1</v>
      </c>
      <c r="X11" s="5">
        <v>105.1</v>
      </c>
      <c r="Y11" s="5">
        <v>104.4</v>
      </c>
      <c r="Z11" s="5">
        <v>104.5</v>
      </c>
      <c r="AA11" s="5">
        <v>104.8</v>
      </c>
      <c r="AB11" s="5">
        <v>102.7</v>
      </c>
      <c r="AC11" s="5">
        <v>104.6</v>
      </c>
      <c r="AD11" s="6">
        <v>106.4</v>
      </c>
    </row>
    <row r="12" spans="1:30">
      <c r="A12" s="4" t="s">
        <v>68</v>
      </c>
      <c r="B12" s="5">
        <v>2013</v>
      </c>
      <c r="C12" s="5" t="s">
        <v>72</v>
      </c>
      <c r="D12" s="5">
        <v>114.6</v>
      </c>
      <c r="E12" s="5">
        <v>113.4</v>
      </c>
      <c r="F12" s="5">
        <v>106</v>
      </c>
      <c r="G12" s="5">
        <v>104.7</v>
      </c>
      <c r="H12" s="5">
        <v>102.1</v>
      </c>
      <c r="I12" s="5">
        <v>109.5</v>
      </c>
      <c r="J12" s="5">
        <v>109.7</v>
      </c>
      <c r="K12" s="5">
        <v>104.6</v>
      </c>
      <c r="L12" s="5">
        <v>102</v>
      </c>
      <c r="M12" s="5">
        <v>103.5</v>
      </c>
      <c r="N12" s="5">
        <v>108.2</v>
      </c>
      <c r="O12" s="5">
        <v>110.6</v>
      </c>
      <c r="P12" s="5">
        <v>108.8</v>
      </c>
      <c r="Q12" s="5">
        <v>108.5</v>
      </c>
      <c r="R12" s="5">
        <v>107.9</v>
      </c>
      <c r="S12" s="5">
        <v>106.4</v>
      </c>
      <c r="T12" s="5">
        <v>107.7</v>
      </c>
      <c r="U12" s="5">
        <v>100.5</v>
      </c>
      <c r="V12" s="5">
        <v>106.4</v>
      </c>
      <c r="W12" s="5">
        <v>106.5</v>
      </c>
      <c r="X12" s="5">
        <v>105.7</v>
      </c>
      <c r="Y12" s="5">
        <v>105</v>
      </c>
      <c r="Z12" s="5">
        <v>104</v>
      </c>
      <c r="AA12" s="5">
        <v>105.2</v>
      </c>
      <c r="AB12" s="5">
        <v>103.2</v>
      </c>
      <c r="AC12" s="5">
        <v>105.1</v>
      </c>
      <c r="AD12" s="6">
        <v>105.7</v>
      </c>
    </row>
    <row r="13" spans="1:30">
      <c r="A13" s="4" t="s">
        <v>69</v>
      </c>
      <c r="B13" s="5">
        <v>2013</v>
      </c>
      <c r="C13" s="5" t="s">
        <v>72</v>
      </c>
      <c r="D13" s="5">
        <v>111.6</v>
      </c>
      <c r="E13" s="5">
        <v>110.9</v>
      </c>
      <c r="F13" s="5">
        <v>106.6</v>
      </c>
      <c r="G13" s="5">
        <v>105.7</v>
      </c>
      <c r="H13" s="5">
        <v>104.4</v>
      </c>
      <c r="I13" s="5">
        <v>108.9</v>
      </c>
      <c r="J13" s="5">
        <v>105.5</v>
      </c>
      <c r="K13" s="5">
        <v>105.3</v>
      </c>
      <c r="L13" s="5">
        <v>103.5</v>
      </c>
      <c r="M13" s="5">
        <v>103.3</v>
      </c>
      <c r="N13" s="5">
        <v>107.2</v>
      </c>
      <c r="O13" s="5">
        <v>109.6</v>
      </c>
      <c r="P13" s="5">
        <v>107.7</v>
      </c>
      <c r="Q13" s="5">
        <v>107.5</v>
      </c>
      <c r="R13" s="5">
        <v>108</v>
      </c>
      <c r="S13" s="5">
        <v>107</v>
      </c>
      <c r="T13" s="5">
        <v>107.9</v>
      </c>
      <c r="U13" s="5">
        <v>100.5</v>
      </c>
      <c r="V13" s="5">
        <v>106.5</v>
      </c>
      <c r="W13" s="5">
        <v>106.3</v>
      </c>
      <c r="X13" s="5">
        <v>105.3</v>
      </c>
      <c r="Y13" s="5">
        <v>104.7</v>
      </c>
      <c r="Z13" s="5">
        <v>104.2</v>
      </c>
      <c r="AA13" s="5">
        <v>105</v>
      </c>
      <c r="AB13" s="5">
        <v>102.9</v>
      </c>
      <c r="AC13" s="5">
        <v>104.8</v>
      </c>
      <c r="AD13" s="6">
        <v>106.1</v>
      </c>
    </row>
    <row r="14" spans="1:30">
      <c r="A14" s="4" t="s">
        <v>65</v>
      </c>
      <c r="B14" s="5">
        <v>2013</v>
      </c>
      <c r="C14" s="5" t="s">
        <v>73</v>
      </c>
      <c r="D14" s="5">
        <v>110.9</v>
      </c>
      <c r="E14" s="5">
        <v>109.8</v>
      </c>
      <c r="F14" s="5">
        <v>105.9</v>
      </c>
      <c r="G14" s="5">
        <v>107.5</v>
      </c>
      <c r="H14" s="5">
        <v>105.3</v>
      </c>
      <c r="I14" s="5">
        <v>108.1</v>
      </c>
      <c r="J14" s="5">
        <v>107.3</v>
      </c>
      <c r="K14" s="5">
        <v>106.1</v>
      </c>
      <c r="L14" s="5">
        <v>103.7</v>
      </c>
      <c r="M14" s="5">
        <v>104</v>
      </c>
      <c r="N14" s="5">
        <v>107.4</v>
      </c>
      <c r="O14" s="5">
        <v>109.9</v>
      </c>
      <c r="P14" s="5">
        <v>108.1</v>
      </c>
      <c r="Q14" s="5">
        <v>108.1</v>
      </c>
      <c r="R14" s="5">
        <v>108.8</v>
      </c>
      <c r="S14" s="5">
        <v>107.9</v>
      </c>
      <c r="T14" s="5">
        <v>108.6</v>
      </c>
      <c r="U14" s="5" t="s">
        <v>67</v>
      </c>
      <c r="V14" s="5">
        <v>107.5</v>
      </c>
      <c r="W14" s="5">
        <v>106.8</v>
      </c>
      <c r="X14" s="5">
        <v>105.7</v>
      </c>
      <c r="Y14" s="5">
        <v>104.1</v>
      </c>
      <c r="Z14" s="5">
        <v>105</v>
      </c>
      <c r="AA14" s="5">
        <v>105.5</v>
      </c>
      <c r="AB14" s="5">
        <v>102.1</v>
      </c>
      <c r="AC14" s="5">
        <v>104.8</v>
      </c>
      <c r="AD14" s="6">
        <v>107.2</v>
      </c>
    </row>
    <row r="15" spans="1:30">
      <c r="A15" s="4" t="s">
        <v>68</v>
      </c>
      <c r="B15" s="5">
        <v>2013</v>
      </c>
      <c r="C15" s="5" t="s">
        <v>73</v>
      </c>
      <c r="D15" s="5">
        <v>115.4</v>
      </c>
      <c r="E15" s="5">
        <v>114.2</v>
      </c>
      <c r="F15" s="5">
        <v>102.7</v>
      </c>
      <c r="G15" s="5">
        <v>105.5</v>
      </c>
      <c r="H15" s="5">
        <v>101.5</v>
      </c>
      <c r="I15" s="5">
        <v>110.6</v>
      </c>
      <c r="J15" s="5">
        <v>123.7</v>
      </c>
      <c r="K15" s="5">
        <v>105.2</v>
      </c>
      <c r="L15" s="5">
        <v>101.9</v>
      </c>
      <c r="M15" s="5">
        <v>105</v>
      </c>
      <c r="N15" s="5">
        <v>109.1</v>
      </c>
      <c r="O15" s="5">
        <v>111.3</v>
      </c>
      <c r="P15" s="5">
        <v>111.1</v>
      </c>
      <c r="Q15" s="5">
        <v>109.8</v>
      </c>
      <c r="R15" s="5">
        <v>108.5</v>
      </c>
      <c r="S15" s="5">
        <v>106.7</v>
      </c>
      <c r="T15" s="5">
        <v>108.3</v>
      </c>
      <c r="U15" s="5">
        <v>100.5</v>
      </c>
      <c r="V15" s="5">
        <v>107.2</v>
      </c>
      <c r="W15" s="5">
        <v>107.1</v>
      </c>
      <c r="X15" s="5">
        <v>106.2</v>
      </c>
      <c r="Y15" s="5">
        <v>103.9</v>
      </c>
      <c r="Z15" s="5">
        <v>104.6</v>
      </c>
      <c r="AA15" s="5">
        <v>105.7</v>
      </c>
      <c r="AB15" s="5">
        <v>102.6</v>
      </c>
      <c r="AC15" s="5">
        <v>104.9</v>
      </c>
      <c r="AD15" s="6">
        <v>106.6</v>
      </c>
    </row>
    <row r="16" spans="1:30">
      <c r="A16" s="4" t="s">
        <v>69</v>
      </c>
      <c r="B16" s="5">
        <v>2013</v>
      </c>
      <c r="C16" s="5" t="s">
        <v>73</v>
      </c>
      <c r="D16" s="5">
        <v>112.3</v>
      </c>
      <c r="E16" s="5">
        <v>111.3</v>
      </c>
      <c r="F16" s="5">
        <v>104.7</v>
      </c>
      <c r="G16" s="5">
        <v>106.8</v>
      </c>
      <c r="H16" s="5">
        <v>103.9</v>
      </c>
      <c r="I16" s="5">
        <v>109.3</v>
      </c>
      <c r="J16" s="5">
        <v>112.9</v>
      </c>
      <c r="K16" s="5">
        <v>105.8</v>
      </c>
      <c r="L16" s="5">
        <v>103.1</v>
      </c>
      <c r="M16" s="5">
        <v>104.3</v>
      </c>
      <c r="N16" s="5">
        <v>108.1</v>
      </c>
      <c r="O16" s="5">
        <v>110.5</v>
      </c>
      <c r="P16" s="5">
        <v>109.2</v>
      </c>
      <c r="Q16" s="5">
        <v>108.6</v>
      </c>
      <c r="R16" s="5">
        <v>108.7</v>
      </c>
      <c r="S16" s="5">
        <v>107.4</v>
      </c>
      <c r="T16" s="5">
        <v>108.5</v>
      </c>
      <c r="U16" s="5">
        <v>100.5</v>
      </c>
      <c r="V16" s="5">
        <v>107.4</v>
      </c>
      <c r="W16" s="5">
        <v>106.9</v>
      </c>
      <c r="X16" s="5">
        <v>105.9</v>
      </c>
      <c r="Y16" s="5">
        <v>104</v>
      </c>
      <c r="Z16" s="5">
        <v>104.8</v>
      </c>
      <c r="AA16" s="5">
        <v>105.6</v>
      </c>
      <c r="AB16" s="5">
        <v>102.3</v>
      </c>
      <c r="AC16" s="5">
        <v>104.8</v>
      </c>
      <c r="AD16" s="6">
        <v>106.9</v>
      </c>
    </row>
    <row r="17" spans="1:30">
      <c r="A17" s="4" t="s">
        <v>65</v>
      </c>
      <c r="B17" s="5">
        <v>2013</v>
      </c>
      <c r="C17" s="5" t="s">
        <v>74</v>
      </c>
      <c r="D17" s="5">
        <v>112.3</v>
      </c>
      <c r="E17" s="5">
        <v>112.1</v>
      </c>
      <c r="F17" s="5">
        <v>108.1</v>
      </c>
      <c r="G17" s="5">
        <v>108.3</v>
      </c>
      <c r="H17" s="5">
        <v>105.9</v>
      </c>
      <c r="I17" s="5">
        <v>109.2</v>
      </c>
      <c r="J17" s="5">
        <v>118</v>
      </c>
      <c r="K17" s="5">
        <v>106.8</v>
      </c>
      <c r="L17" s="5">
        <v>104.1</v>
      </c>
      <c r="M17" s="5">
        <v>105.4</v>
      </c>
      <c r="N17" s="5">
        <v>108.2</v>
      </c>
      <c r="O17" s="5">
        <v>111</v>
      </c>
      <c r="P17" s="5">
        <v>110.6</v>
      </c>
      <c r="Q17" s="5">
        <v>109</v>
      </c>
      <c r="R17" s="5">
        <v>109.7</v>
      </c>
      <c r="S17" s="5">
        <v>108.8</v>
      </c>
      <c r="T17" s="5">
        <v>109.5</v>
      </c>
      <c r="U17" s="5" t="s">
        <v>67</v>
      </c>
      <c r="V17" s="5">
        <v>108.5</v>
      </c>
      <c r="W17" s="5">
        <v>107.5</v>
      </c>
      <c r="X17" s="5">
        <v>106.3</v>
      </c>
      <c r="Y17" s="5">
        <v>105</v>
      </c>
      <c r="Z17" s="5">
        <v>105.6</v>
      </c>
      <c r="AA17" s="5">
        <v>106.5</v>
      </c>
      <c r="AB17" s="5">
        <v>102.5</v>
      </c>
      <c r="AC17" s="5">
        <v>105.5</v>
      </c>
      <c r="AD17" s="6">
        <v>108.9</v>
      </c>
    </row>
    <row r="18" spans="1:30">
      <c r="A18" s="4" t="s">
        <v>68</v>
      </c>
      <c r="B18" s="5">
        <v>2013</v>
      </c>
      <c r="C18" s="5" t="s">
        <v>74</v>
      </c>
      <c r="D18" s="5">
        <v>117</v>
      </c>
      <c r="E18" s="5">
        <v>120.1</v>
      </c>
      <c r="F18" s="5">
        <v>112.5</v>
      </c>
      <c r="G18" s="5">
        <v>107.3</v>
      </c>
      <c r="H18" s="5">
        <v>101.3</v>
      </c>
      <c r="I18" s="5">
        <v>112.4</v>
      </c>
      <c r="J18" s="5">
        <v>143.6</v>
      </c>
      <c r="K18" s="5">
        <v>105.4</v>
      </c>
      <c r="L18" s="5">
        <v>101.4</v>
      </c>
      <c r="M18" s="5">
        <v>106.4</v>
      </c>
      <c r="N18" s="5">
        <v>110</v>
      </c>
      <c r="O18" s="5">
        <v>112.2</v>
      </c>
      <c r="P18" s="5">
        <v>115</v>
      </c>
      <c r="Q18" s="5">
        <v>110.9</v>
      </c>
      <c r="R18" s="5">
        <v>109.2</v>
      </c>
      <c r="S18" s="5">
        <v>107.2</v>
      </c>
      <c r="T18" s="5">
        <v>108.9</v>
      </c>
      <c r="U18" s="5">
        <v>106.6</v>
      </c>
      <c r="V18" s="5">
        <v>108</v>
      </c>
      <c r="W18" s="5">
        <v>107.7</v>
      </c>
      <c r="X18" s="5">
        <v>106.5</v>
      </c>
      <c r="Y18" s="5">
        <v>105.2</v>
      </c>
      <c r="Z18" s="5">
        <v>105.2</v>
      </c>
      <c r="AA18" s="5">
        <v>108.1</v>
      </c>
      <c r="AB18" s="5">
        <v>103.3</v>
      </c>
      <c r="AC18" s="5">
        <v>106.1</v>
      </c>
      <c r="AD18" s="6">
        <v>109.7</v>
      </c>
    </row>
    <row r="19" spans="1:30">
      <c r="A19" s="4" t="s">
        <v>69</v>
      </c>
      <c r="B19" s="5">
        <v>2013</v>
      </c>
      <c r="C19" s="5" t="s">
        <v>74</v>
      </c>
      <c r="D19" s="5">
        <v>113.8</v>
      </c>
      <c r="E19" s="5">
        <v>114.9</v>
      </c>
      <c r="F19" s="5">
        <v>109.8</v>
      </c>
      <c r="G19" s="5">
        <v>107.9</v>
      </c>
      <c r="H19" s="5">
        <v>104.2</v>
      </c>
      <c r="I19" s="5">
        <v>110.7</v>
      </c>
      <c r="J19" s="5">
        <v>126.7</v>
      </c>
      <c r="K19" s="5">
        <v>106.3</v>
      </c>
      <c r="L19" s="5">
        <v>103.2</v>
      </c>
      <c r="M19" s="5">
        <v>105.7</v>
      </c>
      <c r="N19" s="5">
        <v>109</v>
      </c>
      <c r="O19" s="5">
        <v>111.6</v>
      </c>
      <c r="P19" s="5">
        <v>112.2</v>
      </c>
      <c r="Q19" s="5">
        <v>109.5</v>
      </c>
      <c r="R19" s="5">
        <v>109.5</v>
      </c>
      <c r="S19" s="5">
        <v>108.1</v>
      </c>
      <c r="T19" s="5">
        <v>109.3</v>
      </c>
      <c r="U19" s="5">
        <v>106.6</v>
      </c>
      <c r="V19" s="5">
        <v>108.3</v>
      </c>
      <c r="W19" s="5">
        <v>107.6</v>
      </c>
      <c r="X19" s="5">
        <v>106.4</v>
      </c>
      <c r="Y19" s="5">
        <v>105.1</v>
      </c>
      <c r="Z19" s="5">
        <v>105.4</v>
      </c>
      <c r="AA19" s="5">
        <v>107.4</v>
      </c>
      <c r="AB19" s="5">
        <v>102.8</v>
      </c>
      <c r="AC19" s="5">
        <v>105.8</v>
      </c>
      <c r="AD19" s="6">
        <v>109.3</v>
      </c>
    </row>
    <row r="20" spans="1:30">
      <c r="A20" s="4" t="s">
        <v>65</v>
      </c>
      <c r="B20" s="5">
        <v>2013</v>
      </c>
      <c r="C20" s="5" t="s">
        <v>75</v>
      </c>
      <c r="D20" s="5">
        <v>113.4</v>
      </c>
      <c r="E20" s="5">
        <v>114.9</v>
      </c>
      <c r="F20" s="5">
        <v>110.5</v>
      </c>
      <c r="G20" s="5">
        <v>109.3</v>
      </c>
      <c r="H20" s="5">
        <v>106.2</v>
      </c>
      <c r="I20" s="5">
        <v>110.3</v>
      </c>
      <c r="J20" s="5">
        <v>129.19999999999999</v>
      </c>
      <c r="K20" s="5">
        <v>107.1</v>
      </c>
      <c r="L20" s="5">
        <v>104.3</v>
      </c>
      <c r="M20" s="5">
        <v>106.4</v>
      </c>
      <c r="N20" s="5">
        <v>109.1</v>
      </c>
      <c r="O20" s="5">
        <v>112.1</v>
      </c>
      <c r="P20" s="5">
        <v>113.1</v>
      </c>
      <c r="Q20" s="5">
        <v>109.8</v>
      </c>
      <c r="R20" s="5">
        <v>110.5</v>
      </c>
      <c r="S20" s="5">
        <v>109.5</v>
      </c>
      <c r="T20" s="5">
        <v>110.3</v>
      </c>
      <c r="U20" s="5" t="s">
        <v>67</v>
      </c>
      <c r="V20" s="5">
        <v>109.5</v>
      </c>
      <c r="W20" s="5">
        <v>108.3</v>
      </c>
      <c r="X20" s="5">
        <v>106.9</v>
      </c>
      <c r="Y20" s="5">
        <v>106.8</v>
      </c>
      <c r="Z20" s="5">
        <v>106.4</v>
      </c>
      <c r="AA20" s="5">
        <v>107.8</v>
      </c>
      <c r="AB20" s="5">
        <v>102.5</v>
      </c>
      <c r="AC20" s="5">
        <v>106.5</v>
      </c>
      <c r="AD20" s="6">
        <v>110.7</v>
      </c>
    </row>
    <row r="21" spans="1:30">
      <c r="A21" s="4" t="s">
        <v>68</v>
      </c>
      <c r="B21" s="5">
        <v>2013</v>
      </c>
      <c r="C21" s="5" t="s">
        <v>75</v>
      </c>
      <c r="D21" s="5">
        <v>117.8</v>
      </c>
      <c r="E21" s="5">
        <v>119.2</v>
      </c>
      <c r="F21" s="5">
        <v>114</v>
      </c>
      <c r="G21" s="5">
        <v>108.3</v>
      </c>
      <c r="H21" s="5">
        <v>101.1</v>
      </c>
      <c r="I21" s="5">
        <v>113.2</v>
      </c>
      <c r="J21" s="5">
        <v>160.9</v>
      </c>
      <c r="K21" s="5">
        <v>105.1</v>
      </c>
      <c r="L21" s="5">
        <v>101.3</v>
      </c>
      <c r="M21" s="5">
        <v>107.5</v>
      </c>
      <c r="N21" s="5">
        <v>110.4</v>
      </c>
      <c r="O21" s="5">
        <v>113.1</v>
      </c>
      <c r="P21" s="5">
        <v>117.5</v>
      </c>
      <c r="Q21" s="5">
        <v>111.7</v>
      </c>
      <c r="R21" s="5">
        <v>109.8</v>
      </c>
      <c r="S21" s="5">
        <v>107.8</v>
      </c>
      <c r="T21" s="5">
        <v>109.5</v>
      </c>
      <c r="U21" s="5">
        <v>107.7</v>
      </c>
      <c r="V21" s="5">
        <v>108.6</v>
      </c>
      <c r="W21" s="5">
        <v>108.1</v>
      </c>
      <c r="X21" s="5">
        <v>107.1</v>
      </c>
      <c r="Y21" s="5">
        <v>107.3</v>
      </c>
      <c r="Z21" s="5">
        <v>105.9</v>
      </c>
      <c r="AA21" s="5">
        <v>110.1</v>
      </c>
      <c r="AB21" s="5">
        <v>103.2</v>
      </c>
      <c r="AC21" s="5">
        <v>107.3</v>
      </c>
      <c r="AD21" s="6">
        <v>111.4</v>
      </c>
    </row>
    <row r="22" spans="1:30">
      <c r="A22" s="4" t="s">
        <v>69</v>
      </c>
      <c r="B22" s="5">
        <v>2013</v>
      </c>
      <c r="C22" s="5" t="s">
        <v>75</v>
      </c>
      <c r="D22" s="5">
        <v>114.8</v>
      </c>
      <c r="E22" s="5">
        <v>116.4</v>
      </c>
      <c r="F22" s="5">
        <v>111.9</v>
      </c>
      <c r="G22" s="5">
        <v>108.9</v>
      </c>
      <c r="H22" s="5">
        <v>104.3</v>
      </c>
      <c r="I22" s="5">
        <v>111.7</v>
      </c>
      <c r="J22" s="5">
        <v>140</v>
      </c>
      <c r="K22" s="5">
        <v>106.4</v>
      </c>
      <c r="L22" s="5">
        <v>103.3</v>
      </c>
      <c r="M22" s="5">
        <v>106.8</v>
      </c>
      <c r="N22" s="5">
        <v>109.6</v>
      </c>
      <c r="O22" s="5">
        <v>112.6</v>
      </c>
      <c r="P22" s="5">
        <v>114.7</v>
      </c>
      <c r="Q22" s="5">
        <v>110.3</v>
      </c>
      <c r="R22" s="5">
        <v>110.2</v>
      </c>
      <c r="S22" s="5">
        <v>108.8</v>
      </c>
      <c r="T22" s="5">
        <v>110</v>
      </c>
      <c r="U22" s="5">
        <v>107.7</v>
      </c>
      <c r="V22" s="5">
        <v>109.2</v>
      </c>
      <c r="W22" s="5">
        <v>108.2</v>
      </c>
      <c r="X22" s="5">
        <v>107</v>
      </c>
      <c r="Y22" s="5">
        <v>107.1</v>
      </c>
      <c r="Z22" s="5">
        <v>106.1</v>
      </c>
      <c r="AA22" s="5">
        <v>109.1</v>
      </c>
      <c r="AB22" s="5">
        <v>102.8</v>
      </c>
      <c r="AC22" s="5">
        <v>106.9</v>
      </c>
      <c r="AD22" s="6">
        <v>111</v>
      </c>
    </row>
    <row r="23" spans="1:30">
      <c r="A23" s="4" t="s">
        <v>65</v>
      </c>
      <c r="B23" s="5">
        <v>2013</v>
      </c>
      <c r="C23" s="5" t="s">
        <v>76</v>
      </c>
      <c r="D23" s="5">
        <v>114.3</v>
      </c>
      <c r="E23" s="5">
        <v>115.4</v>
      </c>
      <c r="F23" s="5">
        <v>111.1</v>
      </c>
      <c r="G23" s="5">
        <v>110</v>
      </c>
      <c r="H23" s="5">
        <v>106.4</v>
      </c>
      <c r="I23" s="5">
        <v>110.8</v>
      </c>
      <c r="J23" s="5">
        <v>138.9</v>
      </c>
      <c r="K23" s="5">
        <v>107.4</v>
      </c>
      <c r="L23" s="5">
        <v>104.1</v>
      </c>
      <c r="M23" s="5">
        <v>106.9</v>
      </c>
      <c r="N23" s="5">
        <v>109.7</v>
      </c>
      <c r="O23" s="5">
        <v>112.6</v>
      </c>
      <c r="P23" s="5">
        <v>114.9</v>
      </c>
      <c r="Q23" s="5">
        <v>110.7</v>
      </c>
      <c r="R23" s="5">
        <v>111.3</v>
      </c>
      <c r="S23" s="5">
        <v>110.2</v>
      </c>
      <c r="T23" s="5">
        <v>111.1</v>
      </c>
      <c r="U23" s="5" t="s">
        <v>67</v>
      </c>
      <c r="V23" s="5">
        <v>109.9</v>
      </c>
      <c r="W23" s="5">
        <v>108.7</v>
      </c>
      <c r="X23" s="5">
        <v>107.5</v>
      </c>
      <c r="Y23" s="5">
        <v>107.8</v>
      </c>
      <c r="Z23" s="5">
        <v>106.8</v>
      </c>
      <c r="AA23" s="5">
        <v>108.7</v>
      </c>
      <c r="AB23" s="5">
        <v>105</v>
      </c>
      <c r="AC23" s="5">
        <v>107.5</v>
      </c>
      <c r="AD23" s="6">
        <v>112.1</v>
      </c>
    </row>
    <row r="24" spans="1:30">
      <c r="A24" s="4" t="s">
        <v>68</v>
      </c>
      <c r="B24" s="5">
        <v>2013</v>
      </c>
      <c r="C24" s="5" t="s">
        <v>76</v>
      </c>
      <c r="D24" s="5">
        <v>118.3</v>
      </c>
      <c r="E24" s="5">
        <v>120.4</v>
      </c>
      <c r="F24" s="5">
        <v>112.7</v>
      </c>
      <c r="G24" s="5">
        <v>108.9</v>
      </c>
      <c r="H24" s="5">
        <v>101.1</v>
      </c>
      <c r="I24" s="5">
        <v>108.7</v>
      </c>
      <c r="J24" s="5">
        <v>177</v>
      </c>
      <c r="K24" s="5">
        <v>104.7</v>
      </c>
      <c r="L24" s="5">
        <v>101</v>
      </c>
      <c r="M24" s="5">
        <v>108.5</v>
      </c>
      <c r="N24" s="5">
        <v>110.9</v>
      </c>
      <c r="O24" s="5">
        <v>114.3</v>
      </c>
      <c r="P24" s="5">
        <v>119.6</v>
      </c>
      <c r="Q24" s="5">
        <v>112.4</v>
      </c>
      <c r="R24" s="5">
        <v>110.6</v>
      </c>
      <c r="S24" s="5">
        <v>108.3</v>
      </c>
      <c r="T24" s="5">
        <v>110.2</v>
      </c>
      <c r="U24" s="5">
        <v>108.9</v>
      </c>
      <c r="V24" s="5">
        <v>109.3</v>
      </c>
      <c r="W24" s="5">
        <v>108.7</v>
      </c>
      <c r="X24" s="5">
        <v>107.6</v>
      </c>
      <c r="Y24" s="5">
        <v>108.1</v>
      </c>
      <c r="Z24" s="5">
        <v>106.5</v>
      </c>
      <c r="AA24" s="5">
        <v>110.8</v>
      </c>
      <c r="AB24" s="5">
        <v>106</v>
      </c>
      <c r="AC24" s="5">
        <v>108.3</v>
      </c>
      <c r="AD24" s="6">
        <v>112.7</v>
      </c>
    </row>
    <row r="25" spans="1:30">
      <c r="A25" s="4" t="s">
        <v>69</v>
      </c>
      <c r="B25" s="5">
        <v>2013</v>
      </c>
      <c r="C25" s="5" t="s">
        <v>76</v>
      </c>
      <c r="D25" s="5">
        <v>115.6</v>
      </c>
      <c r="E25" s="5">
        <v>117.2</v>
      </c>
      <c r="F25" s="5">
        <v>111.7</v>
      </c>
      <c r="G25" s="5">
        <v>109.6</v>
      </c>
      <c r="H25" s="5">
        <v>104.5</v>
      </c>
      <c r="I25" s="5">
        <v>109.8</v>
      </c>
      <c r="J25" s="5">
        <v>151.80000000000001</v>
      </c>
      <c r="K25" s="5">
        <v>106.5</v>
      </c>
      <c r="L25" s="5">
        <v>103.1</v>
      </c>
      <c r="M25" s="5">
        <v>107.4</v>
      </c>
      <c r="N25" s="5">
        <v>110.2</v>
      </c>
      <c r="O25" s="5">
        <v>113.4</v>
      </c>
      <c r="P25" s="5">
        <v>116.6</v>
      </c>
      <c r="Q25" s="5">
        <v>111.2</v>
      </c>
      <c r="R25" s="5">
        <v>111</v>
      </c>
      <c r="S25" s="5">
        <v>109.4</v>
      </c>
      <c r="T25" s="5">
        <v>110.7</v>
      </c>
      <c r="U25" s="5">
        <v>108.9</v>
      </c>
      <c r="V25" s="5">
        <v>109.7</v>
      </c>
      <c r="W25" s="5">
        <v>108.7</v>
      </c>
      <c r="X25" s="5">
        <v>107.5</v>
      </c>
      <c r="Y25" s="5">
        <v>108</v>
      </c>
      <c r="Z25" s="5">
        <v>106.6</v>
      </c>
      <c r="AA25" s="5">
        <v>109.9</v>
      </c>
      <c r="AB25" s="5">
        <v>105.4</v>
      </c>
      <c r="AC25" s="5">
        <v>107.9</v>
      </c>
      <c r="AD25" s="6">
        <v>112.4</v>
      </c>
    </row>
    <row r="26" spans="1:30">
      <c r="A26" s="4" t="s">
        <v>65</v>
      </c>
      <c r="B26" s="5">
        <v>2013</v>
      </c>
      <c r="C26" s="5" t="s">
        <v>77</v>
      </c>
      <c r="D26" s="5">
        <v>115.4</v>
      </c>
      <c r="E26" s="5">
        <v>115.7</v>
      </c>
      <c r="F26" s="5">
        <v>111.7</v>
      </c>
      <c r="G26" s="5">
        <v>111</v>
      </c>
      <c r="H26" s="5">
        <v>107.4</v>
      </c>
      <c r="I26" s="5">
        <v>110.9</v>
      </c>
      <c r="J26" s="5">
        <v>154</v>
      </c>
      <c r="K26" s="5">
        <v>108.1</v>
      </c>
      <c r="L26" s="5">
        <v>104.2</v>
      </c>
      <c r="M26" s="5">
        <v>107.9</v>
      </c>
      <c r="N26" s="5">
        <v>110.4</v>
      </c>
      <c r="O26" s="5">
        <v>114</v>
      </c>
      <c r="P26" s="5">
        <v>117.8</v>
      </c>
      <c r="Q26" s="5">
        <v>111.7</v>
      </c>
      <c r="R26" s="5">
        <v>112.7</v>
      </c>
      <c r="S26" s="5">
        <v>111.4</v>
      </c>
      <c r="T26" s="5">
        <v>112.5</v>
      </c>
      <c r="U26" s="5" t="s">
        <v>67</v>
      </c>
      <c r="V26" s="5">
        <v>111.1</v>
      </c>
      <c r="W26" s="5">
        <v>109.6</v>
      </c>
      <c r="X26" s="5">
        <v>108.3</v>
      </c>
      <c r="Y26" s="5">
        <v>109.3</v>
      </c>
      <c r="Z26" s="5">
        <v>107.7</v>
      </c>
      <c r="AA26" s="5">
        <v>109.8</v>
      </c>
      <c r="AB26" s="5">
        <v>106.7</v>
      </c>
      <c r="AC26" s="5">
        <v>108.7</v>
      </c>
      <c r="AD26" s="6">
        <v>114.2</v>
      </c>
    </row>
    <row r="27" spans="1:30">
      <c r="A27" s="4" t="s">
        <v>68</v>
      </c>
      <c r="B27" s="5">
        <v>2013</v>
      </c>
      <c r="C27" s="5" t="s">
        <v>77</v>
      </c>
      <c r="D27" s="5">
        <v>118.6</v>
      </c>
      <c r="E27" s="5">
        <v>119.1</v>
      </c>
      <c r="F27" s="5">
        <v>113.2</v>
      </c>
      <c r="G27" s="5">
        <v>109.6</v>
      </c>
      <c r="H27" s="5">
        <v>101.7</v>
      </c>
      <c r="I27" s="5">
        <v>103.2</v>
      </c>
      <c r="J27" s="5">
        <v>174.3</v>
      </c>
      <c r="K27" s="5">
        <v>105.1</v>
      </c>
      <c r="L27" s="5">
        <v>100.8</v>
      </c>
      <c r="M27" s="5">
        <v>109.1</v>
      </c>
      <c r="N27" s="5">
        <v>111.1</v>
      </c>
      <c r="O27" s="5">
        <v>115.4</v>
      </c>
      <c r="P27" s="5">
        <v>119.2</v>
      </c>
      <c r="Q27" s="5">
        <v>112.9</v>
      </c>
      <c r="R27" s="5">
        <v>111.4</v>
      </c>
      <c r="S27" s="5">
        <v>109</v>
      </c>
      <c r="T27" s="5">
        <v>111.1</v>
      </c>
      <c r="U27" s="5">
        <v>109.7</v>
      </c>
      <c r="V27" s="5">
        <v>109.5</v>
      </c>
      <c r="W27" s="5">
        <v>109.6</v>
      </c>
      <c r="X27" s="5">
        <v>107.9</v>
      </c>
      <c r="Y27" s="5">
        <v>110.4</v>
      </c>
      <c r="Z27" s="5">
        <v>107.4</v>
      </c>
      <c r="AA27" s="5">
        <v>111.2</v>
      </c>
      <c r="AB27" s="5">
        <v>106.9</v>
      </c>
      <c r="AC27" s="5">
        <v>109.4</v>
      </c>
      <c r="AD27" s="6">
        <v>113.2</v>
      </c>
    </row>
    <row r="28" spans="1:30">
      <c r="A28" s="4" t="s">
        <v>69</v>
      </c>
      <c r="B28" s="5">
        <v>2013</v>
      </c>
      <c r="C28" s="5" t="s">
        <v>77</v>
      </c>
      <c r="D28" s="5">
        <v>116.4</v>
      </c>
      <c r="E28" s="5">
        <v>116.9</v>
      </c>
      <c r="F28" s="5">
        <v>112.3</v>
      </c>
      <c r="G28" s="5">
        <v>110.5</v>
      </c>
      <c r="H28" s="5">
        <v>105.3</v>
      </c>
      <c r="I28" s="5">
        <v>107.3</v>
      </c>
      <c r="J28" s="5">
        <v>160.9</v>
      </c>
      <c r="K28" s="5">
        <v>107.1</v>
      </c>
      <c r="L28" s="5">
        <v>103.1</v>
      </c>
      <c r="M28" s="5">
        <v>108.3</v>
      </c>
      <c r="N28" s="5">
        <v>110.7</v>
      </c>
      <c r="O28" s="5">
        <v>114.6</v>
      </c>
      <c r="P28" s="5">
        <v>118.3</v>
      </c>
      <c r="Q28" s="5">
        <v>112</v>
      </c>
      <c r="R28" s="5">
        <v>112.2</v>
      </c>
      <c r="S28" s="5">
        <v>110.4</v>
      </c>
      <c r="T28" s="5">
        <v>111.9</v>
      </c>
      <c r="U28" s="5">
        <v>109.7</v>
      </c>
      <c r="V28" s="5">
        <v>110.5</v>
      </c>
      <c r="W28" s="5">
        <v>109.6</v>
      </c>
      <c r="X28" s="5">
        <v>108.1</v>
      </c>
      <c r="Y28" s="5">
        <v>109.9</v>
      </c>
      <c r="Z28" s="5">
        <v>107.5</v>
      </c>
      <c r="AA28" s="5">
        <v>110.6</v>
      </c>
      <c r="AB28" s="5">
        <v>106.8</v>
      </c>
      <c r="AC28" s="5">
        <v>109</v>
      </c>
      <c r="AD28" s="6">
        <v>113.7</v>
      </c>
    </row>
    <row r="29" spans="1:30">
      <c r="A29" s="4" t="s">
        <v>65</v>
      </c>
      <c r="B29" s="5">
        <v>2013</v>
      </c>
      <c r="C29" s="5" t="s">
        <v>78</v>
      </c>
      <c r="D29" s="5">
        <v>116.3</v>
      </c>
      <c r="E29" s="5">
        <v>115.4</v>
      </c>
      <c r="F29" s="5">
        <v>112.6</v>
      </c>
      <c r="G29" s="5">
        <v>111.7</v>
      </c>
      <c r="H29" s="5">
        <v>107.7</v>
      </c>
      <c r="I29" s="5">
        <v>113.2</v>
      </c>
      <c r="J29" s="5">
        <v>164.9</v>
      </c>
      <c r="K29" s="5">
        <v>108.3</v>
      </c>
      <c r="L29" s="5">
        <v>103.9</v>
      </c>
      <c r="M29" s="5">
        <v>108.2</v>
      </c>
      <c r="N29" s="5">
        <v>111.1</v>
      </c>
      <c r="O29" s="5">
        <v>114.9</v>
      </c>
      <c r="P29" s="5">
        <v>119.8</v>
      </c>
      <c r="Q29" s="5">
        <v>112.2</v>
      </c>
      <c r="R29" s="5">
        <v>113.6</v>
      </c>
      <c r="S29" s="5">
        <v>112.3</v>
      </c>
      <c r="T29" s="5">
        <v>113.4</v>
      </c>
      <c r="U29" s="5" t="s">
        <v>67</v>
      </c>
      <c r="V29" s="5">
        <v>111.6</v>
      </c>
      <c r="W29" s="5">
        <v>110.4</v>
      </c>
      <c r="X29" s="5">
        <v>108.9</v>
      </c>
      <c r="Y29" s="5">
        <v>109.3</v>
      </c>
      <c r="Z29" s="5">
        <v>108.3</v>
      </c>
      <c r="AA29" s="5">
        <v>110.2</v>
      </c>
      <c r="AB29" s="5">
        <v>107.5</v>
      </c>
      <c r="AC29" s="5">
        <v>109.1</v>
      </c>
      <c r="AD29" s="6">
        <v>115.5</v>
      </c>
    </row>
    <row r="30" spans="1:30">
      <c r="A30" s="4" t="s">
        <v>68</v>
      </c>
      <c r="B30" s="5">
        <v>2013</v>
      </c>
      <c r="C30" s="5" t="s">
        <v>78</v>
      </c>
      <c r="D30" s="5">
        <v>118.9</v>
      </c>
      <c r="E30" s="5">
        <v>118.1</v>
      </c>
      <c r="F30" s="5">
        <v>114.5</v>
      </c>
      <c r="G30" s="5">
        <v>110.4</v>
      </c>
      <c r="H30" s="5">
        <v>102.3</v>
      </c>
      <c r="I30" s="5">
        <v>106.2</v>
      </c>
      <c r="J30" s="5">
        <v>183.5</v>
      </c>
      <c r="K30" s="5">
        <v>105.3</v>
      </c>
      <c r="L30" s="5">
        <v>100.2</v>
      </c>
      <c r="M30" s="5">
        <v>109.6</v>
      </c>
      <c r="N30" s="5">
        <v>111.4</v>
      </c>
      <c r="O30" s="5">
        <v>116</v>
      </c>
      <c r="P30" s="5">
        <v>120.8</v>
      </c>
      <c r="Q30" s="5">
        <v>113.5</v>
      </c>
      <c r="R30" s="5">
        <v>112.5</v>
      </c>
      <c r="S30" s="5">
        <v>109.7</v>
      </c>
      <c r="T30" s="5">
        <v>112</v>
      </c>
      <c r="U30" s="5">
        <v>110.5</v>
      </c>
      <c r="V30" s="5">
        <v>109.7</v>
      </c>
      <c r="W30" s="5">
        <v>110.2</v>
      </c>
      <c r="X30" s="5">
        <v>108.2</v>
      </c>
      <c r="Y30" s="5">
        <v>109.7</v>
      </c>
      <c r="Z30" s="5">
        <v>108</v>
      </c>
      <c r="AA30" s="5">
        <v>111.3</v>
      </c>
      <c r="AB30" s="5">
        <v>107.3</v>
      </c>
      <c r="AC30" s="5">
        <v>109.4</v>
      </c>
      <c r="AD30" s="6">
        <v>114</v>
      </c>
    </row>
    <row r="31" spans="1:30">
      <c r="A31" s="4" t="s">
        <v>69</v>
      </c>
      <c r="B31" s="5">
        <v>2013</v>
      </c>
      <c r="C31" s="5" t="s">
        <v>78</v>
      </c>
      <c r="D31" s="5">
        <v>117.1</v>
      </c>
      <c r="E31" s="5">
        <v>116.3</v>
      </c>
      <c r="F31" s="5">
        <v>113.3</v>
      </c>
      <c r="G31" s="5">
        <v>111.2</v>
      </c>
      <c r="H31" s="5">
        <v>105.7</v>
      </c>
      <c r="I31" s="5">
        <v>109.9</v>
      </c>
      <c r="J31" s="5">
        <v>171.2</v>
      </c>
      <c r="K31" s="5">
        <v>107.3</v>
      </c>
      <c r="L31" s="5">
        <v>102.7</v>
      </c>
      <c r="M31" s="5">
        <v>108.7</v>
      </c>
      <c r="N31" s="5">
        <v>111.2</v>
      </c>
      <c r="O31" s="5">
        <v>115.4</v>
      </c>
      <c r="P31" s="5">
        <v>120.2</v>
      </c>
      <c r="Q31" s="5">
        <v>112.5</v>
      </c>
      <c r="R31" s="5">
        <v>113.2</v>
      </c>
      <c r="S31" s="5">
        <v>111.2</v>
      </c>
      <c r="T31" s="5">
        <v>112.8</v>
      </c>
      <c r="U31" s="5">
        <v>110.5</v>
      </c>
      <c r="V31" s="5">
        <v>110.9</v>
      </c>
      <c r="W31" s="5">
        <v>110.3</v>
      </c>
      <c r="X31" s="5">
        <v>108.6</v>
      </c>
      <c r="Y31" s="5">
        <v>109.5</v>
      </c>
      <c r="Z31" s="5">
        <v>108.1</v>
      </c>
      <c r="AA31" s="5">
        <v>110.8</v>
      </c>
      <c r="AB31" s="5">
        <v>107.4</v>
      </c>
      <c r="AC31" s="5">
        <v>109.2</v>
      </c>
      <c r="AD31" s="6">
        <v>114.8</v>
      </c>
    </row>
    <row r="32" spans="1:30">
      <c r="A32" s="4" t="s">
        <v>65</v>
      </c>
      <c r="B32" s="5">
        <v>2013</v>
      </c>
      <c r="C32" s="5" t="s">
        <v>79</v>
      </c>
      <c r="D32" s="5">
        <v>117.3</v>
      </c>
      <c r="E32" s="5">
        <v>114.9</v>
      </c>
      <c r="F32" s="5">
        <v>116.2</v>
      </c>
      <c r="G32" s="5">
        <v>112.8</v>
      </c>
      <c r="H32" s="5">
        <v>108.9</v>
      </c>
      <c r="I32" s="5">
        <v>116.6</v>
      </c>
      <c r="J32" s="5">
        <v>178.1</v>
      </c>
      <c r="K32" s="5">
        <v>109.1</v>
      </c>
      <c r="L32" s="5">
        <v>103.6</v>
      </c>
      <c r="M32" s="5">
        <v>109</v>
      </c>
      <c r="N32" s="5">
        <v>111.8</v>
      </c>
      <c r="O32" s="5">
        <v>116</v>
      </c>
      <c r="P32" s="5">
        <v>122.5</v>
      </c>
      <c r="Q32" s="5">
        <v>112.8</v>
      </c>
      <c r="R32" s="5">
        <v>114.6</v>
      </c>
      <c r="S32" s="5">
        <v>113.1</v>
      </c>
      <c r="T32" s="5">
        <v>114.4</v>
      </c>
      <c r="U32" s="5" t="s">
        <v>67</v>
      </c>
      <c r="V32" s="5">
        <v>112.6</v>
      </c>
      <c r="W32" s="5">
        <v>111.3</v>
      </c>
      <c r="X32" s="5">
        <v>109.7</v>
      </c>
      <c r="Y32" s="5">
        <v>109.6</v>
      </c>
      <c r="Z32" s="5">
        <v>108.7</v>
      </c>
      <c r="AA32" s="5">
        <v>111</v>
      </c>
      <c r="AB32" s="5">
        <v>108.2</v>
      </c>
      <c r="AC32" s="5">
        <v>109.8</v>
      </c>
      <c r="AD32" s="6">
        <v>117.4</v>
      </c>
    </row>
    <row r="33" spans="1:30">
      <c r="A33" s="4" t="s">
        <v>68</v>
      </c>
      <c r="B33" s="5">
        <v>2013</v>
      </c>
      <c r="C33" s="5" t="s">
        <v>79</v>
      </c>
      <c r="D33" s="5">
        <v>119.8</v>
      </c>
      <c r="E33" s="5">
        <v>116.3</v>
      </c>
      <c r="F33" s="5">
        <v>122.6</v>
      </c>
      <c r="G33" s="5">
        <v>112</v>
      </c>
      <c r="H33" s="5">
        <v>103.2</v>
      </c>
      <c r="I33" s="5">
        <v>110</v>
      </c>
      <c r="J33" s="5">
        <v>192.8</v>
      </c>
      <c r="K33" s="5">
        <v>106.3</v>
      </c>
      <c r="L33" s="5">
        <v>99.5</v>
      </c>
      <c r="M33" s="5">
        <v>110.3</v>
      </c>
      <c r="N33" s="5">
        <v>111.8</v>
      </c>
      <c r="O33" s="5">
        <v>117.1</v>
      </c>
      <c r="P33" s="5">
        <v>122.9</v>
      </c>
      <c r="Q33" s="5">
        <v>114.1</v>
      </c>
      <c r="R33" s="5">
        <v>113.5</v>
      </c>
      <c r="S33" s="5">
        <v>110.3</v>
      </c>
      <c r="T33" s="5">
        <v>113</v>
      </c>
      <c r="U33" s="5">
        <v>111.1</v>
      </c>
      <c r="V33" s="5">
        <v>110</v>
      </c>
      <c r="W33" s="5">
        <v>110.9</v>
      </c>
      <c r="X33" s="5">
        <v>108.6</v>
      </c>
      <c r="Y33" s="5">
        <v>109.5</v>
      </c>
      <c r="Z33" s="5">
        <v>108.5</v>
      </c>
      <c r="AA33" s="5">
        <v>111.3</v>
      </c>
      <c r="AB33" s="5">
        <v>107.9</v>
      </c>
      <c r="AC33" s="5">
        <v>109.6</v>
      </c>
      <c r="AD33" s="6">
        <v>115</v>
      </c>
    </row>
    <row r="34" spans="1:30">
      <c r="A34" s="4" t="s">
        <v>69</v>
      </c>
      <c r="B34" s="5">
        <v>2013</v>
      </c>
      <c r="C34" s="5" t="s">
        <v>79</v>
      </c>
      <c r="D34" s="5">
        <v>118.1</v>
      </c>
      <c r="E34" s="5">
        <v>115.4</v>
      </c>
      <c r="F34" s="5">
        <v>118.7</v>
      </c>
      <c r="G34" s="5">
        <v>112.5</v>
      </c>
      <c r="H34" s="5">
        <v>106.8</v>
      </c>
      <c r="I34" s="5">
        <v>113.5</v>
      </c>
      <c r="J34" s="5">
        <v>183.1</v>
      </c>
      <c r="K34" s="5">
        <v>108.2</v>
      </c>
      <c r="L34" s="5">
        <v>102.2</v>
      </c>
      <c r="M34" s="5">
        <v>109.4</v>
      </c>
      <c r="N34" s="5">
        <v>111.8</v>
      </c>
      <c r="O34" s="5">
        <v>116.5</v>
      </c>
      <c r="P34" s="5">
        <v>122.6</v>
      </c>
      <c r="Q34" s="5">
        <v>113.1</v>
      </c>
      <c r="R34" s="5">
        <v>114.2</v>
      </c>
      <c r="S34" s="5">
        <v>111.9</v>
      </c>
      <c r="T34" s="5">
        <v>113.8</v>
      </c>
      <c r="U34" s="5">
        <v>111.1</v>
      </c>
      <c r="V34" s="5">
        <v>111.6</v>
      </c>
      <c r="W34" s="5">
        <v>111.1</v>
      </c>
      <c r="X34" s="5">
        <v>109.3</v>
      </c>
      <c r="Y34" s="5">
        <v>109.5</v>
      </c>
      <c r="Z34" s="5">
        <v>108.6</v>
      </c>
      <c r="AA34" s="5">
        <v>111.2</v>
      </c>
      <c r="AB34" s="5">
        <v>108.1</v>
      </c>
      <c r="AC34" s="5">
        <v>109.7</v>
      </c>
      <c r="AD34" s="6">
        <v>116.3</v>
      </c>
    </row>
    <row r="35" spans="1:30">
      <c r="A35" s="4" t="s">
        <v>65</v>
      </c>
      <c r="B35" s="5">
        <v>2013</v>
      </c>
      <c r="C35" s="5" t="s">
        <v>80</v>
      </c>
      <c r="D35" s="5">
        <v>118.4</v>
      </c>
      <c r="E35" s="5">
        <v>115.9</v>
      </c>
      <c r="F35" s="5">
        <v>120.4</v>
      </c>
      <c r="G35" s="5">
        <v>113.8</v>
      </c>
      <c r="H35" s="5">
        <v>109.5</v>
      </c>
      <c r="I35" s="5">
        <v>115.5</v>
      </c>
      <c r="J35" s="5">
        <v>145.69999999999999</v>
      </c>
      <c r="K35" s="5">
        <v>109.5</v>
      </c>
      <c r="L35" s="5">
        <v>102.9</v>
      </c>
      <c r="M35" s="5">
        <v>109.8</v>
      </c>
      <c r="N35" s="5">
        <v>112.1</v>
      </c>
      <c r="O35" s="5">
        <v>116.8</v>
      </c>
      <c r="P35" s="5">
        <v>118.7</v>
      </c>
      <c r="Q35" s="5">
        <v>113.6</v>
      </c>
      <c r="R35" s="5">
        <v>115.8</v>
      </c>
      <c r="S35" s="5">
        <v>114</v>
      </c>
      <c r="T35" s="5">
        <v>115.5</v>
      </c>
      <c r="U35" s="5" t="s">
        <v>67</v>
      </c>
      <c r="V35" s="5">
        <v>112.8</v>
      </c>
      <c r="W35" s="5">
        <v>112.1</v>
      </c>
      <c r="X35" s="5">
        <v>110.1</v>
      </c>
      <c r="Y35" s="5">
        <v>109.9</v>
      </c>
      <c r="Z35" s="5">
        <v>109.2</v>
      </c>
      <c r="AA35" s="5">
        <v>111.6</v>
      </c>
      <c r="AB35" s="5">
        <v>108.1</v>
      </c>
      <c r="AC35" s="5">
        <v>110.1</v>
      </c>
      <c r="AD35" s="6">
        <v>115.5</v>
      </c>
    </row>
    <row r="36" spans="1:30">
      <c r="A36" s="4" t="s">
        <v>68</v>
      </c>
      <c r="B36" s="5">
        <v>2013</v>
      </c>
      <c r="C36" s="5" t="s">
        <v>80</v>
      </c>
      <c r="D36" s="5">
        <v>120.5</v>
      </c>
      <c r="E36" s="5">
        <v>118.1</v>
      </c>
      <c r="F36" s="5">
        <v>128.5</v>
      </c>
      <c r="G36" s="5">
        <v>112.8</v>
      </c>
      <c r="H36" s="5">
        <v>103.4</v>
      </c>
      <c r="I36" s="5">
        <v>110.7</v>
      </c>
      <c r="J36" s="5">
        <v>144.80000000000001</v>
      </c>
      <c r="K36" s="5">
        <v>107.1</v>
      </c>
      <c r="L36" s="5">
        <v>98.6</v>
      </c>
      <c r="M36" s="5">
        <v>111.9</v>
      </c>
      <c r="N36" s="5">
        <v>112.1</v>
      </c>
      <c r="O36" s="5">
        <v>118.1</v>
      </c>
      <c r="P36" s="5">
        <v>117.8</v>
      </c>
      <c r="Q36" s="5">
        <v>115</v>
      </c>
      <c r="R36" s="5">
        <v>114.2</v>
      </c>
      <c r="S36" s="5">
        <v>110.9</v>
      </c>
      <c r="T36" s="5">
        <v>113.7</v>
      </c>
      <c r="U36" s="5">
        <v>110.7</v>
      </c>
      <c r="V36" s="5">
        <v>110.4</v>
      </c>
      <c r="W36" s="5">
        <v>111.3</v>
      </c>
      <c r="X36" s="5">
        <v>109</v>
      </c>
      <c r="Y36" s="5">
        <v>109.7</v>
      </c>
      <c r="Z36" s="5">
        <v>108.9</v>
      </c>
      <c r="AA36" s="5">
        <v>111.4</v>
      </c>
      <c r="AB36" s="5">
        <v>107.7</v>
      </c>
      <c r="AC36" s="5">
        <v>109.8</v>
      </c>
      <c r="AD36" s="6">
        <v>113.3</v>
      </c>
    </row>
    <row r="37" spans="1:30">
      <c r="A37" s="4" t="s">
        <v>69</v>
      </c>
      <c r="B37" s="5">
        <v>2013</v>
      </c>
      <c r="C37" s="5" t="s">
        <v>80</v>
      </c>
      <c r="D37" s="5">
        <v>119.1</v>
      </c>
      <c r="E37" s="5">
        <v>116.7</v>
      </c>
      <c r="F37" s="5">
        <v>123.5</v>
      </c>
      <c r="G37" s="5">
        <v>113.4</v>
      </c>
      <c r="H37" s="5">
        <v>107.3</v>
      </c>
      <c r="I37" s="5">
        <v>113.3</v>
      </c>
      <c r="J37" s="5">
        <v>145.4</v>
      </c>
      <c r="K37" s="5">
        <v>108.7</v>
      </c>
      <c r="L37" s="5">
        <v>101.5</v>
      </c>
      <c r="M37" s="5">
        <v>110.5</v>
      </c>
      <c r="N37" s="5">
        <v>112.1</v>
      </c>
      <c r="O37" s="5">
        <v>117.4</v>
      </c>
      <c r="P37" s="5">
        <v>118.4</v>
      </c>
      <c r="Q37" s="5">
        <v>114</v>
      </c>
      <c r="R37" s="5">
        <v>115.2</v>
      </c>
      <c r="S37" s="5">
        <v>112.7</v>
      </c>
      <c r="T37" s="5">
        <v>114.8</v>
      </c>
      <c r="U37" s="5">
        <v>110.7</v>
      </c>
      <c r="V37" s="5">
        <v>111.9</v>
      </c>
      <c r="W37" s="5">
        <v>111.7</v>
      </c>
      <c r="X37" s="5">
        <v>109.7</v>
      </c>
      <c r="Y37" s="5">
        <v>109.8</v>
      </c>
      <c r="Z37" s="5">
        <v>109</v>
      </c>
      <c r="AA37" s="5">
        <v>111.5</v>
      </c>
      <c r="AB37" s="5">
        <v>107.9</v>
      </c>
      <c r="AC37" s="5">
        <v>110</v>
      </c>
      <c r="AD37" s="6">
        <v>114.5</v>
      </c>
    </row>
    <row r="38" spans="1:30">
      <c r="A38" s="4" t="s">
        <v>65</v>
      </c>
      <c r="B38" s="5">
        <v>2014</v>
      </c>
      <c r="C38" s="5" t="s">
        <v>66</v>
      </c>
      <c r="D38" s="5">
        <v>118.9</v>
      </c>
      <c r="E38" s="5">
        <v>117.1</v>
      </c>
      <c r="F38" s="5">
        <v>120.5</v>
      </c>
      <c r="G38" s="5">
        <v>114.4</v>
      </c>
      <c r="H38" s="5">
        <v>109</v>
      </c>
      <c r="I38" s="5">
        <v>115.5</v>
      </c>
      <c r="J38" s="5">
        <v>123.9</v>
      </c>
      <c r="K38" s="5">
        <v>109.6</v>
      </c>
      <c r="L38" s="5">
        <v>101.8</v>
      </c>
      <c r="M38" s="5">
        <v>110.2</v>
      </c>
      <c r="N38" s="5">
        <v>112.4</v>
      </c>
      <c r="O38" s="5">
        <v>117.3</v>
      </c>
      <c r="P38" s="5">
        <v>116</v>
      </c>
      <c r="Q38" s="5">
        <v>114</v>
      </c>
      <c r="R38" s="5">
        <v>116.5</v>
      </c>
      <c r="S38" s="5">
        <v>114.5</v>
      </c>
      <c r="T38" s="5">
        <v>116.2</v>
      </c>
      <c r="U38" s="5" t="s">
        <v>67</v>
      </c>
      <c r="V38" s="5">
        <v>113</v>
      </c>
      <c r="W38" s="5">
        <v>112.6</v>
      </c>
      <c r="X38" s="5">
        <v>110.6</v>
      </c>
      <c r="Y38" s="5">
        <v>110.5</v>
      </c>
      <c r="Z38" s="5">
        <v>109.6</v>
      </c>
      <c r="AA38" s="5">
        <v>111.8</v>
      </c>
      <c r="AB38" s="5">
        <v>108.3</v>
      </c>
      <c r="AC38" s="5">
        <v>110.6</v>
      </c>
      <c r="AD38" s="6">
        <v>114.2</v>
      </c>
    </row>
    <row r="39" spans="1:30">
      <c r="A39" s="4" t="s">
        <v>68</v>
      </c>
      <c r="B39" s="5">
        <v>2014</v>
      </c>
      <c r="C39" s="5" t="s">
        <v>66</v>
      </c>
      <c r="D39" s="5">
        <v>121.2</v>
      </c>
      <c r="E39" s="5">
        <v>122</v>
      </c>
      <c r="F39" s="5">
        <v>129.9</v>
      </c>
      <c r="G39" s="5">
        <v>113.6</v>
      </c>
      <c r="H39" s="5">
        <v>102.9</v>
      </c>
      <c r="I39" s="5">
        <v>112.1</v>
      </c>
      <c r="J39" s="5">
        <v>118.9</v>
      </c>
      <c r="K39" s="5">
        <v>107.5</v>
      </c>
      <c r="L39" s="5">
        <v>96.9</v>
      </c>
      <c r="M39" s="5">
        <v>112.7</v>
      </c>
      <c r="N39" s="5">
        <v>112.1</v>
      </c>
      <c r="O39" s="5">
        <v>119</v>
      </c>
      <c r="P39" s="5">
        <v>115.5</v>
      </c>
      <c r="Q39" s="5">
        <v>115.7</v>
      </c>
      <c r="R39" s="5">
        <v>114.8</v>
      </c>
      <c r="S39" s="5">
        <v>111.3</v>
      </c>
      <c r="T39" s="5">
        <v>114.3</v>
      </c>
      <c r="U39" s="5">
        <v>111.6</v>
      </c>
      <c r="V39" s="5">
        <v>111</v>
      </c>
      <c r="W39" s="5">
        <v>111.9</v>
      </c>
      <c r="X39" s="5">
        <v>109.7</v>
      </c>
      <c r="Y39" s="5">
        <v>110.8</v>
      </c>
      <c r="Z39" s="5">
        <v>109.8</v>
      </c>
      <c r="AA39" s="5">
        <v>111.5</v>
      </c>
      <c r="AB39" s="5">
        <v>108</v>
      </c>
      <c r="AC39" s="5">
        <v>110.5</v>
      </c>
      <c r="AD39" s="6">
        <v>112.9</v>
      </c>
    </row>
    <row r="40" spans="1:30">
      <c r="A40" s="4" t="s">
        <v>69</v>
      </c>
      <c r="B40" s="5">
        <v>2014</v>
      </c>
      <c r="C40" s="5" t="s">
        <v>66</v>
      </c>
      <c r="D40" s="5">
        <v>119.6</v>
      </c>
      <c r="E40" s="5">
        <v>118.8</v>
      </c>
      <c r="F40" s="5">
        <v>124.1</v>
      </c>
      <c r="G40" s="5">
        <v>114.1</v>
      </c>
      <c r="H40" s="5">
        <v>106.8</v>
      </c>
      <c r="I40" s="5">
        <v>113.9</v>
      </c>
      <c r="J40" s="5">
        <v>122.2</v>
      </c>
      <c r="K40" s="5">
        <v>108.9</v>
      </c>
      <c r="L40" s="5">
        <v>100.2</v>
      </c>
      <c r="M40" s="5">
        <v>111</v>
      </c>
      <c r="N40" s="5">
        <v>112.3</v>
      </c>
      <c r="O40" s="5">
        <v>118.1</v>
      </c>
      <c r="P40" s="5">
        <v>115.8</v>
      </c>
      <c r="Q40" s="5">
        <v>114.5</v>
      </c>
      <c r="R40" s="5">
        <v>115.8</v>
      </c>
      <c r="S40" s="5">
        <v>113.2</v>
      </c>
      <c r="T40" s="5">
        <v>115.4</v>
      </c>
      <c r="U40" s="5">
        <v>111.6</v>
      </c>
      <c r="V40" s="5">
        <v>112.2</v>
      </c>
      <c r="W40" s="5">
        <v>112.3</v>
      </c>
      <c r="X40" s="5">
        <v>110.3</v>
      </c>
      <c r="Y40" s="5">
        <v>110.7</v>
      </c>
      <c r="Z40" s="5">
        <v>109.7</v>
      </c>
      <c r="AA40" s="5">
        <v>111.6</v>
      </c>
      <c r="AB40" s="5">
        <v>108.2</v>
      </c>
      <c r="AC40" s="5">
        <v>110.6</v>
      </c>
      <c r="AD40" s="6">
        <v>113.6</v>
      </c>
    </row>
    <row r="41" spans="1:30">
      <c r="A41" s="4" t="s">
        <v>65</v>
      </c>
      <c r="B41" s="5">
        <v>2014</v>
      </c>
      <c r="C41" s="5" t="s">
        <v>70</v>
      </c>
      <c r="D41" s="5">
        <v>119.4</v>
      </c>
      <c r="E41" s="5">
        <v>117.7</v>
      </c>
      <c r="F41" s="5">
        <v>121.2</v>
      </c>
      <c r="G41" s="5">
        <v>115</v>
      </c>
      <c r="H41" s="5">
        <v>109</v>
      </c>
      <c r="I41" s="5">
        <v>116.6</v>
      </c>
      <c r="J41" s="5">
        <v>116</v>
      </c>
      <c r="K41" s="5">
        <v>109.8</v>
      </c>
      <c r="L41" s="5">
        <v>101.1</v>
      </c>
      <c r="M41" s="5">
        <v>110.4</v>
      </c>
      <c r="N41" s="5">
        <v>112.9</v>
      </c>
      <c r="O41" s="5">
        <v>117.8</v>
      </c>
      <c r="P41" s="5">
        <v>115.3</v>
      </c>
      <c r="Q41" s="5">
        <v>114.2</v>
      </c>
      <c r="R41" s="5">
        <v>117.1</v>
      </c>
      <c r="S41" s="5">
        <v>114.5</v>
      </c>
      <c r="T41" s="5">
        <v>116.7</v>
      </c>
      <c r="U41" s="5" t="s">
        <v>67</v>
      </c>
      <c r="V41" s="5">
        <v>113.2</v>
      </c>
      <c r="W41" s="5">
        <v>112.9</v>
      </c>
      <c r="X41" s="5">
        <v>110.9</v>
      </c>
      <c r="Y41" s="5">
        <v>110.8</v>
      </c>
      <c r="Z41" s="5">
        <v>109.9</v>
      </c>
      <c r="AA41" s="5">
        <v>112</v>
      </c>
      <c r="AB41" s="5">
        <v>108.7</v>
      </c>
      <c r="AC41" s="5">
        <v>110.9</v>
      </c>
      <c r="AD41" s="6">
        <v>114</v>
      </c>
    </row>
    <row r="42" spans="1:30">
      <c r="A42" s="4" t="s">
        <v>68</v>
      </c>
      <c r="B42" s="5">
        <v>2014</v>
      </c>
      <c r="C42" s="5" t="s">
        <v>70</v>
      </c>
      <c r="D42" s="5">
        <v>121.9</v>
      </c>
      <c r="E42" s="5">
        <v>122</v>
      </c>
      <c r="F42" s="5">
        <v>124.5</v>
      </c>
      <c r="G42" s="5">
        <v>115.2</v>
      </c>
      <c r="H42" s="5">
        <v>102.5</v>
      </c>
      <c r="I42" s="5">
        <v>114.1</v>
      </c>
      <c r="J42" s="5">
        <v>111.5</v>
      </c>
      <c r="K42" s="5">
        <v>108.2</v>
      </c>
      <c r="L42" s="5">
        <v>95.4</v>
      </c>
      <c r="M42" s="5">
        <v>113.5</v>
      </c>
      <c r="N42" s="5">
        <v>112.1</v>
      </c>
      <c r="O42" s="5">
        <v>119.9</v>
      </c>
      <c r="P42" s="5">
        <v>115.2</v>
      </c>
      <c r="Q42" s="5">
        <v>116.2</v>
      </c>
      <c r="R42" s="5">
        <v>115.3</v>
      </c>
      <c r="S42" s="5">
        <v>111.7</v>
      </c>
      <c r="T42" s="5">
        <v>114.7</v>
      </c>
      <c r="U42" s="5">
        <v>112.5</v>
      </c>
      <c r="V42" s="5">
        <v>111.1</v>
      </c>
      <c r="W42" s="5">
        <v>112.6</v>
      </c>
      <c r="X42" s="5">
        <v>110.4</v>
      </c>
      <c r="Y42" s="5">
        <v>111.3</v>
      </c>
      <c r="Z42" s="5">
        <v>110.3</v>
      </c>
      <c r="AA42" s="5">
        <v>111.6</v>
      </c>
      <c r="AB42" s="5">
        <v>108.7</v>
      </c>
      <c r="AC42" s="5">
        <v>111</v>
      </c>
      <c r="AD42" s="6">
        <v>113.1</v>
      </c>
    </row>
    <row r="43" spans="1:30">
      <c r="A43" s="4" t="s">
        <v>69</v>
      </c>
      <c r="B43" s="5">
        <v>2014</v>
      </c>
      <c r="C43" s="5" t="s">
        <v>70</v>
      </c>
      <c r="D43" s="5">
        <v>120.2</v>
      </c>
      <c r="E43" s="5">
        <v>119.2</v>
      </c>
      <c r="F43" s="5">
        <v>122.5</v>
      </c>
      <c r="G43" s="5">
        <v>115.1</v>
      </c>
      <c r="H43" s="5">
        <v>106.6</v>
      </c>
      <c r="I43" s="5">
        <v>115.4</v>
      </c>
      <c r="J43" s="5">
        <v>114.5</v>
      </c>
      <c r="K43" s="5">
        <v>109.3</v>
      </c>
      <c r="L43" s="5">
        <v>99.2</v>
      </c>
      <c r="M43" s="5">
        <v>111.4</v>
      </c>
      <c r="N43" s="5">
        <v>112.6</v>
      </c>
      <c r="O43" s="5">
        <v>118.8</v>
      </c>
      <c r="P43" s="5">
        <v>115.3</v>
      </c>
      <c r="Q43" s="5">
        <v>114.7</v>
      </c>
      <c r="R43" s="5">
        <v>116.4</v>
      </c>
      <c r="S43" s="5">
        <v>113.3</v>
      </c>
      <c r="T43" s="5">
        <v>115.9</v>
      </c>
      <c r="U43" s="5">
        <v>112.5</v>
      </c>
      <c r="V43" s="5">
        <v>112.4</v>
      </c>
      <c r="W43" s="5">
        <v>112.8</v>
      </c>
      <c r="X43" s="5">
        <v>110.7</v>
      </c>
      <c r="Y43" s="5">
        <v>111.1</v>
      </c>
      <c r="Z43" s="5">
        <v>110.1</v>
      </c>
      <c r="AA43" s="5">
        <v>111.8</v>
      </c>
      <c r="AB43" s="5">
        <v>108.7</v>
      </c>
      <c r="AC43" s="5">
        <v>110.9</v>
      </c>
      <c r="AD43" s="6">
        <v>113.6</v>
      </c>
    </row>
    <row r="44" spans="1:30">
      <c r="A44" s="4" t="s">
        <v>65</v>
      </c>
      <c r="B44" s="5">
        <v>2014</v>
      </c>
      <c r="C44" s="5" t="s">
        <v>71</v>
      </c>
      <c r="D44" s="5">
        <v>120.1</v>
      </c>
      <c r="E44" s="5">
        <v>118.1</v>
      </c>
      <c r="F44" s="5">
        <v>120.7</v>
      </c>
      <c r="G44" s="5">
        <v>116.1</v>
      </c>
      <c r="H44" s="5">
        <v>109.3</v>
      </c>
      <c r="I44" s="5">
        <v>119.6</v>
      </c>
      <c r="J44" s="5">
        <v>117.9</v>
      </c>
      <c r="K44" s="5">
        <v>110.2</v>
      </c>
      <c r="L44" s="5">
        <v>101.2</v>
      </c>
      <c r="M44" s="5">
        <v>110.7</v>
      </c>
      <c r="N44" s="5">
        <v>113</v>
      </c>
      <c r="O44" s="5">
        <v>118.3</v>
      </c>
      <c r="P44" s="5">
        <v>116.2</v>
      </c>
      <c r="Q44" s="5">
        <v>114.6</v>
      </c>
      <c r="R44" s="5">
        <v>117.5</v>
      </c>
      <c r="S44" s="5">
        <v>114.9</v>
      </c>
      <c r="T44" s="5">
        <v>117.2</v>
      </c>
      <c r="U44" s="5" t="s">
        <v>67</v>
      </c>
      <c r="V44" s="5">
        <v>113.4</v>
      </c>
      <c r="W44" s="5">
        <v>113.4</v>
      </c>
      <c r="X44" s="5">
        <v>111.4</v>
      </c>
      <c r="Y44" s="5">
        <v>111.2</v>
      </c>
      <c r="Z44" s="5">
        <v>110.2</v>
      </c>
      <c r="AA44" s="5">
        <v>112.4</v>
      </c>
      <c r="AB44" s="5">
        <v>108.9</v>
      </c>
      <c r="AC44" s="5">
        <v>111.3</v>
      </c>
      <c r="AD44" s="6">
        <v>114.6</v>
      </c>
    </row>
    <row r="45" spans="1:30">
      <c r="A45" s="4" t="s">
        <v>68</v>
      </c>
      <c r="B45" s="5">
        <v>2014</v>
      </c>
      <c r="C45" s="5" t="s">
        <v>71</v>
      </c>
      <c r="D45" s="5">
        <v>122.1</v>
      </c>
      <c r="E45" s="5">
        <v>121.4</v>
      </c>
      <c r="F45" s="5">
        <v>121.5</v>
      </c>
      <c r="G45" s="5">
        <v>116.2</v>
      </c>
      <c r="H45" s="5">
        <v>102.8</v>
      </c>
      <c r="I45" s="5">
        <v>117.7</v>
      </c>
      <c r="J45" s="5">
        <v>113.3</v>
      </c>
      <c r="K45" s="5">
        <v>108.9</v>
      </c>
      <c r="L45" s="5">
        <v>96.3</v>
      </c>
      <c r="M45" s="5">
        <v>114.1</v>
      </c>
      <c r="N45" s="5">
        <v>112.2</v>
      </c>
      <c r="O45" s="5">
        <v>120.5</v>
      </c>
      <c r="P45" s="5">
        <v>116</v>
      </c>
      <c r="Q45" s="5">
        <v>116.7</v>
      </c>
      <c r="R45" s="5">
        <v>115.8</v>
      </c>
      <c r="S45" s="5">
        <v>112.1</v>
      </c>
      <c r="T45" s="5">
        <v>115.2</v>
      </c>
      <c r="U45" s="5">
        <v>113.2</v>
      </c>
      <c r="V45" s="5">
        <v>110.9</v>
      </c>
      <c r="W45" s="5">
        <v>113</v>
      </c>
      <c r="X45" s="5">
        <v>110.8</v>
      </c>
      <c r="Y45" s="5">
        <v>111.6</v>
      </c>
      <c r="Z45" s="5">
        <v>110.9</v>
      </c>
      <c r="AA45" s="5">
        <v>111.8</v>
      </c>
      <c r="AB45" s="5">
        <v>109.2</v>
      </c>
      <c r="AC45" s="5">
        <v>111.4</v>
      </c>
      <c r="AD45" s="6">
        <v>113.7</v>
      </c>
    </row>
    <row r="46" spans="1:30">
      <c r="A46" s="4" t="s">
        <v>69</v>
      </c>
      <c r="B46" s="5">
        <v>2014</v>
      </c>
      <c r="C46" s="5" t="s">
        <v>81</v>
      </c>
      <c r="D46" s="5">
        <v>120.7</v>
      </c>
      <c r="E46" s="5">
        <v>119.3</v>
      </c>
      <c r="F46" s="5">
        <v>121</v>
      </c>
      <c r="G46" s="5">
        <v>116.1</v>
      </c>
      <c r="H46" s="5">
        <v>106.9</v>
      </c>
      <c r="I46" s="5">
        <v>118.7</v>
      </c>
      <c r="J46" s="5">
        <v>116.3</v>
      </c>
      <c r="K46" s="5">
        <v>109.8</v>
      </c>
      <c r="L46" s="5">
        <v>99.6</v>
      </c>
      <c r="M46" s="5">
        <v>111.8</v>
      </c>
      <c r="N46" s="5">
        <v>112.7</v>
      </c>
      <c r="O46" s="5">
        <v>119.3</v>
      </c>
      <c r="P46" s="5">
        <v>116.1</v>
      </c>
      <c r="Q46" s="5">
        <v>115.2</v>
      </c>
      <c r="R46" s="5">
        <v>116.8</v>
      </c>
      <c r="S46" s="5">
        <v>113.7</v>
      </c>
      <c r="T46" s="5">
        <v>116.4</v>
      </c>
      <c r="U46" s="5">
        <v>113.2</v>
      </c>
      <c r="V46" s="5">
        <v>112.5</v>
      </c>
      <c r="W46" s="5">
        <v>113.2</v>
      </c>
      <c r="X46" s="5">
        <v>111.2</v>
      </c>
      <c r="Y46" s="5">
        <v>111.4</v>
      </c>
      <c r="Z46" s="5">
        <v>110.6</v>
      </c>
      <c r="AA46" s="5">
        <v>112</v>
      </c>
      <c r="AB46" s="5">
        <v>109</v>
      </c>
      <c r="AC46" s="5">
        <v>111.3</v>
      </c>
      <c r="AD46" s="6">
        <v>114.2</v>
      </c>
    </row>
    <row r="47" spans="1:30">
      <c r="A47" s="4" t="s">
        <v>65</v>
      </c>
      <c r="B47" s="5">
        <v>2014</v>
      </c>
      <c r="C47" s="5" t="s">
        <v>72</v>
      </c>
      <c r="D47" s="5">
        <v>120.2</v>
      </c>
      <c r="E47" s="5">
        <v>118.9</v>
      </c>
      <c r="F47" s="5">
        <v>118.1</v>
      </c>
      <c r="G47" s="5">
        <v>117</v>
      </c>
      <c r="H47" s="5">
        <v>109.7</v>
      </c>
      <c r="I47" s="5">
        <v>125.5</v>
      </c>
      <c r="J47" s="5">
        <v>120.5</v>
      </c>
      <c r="K47" s="5">
        <v>111</v>
      </c>
      <c r="L47" s="5">
        <v>102.6</v>
      </c>
      <c r="M47" s="5">
        <v>111.2</v>
      </c>
      <c r="N47" s="5">
        <v>113.5</v>
      </c>
      <c r="O47" s="5">
        <v>118.7</v>
      </c>
      <c r="P47" s="5">
        <v>117.2</v>
      </c>
      <c r="Q47" s="5">
        <v>115.4</v>
      </c>
      <c r="R47" s="5">
        <v>118.1</v>
      </c>
      <c r="S47" s="5">
        <v>116.1</v>
      </c>
      <c r="T47" s="5">
        <v>117.8</v>
      </c>
      <c r="U47" s="5" t="s">
        <v>67</v>
      </c>
      <c r="V47" s="5">
        <v>113.4</v>
      </c>
      <c r="W47" s="5">
        <v>113.7</v>
      </c>
      <c r="X47" s="5">
        <v>111.8</v>
      </c>
      <c r="Y47" s="5">
        <v>111.2</v>
      </c>
      <c r="Z47" s="5">
        <v>110.5</v>
      </c>
      <c r="AA47" s="5">
        <v>113</v>
      </c>
      <c r="AB47" s="5">
        <v>108.9</v>
      </c>
      <c r="AC47" s="5">
        <v>111.5</v>
      </c>
      <c r="AD47" s="6">
        <v>115.4</v>
      </c>
    </row>
    <row r="48" spans="1:30">
      <c r="A48" s="4" t="s">
        <v>68</v>
      </c>
      <c r="B48" s="5">
        <v>2014</v>
      </c>
      <c r="C48" s="5" t="s">
        <v>72</v>
      </c>
      <c r="D48" s="5">
        <v>122.5</v>
      </c>
      <c r="E48" s="5">
        <v>121.7</v>
      </c>
      <c r="F48" s="5">
        <v>113.3</v>
      </c>
      <c r="G48" s="5">
        <v>117</v>
      </c>
      <c r="H48" s="5">
        <v>103.1</v>
      </c>
      <c r="I48" s="5">
        <v>126.7</v>
      </c>
      <c r="J48" s="5">
        <v>121.2</v>
      </c>
      <c r="K48" s="5">
        <v>111</v>
      </c>
      <c r="L48" s="5">
        <v>100.3</v>
      </c>
      <c r="M48" s="5">
        <v>115.3</v>
      </c>
      <c r="N48" s="5">
        <v>112.7</v>
      </c>
      <c r="O48" s="5">
        <v>121</v>
      </c>
      <c r="P48" s="5">
        <v>118.2</v>
      </c>
      <c r="Q48" s="5">
        <v>117.6</v>
      </c>
      <c r="R48" s="5">
        <v>116.3</v>
      </c>
      <c r="S48" s="5">
        <v>112.5</v>
      </c>
      <c r="T48" s="5">
        <v>115.7</v>
      </c>
      <c r="U48" s="5">
        <v>113.9</v>
      </c>
      <c r="V48" s="5">
        <v>110.9</v>
      </c>
      <c r="W48" s="5">
        <v>113.4</v>
      </c>
      <c r="X48" s="5">
        <v>111</v>
      </c>
      <c r="Y48" s="5">
        <v>111.2</v>
      </c>
      <c r="Z48" s="5">
        <v>111.2</v>
      </c>
      <c r="AA48" s="5">
        <v>112.5</v>
      </c>
      <c r="AB48" s="5">
        <v>109.1</v>
      </c>
      <c r="AC48" s="5">
        <v>111.4</v>
      </c>
      <c r="AD48" s="6">
        <v>114.7</v>
      </c>
    </row>
    <row r="49" spans="1:30">
      <c r="A49" s="4" t="s">
        <v>69</v>
      </c>
      <c r="B49" s="5">
        <v>2014</v>
      </c>
      <c r="C49" s="5" t="s">
        <v>72</v>
      </c>
      <c r="D49" s="5">
        <v>120.9</v>
      </c>
      <c r="E49" s="5">
        <v>119.9</v>
      </c>
      <c r="F49" s="5">
        <v>116.2</v>
      </c>
      <c r="G49" s="5">
        <v>117</v>
      </c>
      <c r="H49" s="5">
        <v>107.3</v>
      </c>
      <c r="I49" s="5">
        <v>126.1</v>
      </c>
      <c r="J49" s="5">
        <v>120.7</v>
      </c>
      <c r="K49" s="5">
        <v>111</v>
      </c>
      <c r="L49" s="5">
        <v>101.8</v>
      </c>
      <c r="M49" s="5">
        <v>112.6</v>
      </c>
      <c r="N49" s="5">
        <v>113.2</v>
      </c>
      <c r="O49" s="5">
        <v>119.8</v>
      </c>
      <c r="P49" s="5">
        <v>117.6</v>
      </c>
      <c r="Q49" s="5">
        <v>116</v>
      </c>
      <c r="R49" s="5">
        <v>117.4</v>
      </c>
      <c r="S49" s="5">
        <v>114.6</v>
      </c>
      <c r="T49" s="5">
        <v>117</v>
      </c>
      <c r="U49" s="5">
        <v>113.9</v>
      </c>
      <c r="V49" s="5">
        <v>112.5</v>
      </c>
      <c r="W49" s="5">
        <v>113.6</v>
      </c>
      <c r="X49" s="5">
        <v>111.5</v>
      </c>
      <c r="Y49" s="5">
        <v>111.2</v>
      </c>
      <c r="Z49" s="5">
        <v>110.9</v>
      </c>
      <c r="AA49" s="5">
        <v>112.7</v>
      </c>
      <c r="AB49" s="5">
        <v>109</v>
      </c>
      <c r="AC49" s="5">
        <v>111.5</v>
      </c>
      <c r="AD49" s="6">
        <v>115.1</v>
      </c>
    </row>
    <row r="50" spans="1:30">
      <c r="A50" s="4" t="s">
        <v>65</v>
      </c>
      <c r="B50" s="5">
        <v>2014</v>
      </c>
      <c r="C50" s="5" t="s">
        <v>73</v>
      </c>
      <c r="D50" s="5">
        <v>120.3</v>
      </c>
      <c r="E50" s="5">
        <v>120.2</v>
      </c>
      <c r="F50" s="5">
        <v>116.9</v>
      </c>
      <c r="G50" s="5">
        <v>118</v>
      </c>
      <c r="H50" s="5">
        <v>110.1</v>
      </c>
      <c r="I50" s="5">
        <v>126.3</v>
      </c>
      <c r="J50" s="5">
        <v>123.9</v>
      </c>
      <c r="K50" s="5">
        <v>111.5</v>
      </c>
      <c r="L50" s="5">
        <v>103.5</v>
      </c>
      <c r="M50" s="5">
        <v>111.6</v>
      </c>
      <c r="N50" s="5">
        <v>114.2</v>
      </c>
      <c r="O50" s="5">
        <v>119.2</v>
      </c>
      <c r="P50" s="5">
        <v>118.2</v>
      </c>
      <c r="Q50" s="5">
        <v>116.3</v>
      </c>
      <c r="R50" s="5">
        <v>118.7</v>
      </c>
      <c r="S50" s="5">
        <v>116.8</v>
      </c>
      <c r="T50" s="5">
        <v>118.5</v>
      </c>
      <c r="U50" s="5" t="s">
        <v>67</v>
      </c>
      <c r="V50" s="5">
        <v>113.4</v>
      </c>
      <c r="W50" s="5">
        <v>114.1</v>
      </c>
      <c r="X50" s="5">
        <v>112.1</v>
      </c>
      <c r="Y50" s="5">
        <v>111.4</v>
      </c>
      <c r="Z50" s="5">
        <v>110.9</v>
      </c>
      <c r="AA50" s="5">
        <v>113.1</v>
      </c>
      <c r="AB50" s="5">
        <v>108.9</v>
      </c>
      <c r="AC50" s="5">
        <v>111.8</v>
      </c>
      <c r="AD50" s="6">
        <v>116</v>
      </c>
    </row>
    <row r="51" spans="1:30">
      <c r="A51" s="4" t="s">
        <v>68</v>
      </c>
      <c r="B51" s="5">
        <v>2014</v>
      </c>
      <c r="C51" s="5" t="s">
        <v>73</v>
      </c>
      <c r="D51" s="5">
        <v>122.7</v>
      </c>
      <c r="E51" s="5">
        <v>124.1</v>
      </c>
      <c r="F51" s="5">
        <v>114.2</v>
      </c>
      <c r="G51" s="5">
        <v>119.1</v>
      </c>
      <c r="H51" s="5">
        <v>103.5</v>
      </c>
      <c r="I51" s="5">
        <v>129.19999999999999</v>
      </c>
      <c r="J51" s="5">
        <v>127</v>
      </c>
      <c r="K51" s="5">
        <v>112.6</v>
      </c>
      <c r="L51" s="5">
        <v>101.3</v>
      </c>
      <c r="M51" s="5">
        <v>117</v>
      </c>
      <c r="N51" s="5">
        <v>112.9</v>
      </c>
      <c r="O51" s="5">
        <v>121.7</v>
      </c>
      <c r="P51" s="5">
        <v>120</v>
      </c>
      <c r="Q51" s="5">
        <v>118.3</v>
      </c>
      <c r="R51" s="5">
        <v>116.8</v>
      </c>
      <c r="S51" s="5">
        <v>112.9</v>
      </c>
      <c r="T51" s="5">
        <v>116.2</v>
      </c>
      <c r="U51" s="5">
        <v>114.3</v>
      </c>
      <c r="V51" s="5">
        <v>111.1</v>
      </c>
      <c r="W51" s="5">
        <v>114.1</v>
      </c>
      <c r="X51" s="5">
        <v>111.2</v>
      </c>
      <c r="Y51" s="5">
        <v>111.3</v>
      </c>
      <c r="Z51" s="5">
        <v>111.5</v>
      </c>
      <c r="AA51" s="5">
        <v>112.9</v>
      </c>
      <c r="AB51" s="5">
        <v>109.3</v>
      </c>
      <c r="AC51" s="5">
        <v>111.7</v>
      </c>
      <c r="AD51" s="6">
        <v>115.6</v>
      </c>
    </row>
    <row r="52" spans="1:30">
      <c r="A52" s="4" t="s">
        <v>69</v>
      </c>
      <c r="B52" s="5">
        <v>2014</v>
      </c>
      <c r="C52" s="5" t="s">
        <v>73</v>
      </c>
      <c r="D52" s="5">
        <v>121.1</v>
      </c>
      <c r="E52" s="5">
        <v>121.6</v>
      </c>
      <c r="F52" s="5">
        <v>115.9</v>
      </c>
      <c r="G52" s="5">
        <v>118.4</v>
      </c>
      <c r="H52" s="5">
        <v>107.7</v>
      </c>
      <c r="I52" s="5">
        <v>127.7</v>
      </c>
      <c r="J52" s="5">
        <v>125</v>
      </c>
      <c r="K52" s="5">
        <v>111.9</v>
      </c>
      <c r="L52" s="5">
        <v>102.8</v>
      </c>
      <c r="M52" s="5">
        <v>113.4</v>
      </c>
      <c r="N52" s="5">
        <v>113.7</v>
      </c>
      <c r="O52" s="5">
        <v>120.4</v>
      </c>
      <c r="P52" s="5">
        <v>118.9</v>
      </c>
      <c r="Q52" s="5">
        <v>116.8</v>
      </c>
      <c r="R52" s="5">
        <v>118</v>
      </c>
      <c r="S52" s="5">
        <v>115.2</v>
      </c>
      <c r="T52" s="5">
        <v>117.6</v>
      </c>
      <c r="U52" s="5">
        <v>114.3</v>
      </c>
      <c r="V52" s="5">
        <v>112.5</v>
      </c>
      <c r="W52" s="5">
        <v>114.1</v>
      </c>
      <c r="X52" s="5">
        <v>111.8</v>
      </c>
      <c r="Y52" s="5">
        <v>111.3</v>
      </c>
      <c r="Z52" s="5">
        <v>111.2</v>
      </c>
      <c r="AA52" s="5">
        <v>113</v>
      </c>
      <c r="AB52" s="5">
        <v>109.1</v>
      </c>
      <c r="AC52" s="5">
        <v>111.8</v>
      </c>
      <c r="AD52" s="6">
        <v>115.8</v>
      </c>
    </row>
    <row r="53" spans="1:30">
      <c r="A53" s="4" t="s">
        <v>65</v>
      </c>
      <c r="B53" s="5">
        <v>2014</v>
      </c>
      <c r="C53" s="5" t="s">
        <v>74</v>
      </c>
      <c r="D53" s="5">
        <v>120.7</v>
      </c>
      <c r="E53" s="5">
        <v>121.6</v>
      </c>
      <c r="F53" s="5">
        <v>116.1</v>
      </c>
      <c r="G53" s="5">
        <v>119.3</v>
      </c>
      <c r="H53" s="5">
        <v>110.3</v>
      </c>
      <c r="I53" s="5">
        <v>125.8</v>
      </c>
      <c r="J53" s="5">
        <v>129.30000000000001</v>
      </c>
      <c r="K53" s="5">
        <v>112.2</v>
      </c>
      <c r="L53" s="5">
        <v>103.6</v>
      </c>
      <c r="M53" s="5">
        <v>112.3</v>
      </c>
      <c r="N53" s="5">
        <v>114.9</v>
      </c>
      <c r="O53" s="5">
        <v>120.1</v>
      </c>
      <c r="P53" s="5">
        <v>119.5</v>
      </c>
      <c r="Q53" s="5">
        <v>117.3</v>
      </c>
      <c r="R53" s="5">
        <v>119.7</v>
      </c>
      <c r="S53" s="5">
        <v>117.3</v>
      </c>
      <c r="T53" s="5">
        <v>119.3</v>
      </c>
      <c r="U53" s="5" t="s">
        <v>67</v>
      </c>
      <c r="V53" s="5">
        <v>114.4</v>
      </c>
      <c r="W53" s="5">
        <v>114.9</v>
      </c>
      <c r="X53" s="5">
        <v>112.8</v>
      </c>
      <c r="Y53" s="5">
        <v>112.2</v>
      </c>
      <c r="Z53" s="5">
        <v>111.4</v>
      </c>
      <c r="AA53" s="5">
        <v>114.3</v>
      </c>
      <c r="AB53" s="5">
        <v>108</v>
      </c>
      <c r="AC53" s="5">
        <v>112.3</v>
      </c>
      <c r="AD53" s="6">
        <v>117</v>
      </c>
    </row>
    <row r="54" spans="1:30">
      <c r="A54" s="4" t="s">
        <v>68</v>
      </c>
      <c r="B54" s="5">
        <v>2014</v>
      </c>
      <c r="C54" s="5" t="s">
        <v>74</v>
      </c>
      <c r="D54" s="5">
        <v>123.1</v>
      </c>
      <c r="E54" s="5">
        <v>125.9</v>
      </c>
      <c r="F54" s="5">
        <v>115.4</v>
      </c>
      <c r="G54" s="5">
        <v>120.4</v>
      </c>
      <c r="H54" s="5">
        <v>103.4</v>
      </c>
      <c r="I54" s="5">
        <v>131.19999999999999</v>
      </c>
      <c r="J54" s="5">
        <v>137.5</v>
      </c>
      <c r="K54" s="5">
        <v>112.8</v>
      </c>
      <c r="L54" s="5">
        <v>101.4</v>
      </c>
      <c r="M54" s="5">
        <v>118.3</v>
      </c>
      <c r="N54" s="5">
        <v>113.2</v>
      </c>
      <c r="O54" s="5">
        <v>122.4</v>
      </c>
      <c r="P54" s="5">
        <v>122</v>
      </c>
      <c r="Q54" s="5">
        <v>119</v>
      </c>
      <c r="R54" s="5">
        <v>117.4</v>
      </c>
      <c r="S54" s="5">
        <v>113.2</v>
      </c>
      <c r="T54" s="5">
        <v>116.7</v>
      </c>
      <c r="U54" s="5">
        <v>113.9</v>
      </c>
      <c r="V54" s="5">
        <v>111.2</v>
      </c>
      <c r="W54" s="5">
        <v>114.3</v>
      </c>
      <c r="X54" s="5">
        <v>111.4</v>
      </c>
      <c r="Y54" s="5">
        <v>111.5</v>
      </c>
      <c r="Z54" s="5">
        <v>111.8</v>
      </c>
      <c r="AA54" s="5">
        <v>115.1</v>
      </c>
      <c r="AB54" s="5">
        <v>108.7</v>
      </c>
      <c r="AC54" s="5">
        <v>112.2</v>
      </c>
      <c r="AD54" s="6">
        <v>116.4</v>
      </c>
    </row>
    <row r="55" spans="1:30">
      <c r="A55" s="4" t="s">
        <v>69</v>
      </c>
      <c r="B55" s="5">
        <v>2014</v>
      </c>
      <c r="C55" s="5" t="s">
        <v>74</v>
      </c>
      <c r="D55" s="5">
        <v>121.5</v>
      </c>
      <c r="E55" s="5">
        <v>123.1</v>
      </c>
      <c r="F55" s="5">
        <v>115.8</v>
      </c>
      <c r="G55" s="5">
        <v>119.7</v>
      </c>
      <c r="H55" s="5">
        <v>107.8</v>
      </c>
      <c r="I55" s="5">
        <v>128.30000000000001</v>
      </c>
      <c r="J55" s="5">
        <v>132.1</v>
      </c>
      <c r="K55" s="5">
        <v>112.4</v>
      </c>
      <c r="L55" s="5">
        <v>102.9</v>
      </c>
      <c r="M55" s="5">
        <v>114.3</v>
      </c>
      <c r="N55" s="5">
        <v>114.2</v>
      </c>
      <c r="O55" s="5">
        <v>121.2</v>
      </c>
      <c r="P55" s="5">
        <v>120.4</v>
      </c>
      <c r="Q55" s="5">
        <v>117.8</v>
      </c>
      <c r="R55" s="5">
        <v>118.8</v>
      </c>
      <c r="S55" s="5">
        <v>115.6</v>
      </c>
      <c r="T55" s="5">
        <v>118.3</v>
      </c>
      <c r="U55" s="5">
        <v>113.9</v>
      </c>
      <c r="V55" s="5">
        <v>113.2</v>
      </c>
      <c r="W55" s="5">
        <v>114.6</v>
      </c>
      <c r="X55" s="5">
        <v>112.3</v>
      </c>
      <c r="Y55" s="5">
        <v>111.8</v>
      </c>
      <c r="Z55" s="5">
        <v>111.6</v>
      </c>
      <c r="AA55" s="5">
        <v>114.8</v>
      </c>
      <c r="AB55" s="5">
        <v>108.3</v>
      </c>
      <c r="AC55" s="5">
        <v>112.3</v>
      </c>
      <c r="AD55" s="6">
        <v>116.7</v>
      </c>
    </row>
    <row r="56" spans="1:30">
      <c r="A56" s="4" t="s">
        <v>65</v>
      </c>
      <c r="B56" s="5">
        <v>2014</v>
      </c>
      <c r="C56" s="5" t="s">
        <v>75</v>
      </c>
      <c r="D56" s="5">
        <v>121.7</v>
      </c>
      <c r="E56" s="5">
        <v>122.5</v>
      </c>
      <c r="F56" s="5">
        <v>117.7</v>
      </c>
      <c r="G56" s="5">
        <v>120.6</v>
      </c>
      <c r="H56" s="5">
        <v>110.4</v>
      </c>
      <c r="I56" s="5">
        <v>129.1</v>
      </c>
      <c r="J56" s="5">
        <v>150.1</v>
      </c>
      <c r="K56" s="5">
        <v>113.2</v>
      </c>
      <c r="L56" s="5">
        <v>104.8</v>
      </c>
      <c r="M56" s="5">
        <v>113.3</v>
      </c>
      <c r="N56" s="5">
        <v>115.6</v>
      </c>
      <c r="O56" s="5">
        <v>120.9</v>
      </c>
      <c r="P56" s="5">
        <v>123.3</v>
      </c>
      <c r="Q56" s="5">
        <v>118</v>
      </c>
      <c r="R56" s="5">
        <v>120.7</v>
      </c>
      <c r="S56" s="5">
        <v>118.3</v>
      </c>
      <c r="T56" s="5">
        <v>120.3</v>
      </c>
      <c r="U56" s="5" t="s">
        <v>67</v>
      </c>
      <c r="V56" s="5">
        <v>115.3</v>
      </c>
      <c r="W56" s="5">
        <v>115.4</v>
      </c>
      <c r="X56" s="5">
        <v>113.4</v>
      </c>
      <c r="Y56" s="5">
        <v>113.2</v>
      </c>
      <c r="Z56" s="5">
        <v>111.8</v>
      </c>
      <c r="AA56" s="5">
        <v>115.5</v>
      </c>
      <c r="AB56" s="5">
        <v>108.8</v>
      </c>
      <c r="AC56" s="5">
        <v>113.1</v>
      </c>
      <c r="AD56" s="6">
        <v>119.5</v>
      </c>
    </row>
    <row r="57" spans="1:30">
      <c r="A57" s="4" t="s">
        <v>68</v>
      </c>
      <c r="B57" s="5">
        <v>2014</v>
      </c>
      <c r="C57" s="5" t="s">
        <v>75</v>
      </c>
      <c r="D57" s="5">
        <v>123.8</v>
      </c>
      <c r="E57" s="5">
        <v>126.4</v>
      </c>
      <c r="F57" s="5">
        <v>118</v>
      </c>
      <c r="G57" s="5">
        <v>121.6</v>
      </c>
      <c r="H57" s="5">
        <v>103.5</v>
      </c>
      <c r="I57" s="5">
        <v>133.69999999999999</v>
      </c>
      <c r="J57" s="5">
        <v>172.4</v>
      </c>
      <c r="K57" s="5">
        <v>113.1</v>
      </c>
      <c r="L57" s="5">
        <v>102.7</v>
      </c>
      <c r="M57" s="5">
        <v>120</v>
      </c>
      <c r="N57" s="5">
        <v>113.8</v>
      </c>
      <c r="O57" s="5">
        <v>123.4</v>
      </c>
      <c r="P57" s="5">
        <v>127.1</v>
      </c>
      <c r="Q57" s="5">
        <v>121</v>
      </c>
      <c r="R57" s="5">
        <v>118</v>
      </c>
      <c r="S57" s="5">
        <v>113.6</v>
      </c>
      <c r="T57" s="5">
        <v>117.4</v>
      </c>
      <c r="U57" s="5">
        <v>114.8</v>
      </c>
      <c r="V57" s="5">
        <v>111.6</v>
      </c>
      <c r="W57" s="5">
        <v>114.9</v>
      </c>
      <c r="X57" s="5">
        <v>111.5</v>
      </c>
      <c r="Y57" s="5">
        <v>113</v>
      </c>
      <c r="Z57" s="5">
        <v>112.4</v>
      </c>
      <c r="AA57" s="5">
        <v>117.8</v>
      </c>
      <c r="AB57" s="5">
        <v>109.7</v>
      </c>
      <c r="AC57" s="5">
        <v>113.5</v>
      </c>
      <c r="AD57" s="6">
        <v>118.9</v>
      </c>
    </row>
    <row r="58" spans="1:30">
      <c r="A58" s="4" t="s">
        <v>69</v>
      </c>
      <c r="B58" s="5">
        <v>2014</v>
      </c>
      <c r="C58" s="5" t="s">
        <v>75</v>
      </c>
      <c r="D58" s="5">
        <v>122.4</v>
      </c>
      <c r="E58" s="5">
        <v>123.9</v>
      </c>
      <c r="F58" s="5">
        <v>117.8</v>
      </c>
      <c r="G58" s="5">
        <v>121</v>
      </c>
      <c r="H58" s="5">
        <v>107.9</v>
      </c>
      <c r="I58" s="5">
        <v>131.19999999999999</v>
      </c>
      <c r="J58" s="5">
        <v>157.69999999999999</v>
      </c>
      <c r="K58" s="5">
        <v>113.2</v>
      </c>
      <c r="L58" s="5">
        <v>104.1</v>
      </c>
      <c r="M58" s="5">
        <v>115.5</v>
      </c>
      <c r="N58" s="5">
        <v>114.8</v>
      </c>
      <c r="O58" s="5">
        <v>122.1</v>
      </c>
      <c r="P58" s="5">
        <v>124.7</v>
      </c>
      <c r="Q58" s="5">
        <v>118.8</v>
      </c>
      <c r="R58" s="5">
        <v>119.6</v>
      </c>
      <c r="S58" s="5">
        <v>116.3</v>
      </c>
      <c r="T58" s="5">
        <v>119.1</v>
      </c>
      <c r="U58" s="5">
        <v>114.8</v>
      </c>
      <c r="V58" s="5">
        <v>113.9</v>
      </c>
      <c r="W58" s="5">
        <v>115.2</v>
      </c>
      <c r="X58" s="5">
        <v>112.7</v>
      </c>
      <c r="Y58" s="5">
        <v>113.1</v>
      </c>
      <c r="Z58" s="5">
        <v>112.1</v>
      </c>
      <c r="AA58" s="5">
        <v>116.8</v>
      </c>
      <c r="AB58" s="5">
        <v>109.2</v>
      </c>
      <c r="AC58" s="5">
        <v>113.3</v>
      </c>
      <c r="AD58" s="6">
        <v>119.2</v>
      </c>
    </row>
    <row r="59" spans="1:30">
      <c r="A59" s="4" t="s">
        <v>65</v>
      </c>
      <c r="B59" s="5">
        <v>2014</v>
      </c>
      <c r="C59" s="5" t="s">
        <v>76</v>
      </c>
      <c r="D59" s="5">
        <v>121.8</v>
      </c>
      <c r="E59" s="5">
        <v>122.8</v>
      </c>
      <c r="F59" s="5">
        <v>117.8</v>
      </c>
      <c r="G59" s="5">
        <v>121.9</v>
      </c>
      <c r="H59" s="5">
        <v>110.6</v>
      </c>
      <c r="I59" s="5">
        <v>129.69999999999999</v>
      </c>
      <c r="J59" s="5">
        <v>161.1</v>
      </c>
      <c r="K59" s="5">
        <v>114.1</v>
      </c>
      <c r="L59" s="5">
        <v>105.1</v>
      </c>
      <c r="M59" s="5">
        <v>114.6</v>
      </c>
      <c r="N59" s="5">
        <v>115.8</v>
      </c>
      <c r="O59" s="5">
        <v>121.7</v>
      </c>
      <c r="P59" s="5">
        <v>125.3</v>
      </c>
      <c r="Q59" s="5">
        <v>118.8</v>
      </c>
      <c r="R59" s="5">
        <v>120.9</v>
      </c>
      <c r="S59" s="5">
        <v>118.8</v>
      </c>
      <c r="T59" s="5">
        <v>120.7</v>
      </c>
      <c r="U59" s="5" t="s">
        <v>67</v>
      </c>
      <c r="V59" s="5">
        <v>115.4</v>
      </c>
      <c r="W59" s="5">
        <v>115.9</v>
      </c>
      <c r="X59" s="5">
        <v>114</v>
      </c>
      <c r="Y59" s="5">
        <v>113.2</v>
      </c>
      <c r="Z59" s="5">
        <v>112.2</v>
      </c>
      <c r="AA59" s="5">
        <v>116.2</v>
      </c>
      <c r="AB59" s="5">
        <v>109.4</v>
      </c>
      <c r="AC59" s="5">
        <v>113.5</v>
      </c>
      <c r="AD59" s="6">
        <v>120.7</v>
      </c>
    </row>
    <row r="60" spans="1:30">
      <c r="A60" s="4" t="s">
        <v>68</v>
      </c>
      <c r="B60" s="5">
        <v>2014</v>
      </c>
      <c r="C60" s="5" t="s">
        <v>76</v>
      </c>
      <c r="D60" s="5">
        <v>124.8</v>
      </c>
      <c r="E60" s="5">
        <v>127.3</v>
      </c>
      <c r="F60" s="5">
        <v>116.5</v>
      </c>
      <c r="G60" s="5">
        <v>122.2</v>
      </c>
      <c r="H60" s="5">
        <v>103.6</v>
      </c>
      <c r="I60" s="5">
        <v>132.69999999999999</v>
      </c>
      <c r="J60" s="5">
        <v>181.9</v>
      </c>
      <c r="K60" s="5">
        <v>115.2</v>
      </c>
      <c r="L60" s="5">
        <v>102.7</v>
      </c>
      <c r="M60" s="5">
        <v>122.1</v>
      </c>
      <c r="N60" s="5">
        <v>114.4</v>
      </c>
      <c r="O60" s="5">
        <v>124.7</v>
      </c>
      <c r="P60" s="5">
        <v>128.9</v>
      </c>
      <c r="Q60" s="5">
        <v>123</v>
      </c>
      <c r="R60" s="5">
        <v>118.6</v>
      </c>
      <c r="S60" s="5">
        <v>114.1</v>
      </c>
      <c r="T60" s="5">
        <v>117.9</v>
      </c>
      <c r="U60" s="5">
        <v>115.5</v>
      </c>
      <c r="V60" s="5">
        <v>111.8</v>
      </c>
      <c r="W60" s="5">
        <v>115.3</v>
      </c>
      <c r="X60" s="5">
        <v>112.2</v>
      </c>
      <c r="Y60" s="5">
        <v>112.5</v>
      </c>
      <c r="Z60" s="5">
        <v>112.9</v>
      </c>
      <c r="AA60" s="5">
        <v>119.2</v>
      </c>
      <c r="AB60" s="5">
        <v>110.5</v>
      </c>
      <c r="AC60" s="5">
        <v>113.9</v>
      </c>
      <c r="AD60" s="6">
        <v>119.9</v>
      </c>
    </row>
    <row r="61" spans="1:30">
      <c r="A61" s="4" t="s">
        <v>69</v>
      </c>
      <c r="B61" s="5">
        <v>2014</v>
      </c>
      <c r="C61" s="5" t="s">
        <v>76</v>
      </c>
      <c r="D61" s="5">
        <v>122.7</v>
      </c>
      <c r="E61" s="5">
        <v>124.4</v>
      </c>
      <c r="F61" s="5">
        <v>117.3</v>
      </c>
      <c r="G61" s="5">
        <v>122</v>
      </c>
      <c r="H61" s="5">
        <v>108</v>
      </c>
      <c r="I61" s="5">
        <v>131.1</v>
      </c>
      <c r="J61" s="5">
        <v>168.2</v>
      </c>
      <c r="K61" s="5">
        <v>114.5</v>
      </c>
      <c r="L61" s="5">
        <v>104.3</v>
      </c>
      <c r="M61" s="5">
        <v>117.1</v>
      </c>
      <c r="N61" s="5">
        <v>115.2</v>
      </c>
      <c r="O61" s="5">
        <v>123.1</v>
      </c>
      <c r="P61" s="5">
        <v>126.6</v>
      </c>
      <c r="Q61" s="5">
        <v>119.9</v>
      </c>
      <c r="R61" s="5">
        <v>120</v>
      </c>
      <c r="S61" s="5">
        <v>116.8</v>
      </c>
      <c r="T61" s="5">
        <v>119.6</v>
      </c>
      <c r="U61" s="5">
        <v>115.5</v>
      </c>
      <c r="V61" s="5">
        <v>114</v>
      </c>
      <c r="W61" s="5">
        <v>115.6</v>
      </c>
      <c r="X61" s="5">
        <v>113.3</v>
      </c>
      <c r="Y61" s="5">
        <v>112.8</v>
      </c>
      <c r="Z61" s="5">
        <v>112.6</v>
      </c>
      <c r="AA61" s="5">
        <v>118</v>
      </c>
      <c r="AB61" s="5">
        <v>109.9</v>
      </c>
      <c r="AC61" s="5">
        <v>113.7</v>
      </c>
      <c r="AD61" s="6">
        <v>120.3</v>
      </c>
    </row>
    <row r="62" spans="1:30">
      <c r="A62" s="4" t="s">
        <v>65</v>
      </c>
      <c r="B62" s="5">
        <v>2014</v>
      </c>
      <c r="C62" s="5" t="s">
        <v>77</v>
      </c>
      <c r="D62" s="5">
        <v>122.3</v>
      </c>
      <c r="E62" s="5">
        <v>122.4</v>
      </c>
      <c r="F62" s="5">
        <v>117.8</v>
      </c>
      <c r="G62" s="5">
        <v>122.7</v>
      </c>
      <c r="H62" s="5">
        <v>110.4</v>
      </c>
      <c r="I62" s="5">
        <v>129.80000000000001</v>
      </c>
      <c r="J62" s="5">
        <v>158.80000000000001</v>
      </c>
      <c r="K62" s="5">
        <v>115</v>
      </c>
      <c r="L62" s="5">
        <v>104.7</v>
      </c>
      <c r="M62" s="5">
        <v>114.9</v>
      </c>
      <c r="N62" s="5">
        <v>116.5</v>
      </c>
      <c r="O62" s="5">
        <v>122.6</v>
      </c>
      <c r="P62" s="5">
        <v>125.3</v>
      </c>
      <c r="Q62" s="5">
        <v>119.5</v>
      </c>
      <c r="R62" s="5">
        <v>121.7</v>
      </c>
      <c r="S62" s="5">
        <v>119.2</v>
      </c>
      <c r="T62" s="5">
        <v>121.3</v>
      </c>
      <c r="U62" s="5" t="s">
        <v>67</v>
      </c>
      <c r="V62" s="5">
        <v>115.8</v>
      </c>
      <c r="W62" s="5">
        <v>116.7</v>
      </c>
      <c r="X62" s="5">
        <v>114.5</v>
      </c>
      <c r="Y62" s="5">
        <v>112.8</v>
      </c>
      <c r="Z62" s="5">
        <v>112.6</v>
      </c>
      <c r="AA62" s="5">
        <v>116.6</v>
      </c>
      <c r="AB62" s="5">
        <v>109.1</v>
      </c>
      <c r="AC62" s="5">
        <v>113.7</v>
      </c>
      <c r="AD62" s="6">
        <v>120.9</v>
      </c>
    </row>
    <row r="63" spans="1:30">
      <c r="A63" s="4" t="s">
        <v>68</v>
      </c>
      <c r="B63" s="5">
        <v>2014</v>
      </c>
      <c r="C63" s="5" t="s">
        <v>77</v>
      </c>
      <c r="D63" s="5">
        <v>124.2</v>
      </c>
      <c r="E63" s="5">
        <v>125.4</v>
      </c>
      <c r="F63" s="5">
        <v>116.4</v>
      </c>
      <c r="G63" s="5">
        <v>122.7</v>
      </c>
      <c r="H63" s="5">
        <v>103.5</v>
      </c>
      <c r="I63" s="5">
        <v>124.5</v>
      </c>
      <c r="J63" s="5">
        <v>168.6</v>
      </c>
      <c r="K63" s="5">
        <v>116.9</v>
      </c>
      <c r="L63" s="5">
        <v>101.9</v>
      </c>
      <c r="M63" s="5">
        <v>122.9</v>
      </c>
      <c r="N63" s="5">
        <v>114.8</v>
      </c>
      <c r="O63" s="5">
        <v>125.2</v>
      </c>
      <c r="P63" s="5">
        <v>126.7</v>
      </c>
      <c r="Q63" s="5">
        <v>124.3</v>
      </c>
      <c r="R63" s="5">
        <v>119.2</v>
      </c>
      <c r="S63" s="5">
        <v>114.5</v>
      </c>
      <c r="T63" s="5">
        <v>118.4</v>
      </c>
      <c r="U63" s="5">
        <v>116.1</v>
      </c>
      <c r="V63" s="5">
        <v>111.8</v>
      </c>
      <c r="W63" s="5">
        <v>115.5</v>
      </c>
      <c r="X63" s="5">
        <v>112.3</v>
      </c>
      <c r="Y63" s="5">
        <v>111.2</v>
      </c>
      <c r="Z63" s="5">
        <v>113.4</v>
      </c>
      <c r="AA63" s="5">
        <v>120</v>
      </c>
      <c r="AB63" s="5">
        <v>110</v>
      </c>
      <c r="AC63" s="5">
        <v>113.6</v>
      </c>
      <c r="AD63" s="6">
        <v>119.2</v>
      </c>
    </row>
    <row r="64" spans="1:30">
      <c r="A64" s="4" t="s">
        <v>69</v>
      </c>
      <c r="B64" s="5">
        <v>2014</v>
      </c>
      <c r="C64" s="5" t="s">
        <v>77</v>
      </c>
      <c r="D64" s="5">
        <v>122.9</v>
      </c>
      <c r="E64" s="5">
        <v>123.5</v>
      </c>
      <c r="F64" s="5">
        <v>117.3</v>
      </c>
      <c r="G64" s="5">
        <v>122.7</v>
      </c>
      <c r="H64" s="5">
        <v>107.9</v>
      </c>
      <c r="I64" s="5">
        <v>127.3</v>
      </c>
      <c r="J64" s="5">
        <v>162.1</v>
      </c>
      <c r="K64" s="5">
        <v>115.6</v>
      </c>
      <c r="L64" s="5">
        <v>103.8</v>
      </c>
      <c r="M64" s="5">
        <v>117.6</v>
      </c>
      <c r="N64" s="5">
        <v>115.8</v>
      </c>
      <c r="O64" s="5">
        <v>123.8</v>
      </c>
      <c r="P64" s="5">
        <v>125.8</v>
      </c>
      <c r="Q64" s="5">
        <v>120.8</v>
      </c>
      <c r="R64" s="5">
        <v>120.7</v>
      </c>
      <c r="S64" s="5">
        <v>117.2</v>
      </c>
      <c r="T64" s="5">
        <v>120.1</v>
      </c>
      <c r="U64" s="5">
        <v>116.1</v>
      </c>
      <c r="V64" s="5">
        <v>114.3</v>
      </c>
      <c r="W64" s="5">
        <v>116.1</v>
      </c>
      <c r="X64" s="5">
        <v>113.7</v>
      </c>
      <c r="Y64" s="5">
        <v>112</v>
      </c>
      <c r="Z64" s="5">
        <v>113.1</v>
      </c>
      <c r="AA64" s="5">
        <v>118.6</v>
      </c>
      <c r="AB64" s="5">
        <v>109.5</v>
      </c>
      <c r="AC64" s="5">
        <v>113.7</v>
      </c>
      <c r="AD64" s="6">
        <v>120.1</v>
      </c>
    </row>
    <row r="65" spans="1:30">
      <c r="A65" s="4" t="s">
        <v>65</v>
      </c>
      <c r="B65" s="5">
        <v>2014</v>
      </c>
      <c r="C65" s="5" t="s">
        <v>78</v>
      </c>
      <c r="D65" s="5">
        <v>122.6</v>
      </c>
      <c r="E65" s="5">
        <v>122.5</v>
      </c>
      <c r="F65" s="5">
        <v>118.3</v>
      </c>
      <c r="G65" s="5">
        <v>123.2</v>
      </c>
      <c r="H65" s="5">
        <v>110.5</v>
      </c>
      <c r="I65" s="5">
        <v>128.9</v>
      </c>
      <c r="J65" s="5">
        <v>155.30000000000001</v>
      </c>
      <c r="K65" s="5">
        <v>115.5</v>
      </c>
      <c r="L65" s="5">
        <v>104</v>
      </c>
      <c r="M65" s="5">
        <v>115.3</v>
      </c>
      <c r="N65" s="5">
        <v>116.8</v>
      </c>
      <c r="O65" s="5">
        <v>123.2</v>
      </c>
      <c r="P65" s="5">
        <v>125.1</v>
      </c>
      <c r="Q65" s="5">
        <v>120</v>
      </c>
      <c r="R65" s="5">
        <v>122.7</v>
      </c>
      <c r="S65" s="5">
        <v>120.3</v>
      </c>
      <c r="T65" s="5">
        <v>122.3</v>
      </c>
      <c r="U65" s="5" t="s">
        <v>67</v>
      </c>
      <c r="V65" s="5">
        <v>116.4</v>
      </c>
      <c r="W65" s="5">
        <v>117.5</v>
      </c>
      <c r="X65" s="5">
        <v>115.3</v>
      </c>
      <c r="Y65" s="5">
        <v>112.6</v>
      </c>
      <c r="Z65" s="5">
        <v>113</v>
      </c>
      <c r="AA65" s="5">
        <v>116.9</v>
      </c>
      <c r="AB65" s="5">
        <v>109.3</v>
      </c>
      <c r="AC65" s="5">
        <v>114</v>
      </c>
      <c r="AD65" s="6">
        <v>121</v>
      </c>
    </row>
    <row r="66" spans="1:30">
      <c r="A66" s="4" t="s">
        <v>68</v>
      </c>
      <c r="B66" s="5">
        <v>2014</v>
      </c>
      <c r="C66" s="5" t="s">
        <v>78</v>
      </c>
      <c r="D66" s="5">
        <v>124.6</v>
      </c>
      <c r="E66" s="5">
        <v>126.1</v>
      </c>
      <c r="F66" s="5">
        <v>117.8</v>
      </c>
      <c r="G66" s="5">
        <v>123.1</v>
      </c>
      <c r="H66" s="5">
        <v>103.5</v>
      </c>
      <c r="I66" s="5">
        <v>123.5</v>
      </c>
      <c r="J66" s="5">
        <v>159.6</v>
      </c>
      <c r="K66" s="5">
        <v>117.4</v>
      </c>
      <c r="L66" s="5">
        <v>101.2</v>
      </c>
      <c r="M66" s="5">
        <v>123.8</v>
      </c>
      <c r="N66" s="5">
        <v>115.2</v>
      </c>
      <c r="O66" s="5">
        <v>125.9</v>
      </c>
      <c r="P66" s="5">
        <v>125.8</v>
      </c>
      <c r="Q66" s="5">
        <v>124.3</v>
      </c>
      <c r="R66" s="5">
        <v>119.6</v>
      </c>
      <c r="S66" s="5">
        <v>114.9</v>
      </c>
      <c r="T66" s="5">
        <v>118.9</v>
      </c>
      <c r="U66" s="5">
        <v>116.7</v>
      </c>
      <c r="V66" s="5">
        <v>112</v>
      </c>
      <c r="W66" s="5">
        <v>115.8</v>
      </c>
      <c r="X66" s="5">
        <v>112.6</v>
      </c>
      <c r="Y66" s="5">
        <v>111</v>
      </c>
      <c r="Z66" s="5">
        <v>113.6</v>
      </c>
      <c r="AA66" s="5">
        <v>120.2</v>
      </c>
      <c r="AB66" s="5">
        <v>110.1</v>
      </c>
      <c r="AC66" s="5">
        <v>113.7</v>
      </c>
      <c r="AD66" s="6">
        <v>119.1</v>
      </c>
    </row>
    <row r="67" spans="1:30">
      <c r="A67" s="4" t="s">
        <v>69</v>
      </c>
      <c r="B67" s="5">
        <v>2014</v>
      </c>
      <c r="C67" s="5" t="s">
        <v>78</v>
      </c>
      <c r="D67" s="5">
        <v>123.2</v>
      </c>
      <c r="E67" s="5">
        <v>123.8</v>
      </c>
      <c r="F67" s="5">
        <v>118.1</v>
      </c>
      <c r="G67" s="5">
        <v>123.2</v>
      </c>
      <c r="H67" s="5">
        <v>107.9</v>
      </c>
      <c r="I67" s="5">
        <v>126.4</v>
      </c>
      <c r="J67" s="5">
        <v>156.80000000000001</v>
      </c>
      <c r="K67" s="5">
        <v>116.1</v>
      </c>
      <c r="L67" s="5">
        <v>103.1</v>
      </c>
      <c r="M67" s="5">
        <v>118.1</v>
      </c>
      <c r="N67" s="5">
        <v>116.1</v>
      </c>
      <c r="O67" s="5">
        <v>124.5</v>
      </c>
      <c r="P67" s="5">
        <v>125.4</v>
      </c>
      <c r="Q67" s="5">
        <v>121.1</v>
      </c>
      <c r="R67" s="5">
        <v>121.5</v>
      </c>
      <c r="S67" s="5">
        <v>118.1</v>
      </c>
      <c r="T67" s="5">
        <v>121</v>
      </c>
      <c r="U67" s="5">
        <v>116.7</v>
      </c>
      <c r="V67" s="5">
        <v>114.7</v>
      </c>
      <c r="W67" s="5">
        <v>116.7</v>
      </c>
      <c r="X67" s="5">
        <v>114.3</v>
      </c>
      <c r="Y67" s="5">
        <v>111.8</v>
      </c>
      <c r="Z67" s="5">
        <v>113.3</v>
      </c>
      <c r="AA67" s="5">
        <v>118.8</v>
      </c>
      <c r="AB67" s="5">
        <v>109.6</v>
      </c>
      <c r="AC67" s="5">
        <v>113.9</v>
      </c>
      <c r="AD67" s="6">
        <v>120.1</v>
      </c>
    </row>
    <row r="68" spans="1:30">
      <c r="A68" s="4" t="s">
        <v>65</v>
      </c>
      <c r="B68" s="5">
        <v>2014</v>
      </c>
      <c r="C68" s="5" t="s">
        <v>79</v>
      </c>
      <c r="D68" s="5">
        <v>122.7</v>
      </c>
      <c r="E68" s="5">
        <v>122.6</v>
      </c>
      <c r="F68" s="5">
        <v>119.9</v>
      </c>
      <c r="G68" s="5">
        <v>124</v>
      </c>
      <c r="H68" s="5">
        <v>110.5</v>
      </c>
      <c r="I68" s="5">
        <v>128.80000000000001</v>
      </c>
      <c r="J68" s="5">
        <v>152</v>
      </c>
      <c r="K68" s="5">
        <v>116.2</v>
      </c>
      <c r="L68" s="5">
        <v>103.3</v>
      </c>
      <c r="M68" s="5">
        <v>115.8</v>
      </c>
      <c r="N68" s="5">
        <v>116.8</v>
      </c>
      <c r="O68" s="5">
        <v>124.5</v>
      </c>
      <c r="P68" s="5">
        <v>124.9</v>
      </c>
      <c r="Q68" s="5">
        <v>120.8</v>
      </c>
      <c r="R68" s="5">
        <v>123.3</v>
      </c>
      <c r="S68" s="5">
        <v>120.5</v>
      </c>
      <c r="T68" s="5">
        <v>122.9</v>
      </c>
      <c r="U68" s="5" t="s">
        <v>67</v>
      </c>
      <c r="V68" s="5">
        <v>117.3</v>
      </c>
      <c r="W68" s="5">
        <v>118.1</v>
      </c>
      <c r="X68" s="5">
        <v>115.9</v>
      </c>
      <c r="Y68" s="5">
        <v>112</v>
      </c>
      <c r="Z68" s="5">
        <v>113.3</v>
      </c>
      <c r="AA68" s="5">
        <v>117.2</v>
      </c>
      <c r="AB68" s="5">
        <v>108.8</v>
      </c>
      <c r="AC68" s="5">
        <v>114.1</v>
      </c>
      <c r="AD68" s="6">
        <v>121.1</v>
      </c>
    </row>
    <row r="69" spans="1:30">
      <c r="A69" s="4" t="s">
        <v>68</v>
      </c>
      <c r="B69" s="5">
        <v>2014</v>
      </c>
      <c r="C69" s="5" t="s">
        <v>79</v>
      </c>
      <c r="D69" s="5">
        <v>124.5</v>
      </c>
      <c r="E69" s="5">
        <v>125.6</v>
      </c>
      <c r="F69" s="5">
        <v>122.7</v>
      </c>
      <c r="G69" s="5">
        <v>124.6</v>
      </c>
      <c r="H69" s="5">
        <v>103.2</v>
      </c>
      <c r="I69" s="5">
        <v>122.2</v>
      </c>
      <c r="J69" s="5">
        <v>153.19999999999999</v>
      </c>
      <c r="K69" s="5">
        <v>119.3</v>
      </c>
      <c r="L69" s="5">
        <v>99.8</v>
      </c>
      <c r="M69" s="5">
        <v>124.6</v>
      </c>
      <c r="N69" s="5">
        <v>115.8</v>
      </c>
      <c r="O69" s="5">
        <v>126.9</v>
      </c>
      <c r="P69" s="5">
        <v>125.4</v>
      </c>
      <c r="Q69" s="5">
        <v>125.8</v>
      </c>
      <c r="R69" s="5">
        <v>120.3</v>
      </c>
      <c r="S69" s="5">
        <v>115.4</v>
      </c>
      <c r="T69" s="5">
        <v>119.5</v>
      </c>
      <c r="U69" s="5">
        <v>117.1</v>
      </c>
      <c r="V69" s="5">
        <v>112.6</v>
      </c>
      <c r="W69" s="5">
        <v>116.4</v>
      </c>
      <c r="X69" s="5">
        <v>113</v>
      </c>
      <c r="Y69" s="5">
        <v>109.7</v>
      </c>
      <c r="Z69" s="5">
        <v>114</v>
      </c>
      <c r="AA69" s="5">
        <v>120.3</v>
      </c>
      <c r="AB69" s="5">
        <v>109.6</v>
      </c>
      <c r="AC69" s="5">
        <v>113.4</v>
      </c>
      <c r="AD69" s="6">
        <v>119</v>
      </c>
    </row>
    <row r="70" spans="1:30">
      <c r="A70" s="4" t="s">
        <v>69</v>
      </c>
      <c r="B70" s="5">
        <v>2014</v>
      </c>
      <c r="C70" s="5" t="s">
        <v>79</v>
      </c>
      <c r="D70" s="5">
        <v>123.3</v>
      </c>
      <c r="E70" s="5">
        <v>123.7</v>
      </c>
      <c r="F70" s="5">
        <v>121</v>
      </c>
      <c r="G70" s="5">
        <v>124.2</v>
      </c>
      <c r="H70" s="5">
        <v>107.8</v>
      </c>
      <c r="I70" s="5">
        <v>125.7</v>
      </c>
      <c r="J70" s="5">
        <v>152.4</v>
      </c>
      <c r="K70" s="5">
        <v>117.2</v>
      </c>
      <c r="L70" s="5">
        <v>102.1</v>
      </c>
      <c r="M70" s="5">
        <v>118.7</v>
      </c>
      <c r="N70" s="5">
        <v>116.4</v>
      </c>
      <c r="O70" s="5">
        <v>125.6</v>
      </c>
      <c r="P70" s="5">
        <v>125.1</v>
      </c>
      <c r="Q70" s="5">
        <v>122.1</v>
      </c>
      <c r="R70" s="5">
        <v>122.1</v>
      </c>
      <c r="S70" s="5">
        <v>118.4</v>
      </c>
      <c r="T70" s="5">
        <v>121.6</v>
      </c>
      <c r="U70" s="5">
        <v>117.1</v>
      </c>
      <c r="V70" s="5">
        <v>115.5</v>
      </c>
      <c r="W70" s="5">
        <v>117.3</v>
      </c>
      <c r="X70" s="5">
        <v>114.8</v>
      </c>
      <c r="Y70" s="5">
        <v>110.8</v>
      </c>
      <c r="Z70" s="5">
        <v>113.7</v>
      </c>
      <c r="AA70" s="5">
        <v>119</v>
      </c>
      <c r="AB70" s="5">
        <v>109.1</v>
      </c>
      <c r="AC70" s="5">
        <v>113.8</v>
      </c>
      <c r="AD70" s="6">
        <v>120.1</v>
      </c>
    </row>
    <row r="71" spans="1:30">
      <c r="A71" s="4" t="s">
        <v>65</v>
      </c>
      <c r="B71" s="5">
        <v>2014</v>
      </c>
      <c r="C71" s="5" t="s">
        <v>80</v>
      </c>
      <c r="D71" s="5">
        <v>122.4</v>
      </c>
      <c r="E71" s="5">
        <v>122.4</v>
      </c>
      <c r="F71" s="5">
        <v>121.8</v>
      </c>
      <c r="G71" s="5">
        <v>124.2</v>
      </c>
      <c r="H71" s="5">
        <v>110.2</v>
      </c>
      <c r="I71" s="5">
        <v>128.6</v>
      </c>
      <c r="J71" s="5">
        <v>140.30000000000001</v>
      </c>
      <c r="K71" s="5">
        <v>116.3</v>
      </c>
      <c r="L71" s="5">
        <v>102</v>
      </c>
      <c r="M71" s="5">
        <v>116</v>
      </c>
      <c r="N71" s="5">
        <v>117.3</v>
      </c>
      <c r="O71" s="5">
        <v>124.8</v>
      </c>
      <c r="P71" s="5">
        <v>123.3</v>
      </c>
      <c r="Q71" s="5">
        <v>121.7</v>
      </c>
      <c r="R71" s="5">
        <v>123.8</v>
      </c>
      <c r="S71" s="5">
        <v>120.6</v>
      </c>
      <c r="T71" s="5">
        <v>123.3</v>
      </c>
      <c r="U71" s="5" t="s">
        <v>67</v>
      </c>
      <c r="V71" s="5">
        <v>117.4</v>
      </c>
      <c r="W71" s="5">
        <v>118.2</v>
      </c>
      <c r="X71" s="5">
        <v>116.2</v>
      </c>
      <c r="Y71" s="5">
        <v>111.5</v>
      </c>
      <c r="Z71" s="5">
        <v>113.3</v>
      </c>
      <c r="AA71" s="5">
        <v>117.7</v>
      </c>
      <c r="AB71" s="5">
        <v>109.4</v>
      </c>
      <c r="AC71" s="5">
        <v>114.2</v>
      </c>
      <c r="AD71" s="6">
        <v>120.3</v>
      </c>
    </row>
    <row r="72" spans="1:30">
      <c r="A72" s="4" t="s">
        <v>68</v>
      </c>
      <c r="B72" s="5">
        <v>2014</v>
      </c>
      <c r="C72" s="5" t="s">
        <v>80</v>
      </c>
      <c r="D72" s="5">
        <v>124</v>
      </c>
      <c r="E72" s="5">
        <v>124.7</v>
      </c>
      <c r="F72" s="5">
        <v>126.3</v>
      </c>
      <c r="G72" s="5">
        <v>124.9</v>
      </c>
      <c r="H72" s="5">
        <v>103</v>
      </c>
      <c r="I72" s="5">
        <v>122.3</v>
      </c>
      <c r="J72" s="5">
        <v>141</v>
      </c>
      <c r="K72" s="5">
        <v>120.1</v>
      </c>
      <c r="L72" s="5">
        <v>97.8</v>
      </c>
      <c r="M72" s="5">
        <v>125.4</v>
      </c>
      <c r="N72" s="5">
        <v>116.1</v>
      </c>
      <c r="O72" s="5">
        <v>127.6</v>
      </c>
      <c r="P72" s="5">
        <v>124</v>
      </c>
      <c r="Q72" s="5">
        <v>126.4</v>
      </c>
      <c r="R72" s="5">
        <v>120.7</v>
      </c>
      <c r="S72" s="5">
        <v>115.8</v>
      </c>
      <c r="T72" s="5">
        <v>120</v>
      </c>
      <c r="U72" s="5">
        <v>116.5</v>
      </c>
      <c r="V72" s="5">
        <v>113</v>
      </c>
      <c r="W72" s="5">
        <v>116.8</v>
      </c>
      <c r="X72" s="5">
        <v>113.2</v>
      </c>
      <c r="Y72" s="5">
        <v>108.8</v>
      </c>
      <c r="Z72" s="5">
        <v>114.3</v>
      </c>
      <c r="AA72" s="5">
        <v>120.7</v>
      </c>
      <c r="AB72" s="5">
        <v>110.4</v>
      </c>
      <c r="AC72" s="5">
        <v>113.4</v>
      </c>
      <c r="AD72" s="6">
        <v>118.4</v>
      </c>
    </row>
    <row r="73" spans="1:30">
      <c r="A73" s="4" t="s">
        <v>69</v>
      </c>
      <c r="B73" s="5">
        <v>2014</v>
      </c>
      <c r="C73" s="5" t="s">
        <v>80</v>
      </c>
      <c r="D73" s="5">
        <v>122.9</v>
      </c>
      <c r="E73" s="5">
        <v>123.2</v>
      </c>
      <c r="F73" s="5">
        <v>123.5</v>
      </c>
      <c r="G73" s="5">
        <v>124.5</v>
      </c>
      <c r="H73" s="5">
        <v>107.6</v>
      </c>
      <c r="I73" s="5">
        <v>125.7</v>
      </c>
      <c r="J73" s="5">
        <v>140.5</v>
      </c>
      <c r="K73" s="5">
        <v>117.6</v>
      </c>
      <c r="L73" s="5">
        <v>100.6</v>
      </c>
      <c r="M73" s="5">
        <v>119.1</v>
      </c>
      <c r="N73" s="5">
        <v>116.8</v>
      </c>
      <c r="O73" s="5">
        <v>126.1</v>
      </c>
      <c r="P73" s="5">
        <v>123.6</v>
      </c>
      <c r="Q73" s="5">
        <v>123</v>
      </c>
      <c r="R73" s="5">
        <v>122.6</v>
      </c>
      <c r="S73" s="5">
        <v>118.6</v>
      </c>
      <c r="T73" s="5">
        <v>122</v>
      </c>
      <c r="U73" s="5">
        <v>116.5</v>
      </c>
      <c r="V73" s="5">
        <v>115.7</v>
      </c>
      <c r="W73" s="5">
        <v>117.5</v>
      </c>
      <c r="X73" s="5">
        <v>115.1</v>
      </c>
      <c r="Y73" s="5">
        <v>110.1</v>
      </c>
      <c r="Z73" s="5">
        <v>113.9</v>
      </c>
      <c r="AA73" s="5">
        <v>119.5</v>
      </c>
      <c r="AB73" s="5">
        <v>109.8</v>
      </c>
      <c r="AC73" s="5">
        <v>113.8</v>
      </c>
      <c r="AD73" s="6">
        <v>119.4</v>
      </c>
    </row>
    <row r="74" spans="1:30">
      <c r="A74" s="4" t="s">
        <v>65</v>
      </c>
      <c r="B74" s="5">
        <v>2015</v>
      </c>
      <c r="C74" s="5" t="s">
        <v>66</v>
      </c>
      <c r="D74" s="5">
        <v>123.1</v>
      </c>
      <c r="E74" s="5">
        <v>123.1</v>
      </c>
      <c r="F74" s="5">
        <v>122.1</v>
      </c>
      <c r="G74" s="5">
        <v>124.9</v>
      </c>
      <c r="H74" s="5">
        <v>111</v>
      </c>
      <c r="I74" s="5">
        <v>130.4</v>
      </c>
      <c r="J74" s="5">
        <v>132.30000000000001</v>
      </c>
      <c r="K74" s="5">
        <v>117.2</v>
      </c>
      <c r="L74" s="5">
        <v>100.5</v>
      </c>
      <c r="M74" s="5">
        <v>117.2</v>
      </c>
      <c r="N74" s="5">
        <v>117.9</v>
      </c>
      <c r="O74" s="5">
        <v>125.6</v>
      </c>
      <c r="P74" s="5">
        <v>122.8</v>
      </c>
      <c r="Q74" s="5">
        <v>122.7</v>
      </c>
      <c r="R74" s="5">
        <v>124.4</v>
      </c>
      <c r="S74" s="5">
        <v>121.6</v>
      </c>
      <c r="T74" s="5">
        <v>124</v>
      </c>
      <c r="U74" s="5" t="s">
        <v>67</v>
      </c>
      <c r="V74" s="5">
        <v>118.4</v>
      </c>
      <c r="W74" s="5">
        <v>118.9</v>
      </c>
      <c r="X74" s="5">
        <v>116.6</v>
      </c>
      <c r="Y74" s="5">
        <v>111</v>
      </c>
      <c r="Z74" s="5">
        <v>114</v>
      </c>
      <c r="AA74" s="5">
        <v>118.2</v>
      </c>
      <c r="AB74" s="5">
        <v>110.2</v>
      </c>
      <c r="AC74" s="5">
        <v>114.5</v>
      </c>
      <c r="AD74" s="6">
        <v>120.3</v>
      </c>
    </row>
    <row r="75" spans="1:30">
      <c r="A75" s="4" t="s">
        <v>68</v>
      </c>
      <c r="B75" s="5">
        <v>2015</v>
      </c>
      <c r="C75" s="5" t="s">
        <v>66</v>
      </c>
      <c r="D75" s="5">
        <v>124</v>
      </c>
      <c r="E75" s="5">
        <v>125.5</v>
      </c>
      <c r="F75" s="5">
        <v>126.6</v>
      </c>
      <c r="G75" s="5">
        <v>125.2</v>
      </c>
      <c r="H75" s="5">
        <v>104.3</v>
      </c>
      <c r="I75" s="5">
        <v>121.3</v>
      </c>
      <c r="J75" s="5">
        <v>134.4</v>
      </c>
      <c r="K75" s="5">
        <v>122.9</v>
      </c>
      <c r="L75" s="5">
        <v>96.1</v>
      </c>
      <c r="M75" s="5">
        <v>126.6</v>
      </c>
      <c r="N75" s="5">
        <v>116.5</v>
      </c>
      <c r="O75" s="5">
        <v>128</v>
      </c>
      <c r="P75" s="5">
        <v>123.5</v>
      </c>
      <c r="Q75" s="5">
        <v>127.4</v>
      </c>
      <c r="R75" s="5">
        <v>121</v>
      </c>
      <c r="S75" s="5">
        <v>116.1</v>
      </c>
      <c r="T75" s="5">
        <v>120.2</v>
      </c>
      <c r="U75" s="5">
        <v>117.3</v>
      </c>
      <c r="V75" s="5">
        <v>113.4</v>
      </c>
      <c r="W75" s="5">
        <v>117.2</v>
      </c>
      <c r="X75" s="5">
        <v>113.7</v>
      </c>
      <c r="Y75" s="5">
        <v>107.9</v>
      </c>
      <c r="Z75" s="5">
        <v>114.6</v>
      </c>
      <c r="AA75" s="5">
        <v>120.8</v>
      </c>
      <c r="AB75" s="5">
        <v>111.4</v>
      </c>
      <c r="AC75" s="5">
        <v>113.4</v>
      </c>
      <c r="AD75" s="6">
        <v>118.5</v>
      </c>
    </row>
    <row r="76" spans="1:30">
      <c r="A76" s="4" t="s">
        <v>69</v>
      </c>
      <c r="B76" s="5">
        <v>2015</v>
      </c>
      <c r="C76" s="5" t="s">
        <v>66</v>
      </c>
      <c r="D76" s="5">
        <v>123.4</v>
      </c>
      <c r="E76" s="5">
        <v>123.9</v>
      </c>
      <c r="F76" s="5">
        <v>123.8</v>
      </c>
      <c r="G76" s="5">
        <v>125</v>
      </c>
      <c r="H76" s="5">
        <v>108.5</v>
      </c>
      <c r="I76" s="5">
        <v>126.2</v>
      </c>
      <c r="J76" s="5">
        <v>133</v>
      </c>
      <c r="K76" s="5">
        <v>119.1</v>
      </c>
      <c r="L76" s="5">
        <v>99</v>
      </c>
      <c r="M76" s="5">
        <v>120.3</v>
      </c>
      <c r="N76" s="5">
        <v>117.3</v>
      </c>
      <c r="O76" s="5">
        <v>126.7</v>
      </c>
      <c r="P76" s="5">
        <v>123.1</v>
      </c>
      <c r="Q76" s="5">
        <v>124</v>
      </c>
      <c r="R76" s="5">
        <v>123.1</v>
      </c>
      <c r="S76" s="5">
        <v>119.3</v>
      </c>
      <c r="T76" s="5">
        <v>122.5</v>
      </c>
      <c r="U76" s="5">
        <v>117.3</v>
      </c>
      <c r="V76" s="5">
        <v>116.5</v>
      </c>
      <c r="W76" s="5">
        <v>118.1</v>
      </c>
      <c r="X76" s="5">
        <v>115.5</v>
      </c>
      <c r="Y76" s="5">
        <v>109.4</v>
      </c>
      <c r="Z76" s="5">
        <v>114.3</v>
      </c>
      <c r="AA76" s="5">
        <v>119.7</v>
      </c>
      <c r="AB76" s="5">
        <v>110.7</v>
      </c>
      <c r="AC76" s="5">
        <v>114</v>
      </c>
      <c r="AD76" s="6">
        <v>119.5</v>
      </c>
    </row>
    <row r="77" spans="1:30">
      <c r="A77" s="4" t="s">
        <v>65</v>
      </c>
      <c r="B77" s="5">
        <v>2015</v>
      </c>
      <c r="C77" s="5" t="s">
        <v>70</v>
      </c>
      <c r="D77" s="5">
        <v>123.4</v>
      </c>
      <c r="E77" s="5">
        <v>124.4</v>
      </c>
      <c r="F77" s="5">
        <v>122.1</v>
      </c>
      <c r="G77" s="5">
        <v>125.8</v>
      </c>
      <c r="H77" s="5">
        <v>111.5</v>
      </c>
      <c r="I77" s="5">
        <v>129.4</v>
      </c>
      <c r="J77" s="5">
        <v>128.19999999999999</v>
      </c>
      <c r="K77" s="5">
        <v>118.8</v>
      </c>
      <c r="L77" s="5">
        <v>100</v>
      </c>
      <c r="M77" s="5">
        <v>118.6</v>
      </c>
      <c r="N77" s="5">
        <v>118.8</v>
      </c>
      <c r="O77" s="5">
        <v>126.8</v>
      </c>
      <c r="P77" s="5">
        <v>122.8</v>
      </c>
      <c r="Q77" s="5">
        <v>124.2</v>
      </c>
      <c r="R77" s="5">
        <v>125.4</v>
      </c>
      <c r="S77" s="5">
        <v>122.7</v>
      </c>
      <c r="T77" s="5">
        <v>125</v>
      </c>
      <c r="U77" s="5" t="s">
        <v>67</v>
      </c>
      <c r="V77" s="5">
        <v>120</v>
      </c>
      <c r="W77" s="5">
        <v>119.6</v>
      </c>
      <c r="X77" s="5">
        <v>117.7</v>
      </c>
      <c r="Y77" s="5">
        <v>110.9</v>
      </c>
      <c r="Z77" s="5">
        <v>114.8</v>
      </c>
      <c r="AA77" s="5">
        <v>118.7</v>
      </c>
      <c r="AB77" s="5">
        <v>110.8</v>
      </c>
      <c r="AC77" s="5">
        <v>115</v>
      </c>
      <c r="AD77" s="6">
        <v>120.6</v>
      </c>
    </row>
    <row r="78" spans="1:30">
      <c r="A78" s="4" t="s">
        <v>68</v>
      </c>
      <c r="B78" s="5">
        <v>2015</v>
      </c>
      <c r="C78" s="5" t="s">
        <v>70</v>
      </c>
      <c r="D78" s="5">
        <v>124.3</v>
      </c>
      <c r="E78" s="5">
        <v>126.5</v>
      </c>
      <c r="F78" s="5">
        <v>119.5</v>
      </c>
      <c r="G78" s="5">
        <v>125.6</v>
      </c>
      <c r="H78" s="5">
        <v>104.9</v>
      </c>
      <c r="I78" s="5">
        <v>121.6</v>
      </c>
      <c r="J78" s="5">
        <v>131.80000000000001</v>
      </c>
      <c r="K78" s="5">
        <v>125.1</v>
      </c>
      <c r="L78" s="5">
        <v>95</v>
      </c>
      <c r="M78" s="5">
        <v>127.7</v>
      </c>
      <c r="N78" s="5">
        <v>116.8</v>
      </c>
      <c r="O78" s="5">
        <v>128.6</v>
      </c>
      <c r="P78" s="5">
        <v>123.7</v>
      </c>
      <c r="Q78" s="5">
        <v>128.1</v>
      </c>
      <c r="R78" s="5">
        <v>121.3</v>
      </c>
      <c r="S78" s="5">
        <v>116.5</v>
      </c>
      <c r="T78" s="5">
        <v>120.6</v>
      </c>
      <c r="U78" s="5">
        <v>118.1</v>
      </c>
      <c r="V78" s="5">
        <v>114</v>
      </c>
      <c r="W78" s="5">
        <v>117.7</v>
      </c>
      <c r="X78" s="5">
        <v>114.1</v>
      </c>
      <c r="Y78" s="5">
        <v>106.8</v>
      </c>
      <c r="Z78" s="5">
        <v>114.9</v>
      </c>
      <c r="AA78" s="5">
        <v>120.4</v>
      </c>
      <c r="AB78" s="5">
        <v>111.7</v>
      </c>
      <c r="AC78" s="5">
        <v>113.2</v>
      </c>
      <c r="AD78" s="6">
        <v>118.7</v>
      </c>
    </row>
    <row r="79" spans="1:30">
      <c r="A79" s="4" t="s">
        <v>69</v>
      </c>
      <c r="B79" s="5">
        <v>2015</v>
      </c>
      <c r="C79" s="5" t="s">
        <v>70</v>
      </c>
      <c r="D79" s="5">
        <v>123.7</v>
      </c>
      <c r="E79" s="5">
        <v>125.1</v>
      </c>
      <c r="F79" s="5">
        <v>121.1</v>
      </c>
      <c r="G79" s="5">
        <v>125.7</v>
      </c>
      <c r="H79" s="5">
        <v>109.1</v>
      </c>
      <c r="I79" s="5">
        <v>125.8</v>
      </c>
      <c r="J79" s="5">
        <v>129.4</v>
      </c>
      <c r="K79" s="5">
        <v>120.9</v>
      </c>
      <c r="L79" s="5">
        <v>98.3</v>
      </c>
      <c r="M79" s="5">
        <v>121.6</v>
      </c>
      <c r="N79" s="5">
        <v>118</v>
      </c>
      <c r="O79" s="5">
        <v>127.6</v>
      </c>
      <c r="P79" s="5">
        <v>123.1</v>
      </c>
      <c r="Q79" s="5">
        <v>125.2</v>
      </c>
      <c r="R79" s="5">
        <v>123.8</v>
      </c>
      <c r="S79" s="5">
        <v>120.1</v>
      </c>
      <c r="T79" s="5">
        <v>123.3</v>
      </c>
      <c r="U79" s="5">
        <v>118.1</v>
      </c>
      <c r="V79" s="5">
        <v>117.7</v>
      </c>
      <c r="W79" s="5">
        <v>118.7</v>
      </c>
      <c r="X79" s="5">
        <v>116.3</v>
      </c>
      <c r="Y79" s="5">
        <v>108.7</v>
      </c>
      <c r="Z79" s="5">
        <v>114.9</v>
      </c>
      <c r="AA79" s="5">
        <v>119.7</v>
      </c>
      <c r="AB79" s="5">
        <v>111.2</v>
      </c>
      <c r="AC79" s="5">
        <v>114.1</v>
      </c>
      <c r="AD79" s="6">
        <v>119.7</v>
      </c>
    </row>
    <row r="80" spans="1:30">
      <c r="A80" s="4" t="s">
        <v>65</v>
      </c>
      <c r="B80" s="5">
        <v>2015</v>
      </c>
      <c r="C80" s="5" t="s">
        <v>71</v>
      </c>
      <c r="D80" s="5">
        <v>123.3</v>
      </c>
      <c r="E80" s="5">
        <v>124.7</v>
      </c>
      <c r="F80" s="5">
        <v>118.9</v>
      </c>
      <c r="G80" s="5">
        <v>126</v>
      </c>
      <c r="H80" s="5">
        <v>111.8</v>
      </c>
      <c r="I80" s="5">
        <v>130.9</v>
      </c>
      <c r="J80" s="5">
        <v>128</v>
      </c>
      <c r="K80" s="5">
        <v>119.9</v>
      </c>
      <c r="L80" s="5">
        <v>98.9</v>
      </c>
      <c r="M80" s="5">
        <v>119.4</v>
      </c>
      <c r="N80" s="5">
        <v>118.9</v>
      </c>
      <c r="O80" s="5">
        <v>127.7</v>
      </c>
      <c r="P80" s="5">
        <v>123.1</v>
      </c>
      <c r="Q80" s="5">
        <v>124.7</v>
      </c>
      <c r="R80" s="5">
        <v>126</v>
      </c>
      <c r="S80" s="5">
        <v>122.9</v>
      </c>
      <c r="T80" s="5">
        <v>125.5</v>
      </c>
      <c r="U80" s="5" t="s">
        <v>67</v>
      </c>
      <c r="V80" s="5">
        <v>120.6</v>
      </c>
      <c r="W80" s="5">
        <v>120.2</v>
      </c>
      <c r="X80" s="5">
        <v>118.2</v>
      </c>
      <c r="Y80" s="5">
        <v>111.6</v>
      </c>
      <c r="Z80" s="5">
        <v>115.5</v>
      </c>
      <c r="AA80" s="5">
        <v>119.4</v>
      </c>
      <c r="AB80" s="5">
        <v>110.8</v>
      </c>
      <c r="AC80" s="5">
        <v>115.5</v>
      </c>
      <c r="AD80" s="6">
        <v>121.1</v>
      </c>
    </row>
    <row r="81" spans="1:30">
      <c r="A81" s="4" t="s">
        <v>68</v>
      </c>
      <c r="B81" s="5">
        <v>2015</v>
      </c>
      <c r="C81" s="5" t="s">
        <v>71</v>
      </c>
      <c r="D81" s="5">
        <v>124</v>
      </c>
      <c r="E81" s="5">
        <v>126.7</v>
      </c>
      <c r="F81" s="5">
        <v>113.5</v>
      </c>
      <c r="G81" s="5">
        <v>125.9</v>
      </c>
      <c r="H81" s="5">
        <v>104.8</v>
      </c>
      <c r="I81" s="5">
        <v>123.8</v>
      </c>
      <c r="J81" s="5">
        <v>131.4</v>
      </c>
      <c r="K81" s="5">
        <v>127.2</v>
      </c>
      <c r="L81" s="5">
        <v>93.2</v>
      </c>
      <c r="M81" s="5">
        <v>127.4</v>
      </c>
      <c r="N81" s="5">
        <v>117</v>
      </c>
      <c r="O81" s="5">
        <v>129.19999999999999</v>
      </c>
      <c r="P81" s="5">
        <v>123.9</v>
      </c>
      <c r="Q81" s="5">
        <v>128.80000000000001</v>
      </c>
      <c r="R81" s="5">
        <v>121.7</v>
      </c>
      <c r="S81" s="5">
        <v>116.9</v>
      </c>
      <c r="T81" s="5">
        <v>120.9</v>
      </c>
      <c r="U81" s="5">
        <v>118.6</v>
      </c>
      <c r="V81" s="5">
        <v>114.4</v>
      </c>
      <c r="W81" s="5">
        <v>118</v>
      </c>
      <c r="X81" s="5">
        <v>114.3</v>
      </c>
      <c r="Y81" s="5">
        <v>108.4</v>
      </c>
      <c r="Z81" s="5">
        <v>115.4</v>
      </c>
      <c r="AA81" s="5">
        <v>120.6</v>
      </c>
      <c r="AB81" s="5">
        <v>111.3</v>
      </c>
      <c r="AC81" s="5">
        <v>113.8</v>
      </c>
      <c r="AD81" s="6">
        <v>119.1</v>
      </c>
    </row>
    <row r="82" spans="1:30">
      <c r="A82" s="4" t="s">
        <v>69</v>
      </c>
      <c r="B82" s="5">
        <v>2015</v>
      </c>
      <c r="C82" s="5" t="s">
        <v>71</v>
      </c>
      <c r="D82" s="5">
        <v>123.5</v>
      </c>
      <c r="E82" s="5">
        <v>125.4</v>
      </c>
      <c r="F82" s="5">
        <v>116.8</v>
      </c>
      <c r="G82" s="5">
        <v>126</v>
      </c>
      <c r="H82" s="5">
        <v>109.2</v>
      </c>
      <c r="I82" s="5">
        <v>127.6</v>
      </c>
      <c r="J82" s="5">
        <v>129.19999999999999</v>
      </c>
      <c r="K82" s="5">
        <v>122.4</v>
      </c>
      <c r="L82" s="5">
        <v>97</v>
      </c>
      <c r="M82" s="5">
        <v>122.1</v>
      </c>
      <c r="N82" s="5">
        <v>118.1</v>
      </c>
      <c r="O82" s="5">
        <v>128.4</v>
      </c>
      <c r="P82" s="5">
        <v>123.4</v>
      </c>
      <c r="Q82" s="5">
        <v>125.8</v>
      </c>
      <c r="R82" s="5">
        <v>124.3</v>
      </c>
      <c r="S82" s="5">
        <v>120.4</v>
      </c>
      <c r="T82" s="5">
        <v>123.7</v>
      </c>
      <c r="U82" s="5">
        <v>118.6</v>
      </c>
      <c r="V82" s="5">
        <v>118.3</v>
      </c>
      <c r="W82" s="5">
        <v>119.2</v>
      </c>
      <c r="X82" s="5">
        <v>116.7</v>
      </c>
      <c r="Y82" s="5">
        <v>109.9</v>
      </c>
      <c r="Z82" s="5">
        <v>115.4</v>
      </c>
      <c r="AA82" s="5">
        <v>120.1</v>
      </c>
      <c r="AB82" s="5">
        <v>111</v>
      </c>
      <c r="AC82" s="5">
        <v>114.7</v>
      </c>
      <c r="AD82" s="6">
        <v>120.2</v>
      </c>
    </row>
    <row r="83" spans="1:30">
      <c r="A83" s="4" t="s">
        <v>65</v>
      </c>
      <c r="B83" s="5">
        <v>2015</v>
      </c>
      <c r="C83" s="5" t="s">
        <v>72</v>
      </c>
      <c r="D83" s="5">
        <v>123.3</v>
      </c>
      <c r="E83" s="5">
        <v>125.5</v>
      </c>
      <c r="F83" s="5">
        <v>117.2</v>
      </c>
      <c r="G83" s="5">
        <v>126.8</v>
      </c>
      <c r="H83" s="5">
        <v>111.9</v>
      </c>
      <c r="I83" s="5">
        <v>134.19999999999999</v>
      </c>
      <c r="J83" s="5">
        <v>127.5</v>
      </c>
      <c r="K83" s="5">
        <v>121.5</v>
      </c>
      <c r="L83" s="5">
        <v>97.8</v>
      </c>
      <c r="M83" s="5">
        <v>119.8</v>
      </c>
      <c r="N83" s="5">
        <v>119.4</v>
      </c>
      <c r="O83" s="5">
        <v>128.69999999999999</v>
      </c>
      <c r="P83" s="5">
        <v>123.6</v>
      </c>
      <c r="Q83" s="5">
        <v>125.7</v>
      </c>
      <c r="R83" s="5">
        <v>126.4</v>
      </c>
      <c r="S83" s="5">
        <v>123.3</v>
      </c>
      <c r="T83" s="5">
        <v>126</v>
      </c>
      <c r="U83" s="5" t="s">
        <v>67</v>
      </c>
      <c r="V83" s="5">
        <v>121.2</v>
      </c>
      <c r="W83" s="5">
        <v>120.9</v>
      </c>
      <c r="X83" s="5">
        <v>118.6</v>
      </c>
      <c r="Y83" s="5">
        <v>111.9</v>
      </c>
      <c r="Z83" s="5">
        <v>116.2</v>
      </c>
      <c r="AA83" s="5">
        <v>119.9</v>
      </c>
      <c r="AB83" s="5">
        <v>111.6</v>
      </c>
      <c r="AC83" s="5">
        <v>116</v>
      </c>
      <c r="AD83" s="6">
        <v>121.5</v>
      </c>
    </row>
    <row r="84" spans="1:30">
      <c r="A84" s="4" t="s">
        <v>68</v>
      </c>
      <c r="B84" s="5">
        <v>2015</v>
      </c>
      <c r="C84" s="5" t="s">
        <v>72</v>
      </c>
      <c r="D84" s="5">
        <v>123.8</v>
      </c>
      <c r="E84" s="5">
        <v>128.19999999999999</v>
      </c>
      <c r="F84" s="5">
        <v>110</v>
      </c>
      <c r="G84" s="5">
        <v>126.3</v>
      </c>
      <c r="H84" s="5">
        <v>104.5</v>
      </c>
      <c r="I84" s="5">
        <v>130.6</v>
      </c>
      <c r="J84" s="5">
        <v>130.80000000000001</v>
      </c>
      <c r="K84" s="5">
        <v>131.30000000000001</v>
      </c>
      <c r="L84" s="5">
        <v>91.6</v>
      </c>
      <c r="M84" s="5">
        <v>127.7</v>
      </c>
      <c r="N84" s="5">
        <v>117.2</v>
      </c>
      <c r="O84" s="5">
        <v>129.5</v>
      </c>
      <c r="P84" s="5">
        <v>124.6</v>
      </c>
      <c r="Q84" s="5">
        <v>130.1</v>
      </c>
      <c r="R84" s="5">
        <v>122.1</v>
      </c>
      <c r="S84" s="5">
        <v>117.2</v>
      </c>
      <c r="T84" s="5">
        <v>121.3</v>
      </c>
      <c r="U84" s="5">
        <v>119.2</v>
      </c>
      <c r="V84" s="5">
        <v>114.7</v>
      </c>
      <c r="W84" s="5">
        <v>118.4</v>
      </c>
      <c r="X84" s="5">
        <v>114.6</v>
      </c>
      <c r="Y84" s="5">
        <v>108.4</v>
      </c>
      <c r="Z84" s="5">
        <v>115.6</v>
      </c>
      <c r="AA84" s="5">
        <v>121.7</v>
      </c>
      <c r="AB84" s="5">
        <v>111.8</v>
      </c>
      <c r="AC84" s="5">
        <v>114.2</v>
      </c>
      <c r="AD84" s="6">
        <v>119.7</v>
      </c>
    </row>
    <row r="85" spans="1:30">
      <c r="A85" s="4" t="s">
        <v>69</v>
      </c>
      <c r="B85" s="5">
        <v>2015</v>
      </c>
      <c r="C85" s="5" t="s">
        <v>72</v>
      </c>
      <c r="D85" s="5">
        <v>123.5</v>
      </c>
      <c r="E85" s="5">
        <v>126.4</v>
      </c>
      <c r="F85" s="5">
        <v>114.4</v>
      </c>
      <c r="G85" s="5">
        <v>126.6</v>
      </c>
      <c r="H85" s="5">
        <v>109.2</v>
      </c>
      <c r="I85" s="5">
        <v>132.5</v>
      </c>
      <c r="J85" s="5">
        <v>128.6</v>
      </c>
      <c r="K85" s="5">
        <v>124.8</v>
      </c>
      <c r="L85" s="5">
        <v>95.7</v>
      </c>
      <c r="M85" s="5">
        <v>122.4</v>
      </c>
      <c r="N85" s="5">
        <v>118.5</v>
      </c>
      <c r="O85" s="5">
        <v>129.1</v>
      </c>
      <c r="P85" s="5">
        <v>124</v>
      </c>
      <c r="Q85" s="5">
        <v>126.9</v>
      </c>
      <c r="R85" s="5">
        <v>124.7</v>
      </c>
      <c r="S85" s="5">
        <v>120.8</v>
      </c>
      <c r="T85" s="5">
        <v>124.1</v>
      </c>
      <c r="U85" s="5">
        <v>119.2</v>
      </c>
      <c r="V85" s="5">
        <v>118.7</v>
      </c>
      <c r="W85" s="5">
        <v>119.7</v>
      </c>
      <c r="X85" s="5">
        <v>117.1</v>
      </c>
      <c r="Y85" s="5">
        <v>110.1</v>
      </c>
      <c r="Z85" s="5">
        <v>115.9</v>
      </c>
      <c r="AA85" s="5">
        <v>121</v>
      </c>
      <c r="AB85" s="5">
        <v>111.7</v>
      </c>
      <c r="AC85" s="5">
        <v>115.1</v>
      </c>
      <c r="AD85" s="6">
        <v>120.7</v>
      </c>
    </row>
    <row r="86" spans="1:30">
      <c r="A86" s="4" t="s">
        <v>65</v>
      </c>
      <c r="B86" s="5">
        <v>2015</v>
      </c>
      <c r="C86" s="5" t="s">
        <v>73</v>
      </c>
      <c r="D86" s="5">
        <v>123.5</v>
      </c>
      <c r="E86" s="5">
        <v>127.1</v>
      </c>
      <c r="F86" s="5">
        <v>117.3</v>
      </c>
      <c r="G86" s="5">
        <v>127.7</v>
      </c>
      <c r="H86" s="5">
        <v>112.5</v>
      </c>
      <c r="I86" s="5">
        <v>134.1</v>
      </c>
      <c r="J86" s="5">
        <v>128.5</v>
      </c>
      <c r="K86" s="5">
        <v>124.3</v>
      </c>
      <c r="L86" s="5">
        <v>97.6</v>
      </c>
      <c r="M86" s="5">
        <v>120.7</v>
      </c>
      <c r="N86" s="5">
        <v>120.2</v>
      </c>
      <c r="O86" s="5">
        <v>129.80000000000001</v>
      </c>
      <c r="P86" s="5">
        <v>124.4</v>
      </c>
      <c r="Q86" s="5">
        <v>126.7</v>
      </c>
      <c r="R86" s="5">
        <v>127.3</v>
      </c>
      <c r="S86" s="5">
        <v>124.1</v>
      </c>
      <c r="T86" s="5">
        <v>126.8</v>
      </c>
      <c r="U86" s="5" t="s">
        <v>67</v>
      </c>
      <c r="V86" s="5">
        <v>121.9</v>
      </c>
      <c r="W86" s="5">
        <v>121.5</v>
      </c>
      <c r="X86" s="5">
        <v>119.4</v>
      </c>
      <c r="Y86" s="5">
        <v>113.3</v>
      </c>
      <c r="Z86" s="5">
        <v>116.7</v>
      </c>
      <c r="AA86" s="5">
        <v>120.5</v>
      </c>
      <c r="AB86" s="5">
        <v>112.3</v>
      </c>
      <c r="AC86" s="5">
        <v>116.9</v>
      </c>
      <c r="AD86" s="6">
        <v>122.4</v>
      </c>
    </row>
    <row r="87" spans="1:30">
      <c r="A87" s="4" t="s">
        <v>68</v>
      </c>
      <c r="B87" s="5">
        <v>2015</v>
      </c>
      <c r="C87" s="5" t="s">
        <v>73</v>
      </c>
      <c r="D87" s="5">
        <v>123.8</v>
      </c>
      <c r="E87" s="5">
        <v>129.69999999999999</v>
      </c>
      <c r="F87" s="5">
        <v>111.3</v>
      </c>
      <c r="G87" s="5">
        <v>126.6</v>
      </c>
      <c r="H87" s="5">
        <v>105.2</v>
      </c>
      <c r="I87" s="5">
        <v>130.80000000000001</v>
      </c>
      <c r="J87" s="5">
        <v>135.6</v>
      </c>
      <c r="K87" s="5">
        <v>142.6</v>
      </c>
      <c r="L87" s="5">
        <v>90.8</v>
      </c>
      <c r="M87" s="5">
        <v>128.80000000000001</v>
      </c>
      <c r="N87" s="5">
        <v>117.7</v>
      </c>
      <c r="O87" s="5">
        <v>129.9</v>
      </c>
      <c r="P87" s="5">
        <v>126.1</v>
      </c>
      <c r="Q87" s="5">
        <v>131.30000000000001</v>
      </c>
      <c r="R87" s="5">
        <v>122.4</v>
      </c>
      <c r="S87" s="5">
        <v>117.4</v>
      </c>
      <c r="T87" s="5">
        <v>121.6</v>
      </c>
      <c r="U87" s="5">
        <v>119.6</v>
      </c>
      <c r="V87" s="5">
        <v>114.9</v>
      </c>
      <c r="W87" s="5">
        <v>118.7</v>
      </c>
      <c r="X87" s="5">
        <v>114.9</v>
      </c>
      <c r="Y87" s="5">
        <v>110.8</v>
      </c>
      <c r="Z87" s="5">
        <v>116</v>
      </c>
      <c r="AA87" s="5">
        <v>122</v>
      </c>
      <c r="AB87" s="5">
        <v>112.4</v>
      </c>
      <c r="AC87" s="5">
        <v>115.2</v>
      </c>
      <c r="AD87" s="6">
        <v>120.7</v>
      </c>
    </row>
    <row r="88" spans="1:30">
      <c r="A88" s="4" t="s">
        <v>69</v>
      </c>
      <c r="B88" s="5">
        <v>2015</v>
      </c>
      <c r="C88" s="5" t="s">
        <v>73</v>
      </c>
      <c r="D88" s="5">
        <v>123.6</v>
      </c>
      <c r="E88" s="5">
        <v>128</v>
      </c>
      <c r="F88" s="5">
        <v>115</v>
      </c>
      <c r="G88" s="5">
        <v>127.3</v>
      </c>
      <c r="H88" s="5">
        <v>109.8</v>
      </c>
      <c r="I88" s="5">
        <v>132.6</v>
      </c>
      <c r="J88" s="5">
        <v>130.9</v>
      </c>
      <c r="K88" s="5">
        <v>130.5</v>
      </c>
      <c r="L88" s="5">
        <v>95.3</v>
      </c>
      <c r="M88" s="5">
        <v>123.4</v>
      </c>
      <c r="N88" s="5">
        <v>119.2</v>
      </c>
      <c r="O88" s="5">
        <v>129.80000000000001</v>
      </c>
      <c r="P88" s="5">
        <v>125</v>
      </c>
      <c r="Q88" s="5">
        <v>127.9</v>
      </c>
      <c r="R88" s="5">
        <v>125.4</v>
      </c>
      <c r="S88" s="5">
        <v>121.3</v>
      </c>
      <c r="T88" s="5">
        <v>124.7</v>
      </c>
      <c r="U88" s="5">
        <v>119.6</v>
      </c>
      <c r="V88" s="5">
        <v>119.2</v>
      </c>
      <c r="W88" s="5">
        <v>120.2</v>
      </c>
      <c r="X88" s="5">
        <v>117.7</v>
      </c>
      <c r="Y88" s="5">
        <v>112</v>
      </c>
      <c r="Z88" s="5">
        <v>116.3</v>
      </c>
      <c r="AA88" s="5">
        <v>121.4</v>
      </c>
      <c r="AB88" s="5">
        <v>112.3</v>
      </c>
      <c r="AC88" s="5">
        <v>116.1</v>
      </c>
      <c r="AD88" s="6">
        <v>121.6</v>
      </c>
    </row>
    <row r="89" spans="1:30">
      <c r="A89" s="4" t="s">
        <v>65</v>
      </c>
      <c r="B89" s="5">
        <v>2015</v>
      </c>
      <c r="C89" s="5" t="s">
        <v>74</v>
      </c>
      <c r="D89" s="5">
        <v>124.1</v>
      </c>
      <c r="E89" s="5">
        <v>130.4</v>
      </c>
      <c r="F89" s="5">
        <v>122.1</v>
      </c>
      <c r="G89" s="5">
        <v>128.69999999999999</v>
      </c>
      <c r="H89" s="5">
        <v>114.1</v>
      </c>
      <c r="I89" s="5">
        <v>133.19999999999999</v>
      </c>
      <c r="J89" s="5">
        <v>135.19999999999999</v>
      </c>
      <c r="K89" s="5">
        <v>131.9</v>
      </c>
      <c r="L89" s="5">
        <v>96.3</v>
      </c>
      <c r="M89" s="5">
        <v>123</v>
      </c>
      <c r="N89" s="5">
        <v>121.1</v>
      </c>
      <c r="O89" s="5">
        <v>131.19999999999999</v>
      </c>
      <c r="P89" s="5">
        <v>126.6</v>
      </c>
      <c r="Q89" s="5">
        <v>128.19999999999999</v>
      </c>
      <c r="R89" s="5">
        <v>128.4</v>
      </c>
      <c r="S89" s="5">
        <v>125.1</v>
      </c>
      <c r="T89" s="5">
        <v>128</v>
      </c>
      <c r="U89" s="5" t="s">
        <v>67</v>
      </c>
      <c r="V89" s="5">
        <v>122.6</v>
      </c>
      <c r="W89" s="5">
        <v>122.8</v>
      </c>
      <c r="X89" s="5">
        <v>120.4</v>
      </c>
      <c r="Y89" s="5">
        <v>114.2</v>
      </c>
      <c r="Z89" s="5">
        <v>117.9</v>
      </c>
      <c r="AA89" s="5">
        <v>122</v>
      </c>
      <c r="AB89" s="5">
        <v>113</v>
      </c>
      <c r="AC89" s="5">
        <v>117.9</v>
      </c>
      <c r="AD89" s="6">
        <v>124.1</v>
      </c>
    </row>
    <row r="90" spans="1:30">
      <c r="A90" s="4" t="s">
        <v>68</v>
      </c>
      <c r="B90" s="5">
        <v>2015</v>
      </c>
      <c r="C90" s="5" t="s">
        <v>74</v>
      </c>
      <c r="D90" s="5">
        <v>123.6</v>
      </c>
      <c r="E90" s="5">
        <v>134.4</v>
      </c>
      <c r="F90" s="5">
        <v>120.9</v>
      </c>
      <c r="G90" s="5">
        <v>127.3</v>
      </c>
      <c r="H90" s="5">
        <v>106</v>
      </c>
      <c r="I90" s="5">
        <v>132.30000000000001</v>
      </c>
      <c r="J90" s="5">
        <v>146.69999999999999</v>
      </c>
      <c r="K90" s="5">
        <v>148.1</v>
      </c>
      <c r="L90" s="5">
        <v>89.8</v>
      </c>
      <c r="M90" s="5">
        <v>130.5</v>
      </c>
      <c r="N90" s="5">
        <v>118</v>
      </c>
      <c r="O90" s="5">
        <v>130.5</v>
      </c>
      <c r="P90" s="5">
        <v>128.5</v>
      </c>
      <c r="Q90" s="5">
        <v>132.1</v>
      </c>
      <c r="R90" s="5">
        <v>123.2</v>
      </c>
      <c r="S90" s="5">
        <v>117.6</v>
      </c>
      <c r="T90" s="5">
        <v>122.3</v>
      </c>
      <c r="U90" s="5">
        <v>119</v>
      </c>
      <c r="V90" s="5">
        <v>115.1</v>
      </c>
      <c r="W90" s="5">
        <v>119.2</v>
      </c>
      <c r="X90" s="5">
        <v>115.4</v>
      </c>
      <c r="Y90" s="5">
        <v>111.7</v>
      </c>
      <c r="Z90" s="5">
        <v>116.2</v>
      </c>
      <c r="AA90" s="5">
        <v>123.8</v>
      </c>
      <c r="AB90" s="5">
        <v>112.5</v>
      </c>
      <c r="AC90" s="5">
        <v>116</v>
      </c>
      <c r="AD90" s="6">
        <v>121.7</v>
      </c>
    </row>
    <row r="91" spans="1:30">
      <c r="A91" s="4" t="s">
        <v>69</v>
      </c>
      <c r="B91" s="5">
        <v>2015</v>
      </c>
      <c r="C91" s="5" t="s">
        <v>74</v>
      </c>
      <c r="D91" s="5">
        <v>123.9</v>
      </c>
      <c r="E91" s="5">
        <v>131.80000000000001</v>
      </c>
      <c r="F91" s="5">
        <v>121.6</v>
      </c>
      <c r="G91" s="5">
        <v>128.19999999999999</v>
      </c>
      <c r="H91" s="5">
        <v>111.1</v>
      </c>
      <c r="I91" s="5">
        <v>132.80000000000001</v>
      </c>
      <c r="J91" s="5">
        <v>139.1</v>
      </c>
      <c r="K91" s="5">
        <v>137.4</v>
      </c>
      <c r="L91" s="5">
        <v>94.1</v>
      </c>
      <c r="M91" s="5">
        <v>125.5</v>
      </c>
      <c r="N91" s="5">
        <v>119.8</v>
      </c>
      <c r="O91" s="5">
        <v>130.9</v>
      </c>
      <c r="P91" s="5">
        <v>127.3</v>
      </c>
      <c r="Q91" s="5">
        <v>129.19999999999999</v>
      </c>
      <c r="R91" s="5">
        <v>126.4</v>
      </c>
      <c r="S91" s="5">
        <v>122</v>
      </c>
      <c r="T91" s="5">
        <v>125.7</v>
      </c>
      <c r="U91" s="5">
        <v>119</v>
      </c>
      <c r="V91" s="5">
        <v>119.8</v>
      </c>
      <c r="W91" s="5">
        <v>121.1</v>
      </c>
      <c r="X91" s="5">
        <v>118.5</v>
      </c>
      <c r="Y91" s="5">
        <v>112.9</v>
      </c>
      <c r="Z91" s="5">
        <v>116.9</v>
      </c>
      <c r="AA91" s="5">
        <v>123.1</v>
      </c>
      <c r="AB91" s="5">
        <v>112.8</v>
      </c>
      <c r="AC91" s="5">
        <v>117</v>
      </c>
      <c r="AD91" s="6">
        <v>123</v>
      </c>
    </row>
    <row r="92" spans="1:30">
      <c r="A92" s="4" t="s">
        <v>65</v>
      </c>
      <c r="B92" s="5">
        <v>2015</v>
      </c>
      <c r="C92" s="5" t="s">
        <v>75</v>
      </c>
      <c r="D92" s="5">
        <v>124</v>
      </c>
      <c r="E92" s="5">
        <v>131.5</v>
      </c>
      <c r="F92" s="5">
        <v>122</v>
      </c>
      <c r="G92" s="5">
        <v>128.69999999999999</v>
      </c>
      <c r="H92" s="5">
        <v>113.5</v>
      </c>
      <c r="I92" s="5">
        <v>133.30000000000001</v>
      </c>
      <c r="J92" s="5">
        <v>140.80000000000001</v>
      </c>
      <c r="K92" s="5">
        <v>133.80000000000001</v>
      </c>
      <c r="L92" s="5">
        <v>94.1</v>
      </c>
      <c r="M92" s="5">
        <v>123.4</v>
      </c>
      <c r="N92" s="5">
        <v>121</v>
      </c>
      <c r="O92" s="5">
        <v>131.69999999999999</v>
      </c>
      <c r="P92" s="5">
        <v>127.5</v>
      </c>
      <c r="Q92" s="5">
        <v>129.4</v>
      </c>
      <c r="R92" s="5">
        <v>128.80000000000001</v>
      </c>
      <c r="S92" s="5">
        <v>125.5</v>
      </c>
      <c r="T92" s="5">
        <v>128.30000000000001</v>
      </c>
      <c r="U92" s="5" t="s">
        <v>67</v>
      </c>
      <c r="V92" s="5">
        <v>123</v>
      </c>
      <c r="W92" s="5">
        <v>123</v>
      </c>
      <c r="X92" s="5">
        <v>120.8</v>
      </c>
      <c r="Y92" s="5">
        <v>114.1</v>
      </c>
      <c r="Z92" s="5">
        <v>118</v>
      </c>
      <c r="AA92" s="5">
        <v>122.9</v>
      </c>
      <c r="AB92" s="5">
        <v>112.7</v>
      </c>
      <c r="AC92" s="5">
        <v>118.1</v>
      </c>
      <c r="AD92" s="6">
        <v>124.7</v>
      </c>
    </row>
    <row r="93" spans="1:30">
      <c r="A93" s="4" t="s">
        <v>68</v>
      </c>
      <c r="B93" s="5">
        <v>2015</v>
      </c>
      <c r="C93" s="5" t="s">
        <v>75</v>
      </c>
      <c r="D93" s="5">
        <v>123.2</v>
      </c>
      <c r="E93" s="5">
        <v>134.30000000000001</v>
      </c>
      <c r="F93" s="5">
        <v>119.5</v>
      </c>
      <c r="G93" s="5">
        <v>127.7</v>
      </c>
      <c r="H93" s="5">
        <v>106.3</v>
      </c>
      <c r="I93" s="5">
        <v>132.80000000000001</v>
      </c>
      <c r="J93" s="5">
        <v>153.5</v>
      </c>
      <c r="K93" s="5">
        <v>149.5</v>
      </c>
      <c r="L93" s="5">
        <v>85.7</v>
      </c>
      <c r="M93" s="5">
        <v>131.5</v>
      </c>
      <c r="N93" s="5">
        <v>118.3</v>
      </c>
      <c r="O93" s="5">
        <v>131.1</v>
      </c>
      <c r="P93" s="5">
        <v>129.5</v>
      </c>
      <c r="Q93" s="5">
        <v>133.1</v>
      </c>
      <c r="R93" s="5">
        <v>123.5</v>
      </c>
      <c r="S93" s="5">
        <v>117.9</v>
      </c>
      <c r="T93" s="5">
        <v>122.7</v>
      </c>
      <c r="U93" s="5">
        <v>119.9</v>
      </c>
      <c r="V93" s="5">
        <v>115.3</v>
      </c>
      <c r="W93" s="5">
        <v>119.5</v>
      </c>
      <c r="X93" s="5">
        <v>116</v>
      </c>
      <c r="Y93" s="5">
        <v>111.5</v>
      </c>
      <c r="Z93" s="5">
        <v>116.6</v>
      </c>
      <c r="AA93" s="5">
        <v>125.4</v>
      </c>
      <c r="AB93" s="5">
        <v>111.7</v>
      </c>
      <c r="AC93" s="5">
        <v>116.3</v>
      </c>
      <c r="AD93" s="6">
        <v>122.4</v>
      </c>
    </row>
    <row r="94" spans="1:30">
      <c r="A94" s="4" t="s">
        <v>69</v>
      </c>
      <c r="B94" s="5">
        <v>2015</v>
      </c>
      <c r="C94" s="5" t="s">
        <v>75</v>
      </c>
      <c r="D94" s="5">
        <v>123.7</v>
      </c>
      <c r="E94" s="5">
        <v>132.5</v>
      </c>
      <c r="F94" s="5">
        <v>121</v>
      </c>
      <c r="G94" s="5">
        <v>128.30000000000001</v>
      </c>
      <c r="H94" s="5">
        <v>110.9</v>
      </c>
      <c r="I94" s="5">
        <v>133.1</v>
      </c>
      <c r="J94" s="5">
        <v>145.1</v>
      </c>
      <c r="K94" s="5">
        <v>139.1</v>
      </c>
      <c r="L94" s="5">
        <v>91.3</v>
      </c>
      <c r="M94" s="5">
        <v>126.1</v>
      </c>
      <c r="N94" s="5">
        <v>119.9</v>
      </c>
      <c r="O94" s="5">
        <v>131.4</v>
      </c>
      <c r="P94" s="5">
        <v>128.19999999999999</v>
      </c>
      <c r="Q94" s="5">
        <v>130.4</v>
      </c>
      <c r="R94" s="5">
        <v>126.7</v>
      </c>
      <c r="S94" s="5">
        <v>122.3</v>
      </c>
      <c r="T94" s="5">
        <v>126.1</v>
      </c>
      <c r="U94" s="5">
        <v>119.9</v>
      </c>
      <c r="V94" s="5">
        <v>120.1</v>
      </c>
      <c r="W94" s="5">
        <v>121.3</v>
      </c>
      <c r="X94" s="5">
        <v>119</v>
      </c>
      <c r="Y94" s="5">
        <v>112.7</v>
      </c>
      <c r="Z94" s="5">
        <v>117.2</v>
      </c>
      <c r="AA94" s="5">
        <v>124.4</v>
      </c>
      <c r="AB94" s="5">
        <v>112.3</v>
      </c>
      <c r="AC94" s="5">
        <v>117.2</v>
      </c>
      <c r="AD94" s="6">
        <v>123.6</v>
      </c>
    </row>
    <row r="95" spans="1:30">
      <c r="A95" s="4" t="s">
        <v>65</v>
      </c>
      <c r="B95" s="5">
        <v>2015</v>
      </c>
      <c r="C95" s="5" t="s">
        <v>76</v>
      </c>
      <c r="D95" s="5">
        <v>124.7</v>
      </c>
      <c r="E95" s="5">
        <v>131.30000000000001</v>
      </c>
      <c r="F95" s="5">
        <v>121.3</v>
      </c>
      <c r="G95" s="5">
        <v>128.80000000000001</v>
      </c>
      <c r="H95" s="5">
        <v>114</v>
      </c>
      <c r="I95" s="5">
        <v>134.19999999999999</v>
      </c>
      <c r="J95" s="5">
        <v>153.6</v>
      </c>
      <c r="K95" s="5">
        <v>137.9</v>
      </c>
      <c r="L95" s="5">
        <v>93.1</v>
      </c>
      <c r="M95" s="5">
        <v>123.9</v>
      </c>
      <c r="N95" s="5">
        <v>121.5</v>
      </c>
      <c r="O95" s="5">
        <v>132.5</v>
      </c>
      <c r="P95" s="5">
        <v>129.80000000000001</v>
      </c>
      <c r="Q95" s="5">
        <v>130.1</v>
      </c>
      <c r="R95" s="5">
        <v>129.5</v>
      </c>
      <c r="S95" s="5">
        <v>126.3</v>
      </c>
      <c r="T95" s="5">
        <v>129</v>
      </c>
      <c r="U95" s="5" t="s">
        <v>67</v>
      </c>
      <c r="V95" s="5">
        <v>123.8</v>
      </c>
      <c r="W95" s="5">
        <v>123.7</v>
      </c>
      <c r="X95" s="5">
        <v>121.1</v>
      </c>
      <c r="Y95" s="5">
        <v>113.6</v>
      </c>
      <c r="Z95" s="5">
        <v>118.5</v>
      </c>
      <c r="AA95" s="5">
        <v>123.6</v>
      </c>
      <c r="AB95" s="5">
        <v>112.5</v>
      </c>
      <c r="AC95" s="5">
        <v>118.2</v>
      </c>
      <c r="AD95" s="6">
        <v>126.1</v>
      </c>
    </row>
    <row r="96" spans="1:30">
      <c r="A96" s="4" t="s">
        <v>68</v>
      </c>
      <c r="B96" s="5">
        <v>2015</v>
      </c>
      <c r="C96" s="5" t="s">
        <v>76</v>
      </c>
      <c r="D96" s="5">
        <v>123.1</v>
      </c>
      <c r="E96" s="5">
        <v>131.69999999999999</v>
      </c>
      <c r="F96" s="5">
        <v>118.1</v>
      </c>
      <c r="G96" s="5">
        <v>128</v>
      </c>
      <c r="H96" s="5">
        <v>106.8</v>
      </c>
      <c r="I96" s="5">
        <v>130.1</v>
      </c>
      <c r="J96" s="5">
        <v>165.5</v>
      </c>
      <c r="K96" s="5">
        <v>156</v>
      </c>
      <c r="L96" s="5">
        <v>85.3</v>
      </c>
      <c r="M96" s="5">
        <v>132.69999999999999</v>
      </c>
      <c r="N96" s="5">
        <v>118.8</v>
      </c>
      <c r="O96" s="5">
        <v>131.69999999999999</v>
      </c>
      <c r="P96" s="5">
        <v>131.1</v>
      </c>
      <c r="Q96" s="5">
        <v>134.19999999999999</v>
      </c>
      <c r="R96" s="5">
        <v>123.7</v>
      </c>
      <c r="S96" s="5">
        <v>118.2</v>
      </c>
      <c r="T96" s="5">
        <v>122.9</v>
      </c>
      <c r="U96" s="5">
        <v>120.9</v>
      </c>
      <c r="V96" s="5">
        <v>115.3</v>
      </c>
      <c r="W96" s="5">
        <v>120</v>
      </c>
      <c r="X96" s="5">
        <v>116.6</v>
      </c>
      <c r="Y96" s="5">
        <v>109.9</v>
      </c>
      <c r="Z96" s="5">
        <v>117.2</v>
      </c>
      <c r="AA96" s="5">
        <v>126.2</v>
      </c>
      <c r="AB96" s="5">
        <v>112</v>
      </c>
      <c r="AC96" s="5">
        <v>116.2</v>
      </c>
      <c r="AD96" s="6">
        <v>123.2</v>
      </c>
    </row>
    <row r="97" spans="1:30">
      <c r="A97" s="4" t="s">
        <v>69</v>
      </c>
      <c r="B97" s="5">
        <v>2015</v>
      </c>
      <c r="C97" s="5" t="s">
        <v>76</v>
      </c>
      <c r="D97" s="5">
        <v>124.2</v>
      </c>
      <c r="E97" s="5">
        <v>131.4</v>
      </c>
      <c r="F97" s="5">
        <v>120.1</v>
      </c>
      <c r="G97" s="5">
        <v>128.5</v>
      </c>
      <c r="H97" s="5">
        <v>111.4</v>
      </c>
      <c r="I97" s="5">
        <v>132.30000000000001</v>
      </c>
      <c r="J97" s="5">
        <v>157.6</v>
      </c>
      <c r="K97" s="5">
        <v>144</v>
      </c>
      <c r="L97" s="5">
        <v>90.5</v>
      </c>
      <c r="M97" s="5">
        <v>126.8</v>
      </c>
      <c r="N97" s="5">
        <v>120.4</v>
      </c>
      <c r="O97" s="5">
        <v>132.1</v>
      </c>
      <c r="P97" s="5">
        <v>130.30000000000001</v>
      </c>
      <c r="Q97" s="5">
        <v>131.19999999999999</v>
      </c>
      <c r="R97" s="5">
        <v>127.2</v>
      </c>
      <c r="S97" s="5">
        <v>122.9</v>
      </c>
      <c r="T97" s="5">
        <v>126.6</v>
      </c>
      <c r="U97" s="5">
        <v>120.9</v>
      </c>
      <c r="V97" s="5">
        <v>120.6</v>
      </c>
      <c r="W97" s="5">
        <v>122</v>
      </c>
      <c r="X97" s="5">
        <v>119.4</v>
      </c>
      <c r="Y97" s="5">
        <v>111.7</v>
      </c>
      <c r="Z97" s="5">
        <v>117.8</v>
      </c>
      <c r="AA97" s="5">
        <v>125.1</v>
      </c>
      <c r="AB97" s="5">
        <v>112.3</v>
      </c>
      <c r="AC97" s="5">
        <v>117.2</v>
      </c>
      <c r="AD97" s="6">
        <v>124.8</v>
      </c>
    </row>
    <row r="98" spans="1:30">
      <c r="A98" s="4" t="s">
        <v>65</v>
      </c>
      <c r="B98" s="5">
        <v>2015</v>
      </c>
      <c r="C98" s="5" t="s">
        <v>77</v>
      </c>
      <c r="D98" s="5">
        <v>125.1</v>
      </c>
      <c r="E98" s="5">
        <v>131.1</v>
      </c>
      <c r="F98" s="5">
        <v>120.7</v>
      </c>
      <c r="G98" s="5">
        <v>129.19999999999999</v>
      </c>
      <c r="H98" s="5">
        <v>114.7</v>
      </c>
      <c r="I98" s="5">
        <v>132.30000000000001</v>
      </c>
      <c r="J98" s="5">
        <v>158.9</v>
      </c>
      <c r="K98" s="5">
        <v>142.1</v>
      </c>
      <c r="L98" s="5">
        <v>92.5</v>
      </c>
      <c r="M98" s="5">
        <v>125.4</v>
      </c>
      <c r="N98" s="5">
        <v>121.9</v>
      </c>
      <c r="O98" s="5">
        <v>132.69999999999999</v>
      </c>
      <c r="P98" s="5">
        <v>131</v>
      </c>
      <c r="Q98" s="5">
        <v>131</v>
      </c>
      <c r="R98" s="5">
        <v>130.4</v>
      </c>
      <c r="S98" s="5">
        <v>126.8</v>
      </c>
      <c r="T98" s="5">
        <v>129.9</v>
      </c>
      <c r="U98" s="5" t="s">
        <v>67</v>
      </c>
      <c r="V98" s="5">
        <v>123.7</v>
      </c>
      <c r="W98" s="5">
        <v>124.5</v>
      </c>
      <c r="X98" s="5">
        <v>121.4</v>
      </c>
      <c r="Y98" s="5">
        <v>113.8</v>
      </c>
      <c r="Z98" s="5">
        <v>119.6</v>
      </c>
      <c r="AA98" s="5">
        <v>124.5</v>
      </c>
      <c r="AB98" s="5">
        <v>113.7</v>
      </c>
      <c r="AC98" s="5">
        <v>118.8</v>
      </c>
      <c r="AD98" s="6">
        <v>127</v>
      </c>
    </row>
    <row r="99" spans="1:30">
      <c r="A99" s="4" t="s">
        <v>68</v>
      </c>
      <c r="B99" s="5">
        <v>2015</v>
      </c>
      <c r="C99" s="5" t="s">
        <v>77</v>
      </c>
      <c r="D99" s="5">
        <v>123.4</v>
      </c>
      <c r="E99" s="5">
        <v>129</v>
      </c>
      <c r="F99" s="5">
        <v>115.6</v>
      </c>
      <c r="G99" s="5">
        <v>128.30000000000001</v>
      </c>
      <c r="H99" s="5">
        <v>107</v>
      </c>
      <c r="I99" s="5">
        <v>124</v>
      </c>
      <c r="J99" s="5">
        <v>168.5</v>
      </c>
      <c r="K99" s="5">
        <v>165.4</v>
      </c>
      <c r="L99" s="5">
        <v>86.3</v>
      </c>
      <c r="M99" s="5">
        <v>134.4</v>
      </c>
      <c r="N99" s="5">
        <v>119.1</v>
      </c>
      <c r="O99" s="5">
        <v>132.30000000000001</v>
      </c>
      <c r="P99" s="5">
        <v>131.5</v>
      </c>
      <c r="Q99" s="5">
        <v>134.69999999999999</v>
      </c>
      <c r="R99" s="5">
        <v>124</v>
      </c>
      <c r="S99" s="5">
        <v>118.6</v>
      </c>
      <c r="T99" s="5">
        <v>123.2</v>
      </c>
      <c r="U99" s="5">
        <v>121.6</v>
      </c>
      <c r="V99" s="5">
        <v>115.1</v>
      </c>
      <c r="W99" s="5">
        <v>120.4</v>
      </c>
      <c r="X99" s="5">
        <v>117.1</v>
      </c>
      <c r="Y99" s="5">
        <v>109.1</v>
      </c>
      <c r="Z99" s="5">
        <v>117.3</v>
      </c>
      <c r="AA99" s="5">
        <v>126.5</v>
      </c>
      <c r="AB99" s="5">
        <v>112.9</v>
      </c>
      <c r="AC99" s="5">
        <v>116.2</v>
      </c>
      <c r="AD99" s="6">
        <v>123.5</v>
      </c>
    </row>
    <row r="100" spans="1:30">
      <c r="A100" s="4" t="s">
        <v>69</v>
      </c>
      <c r="B100" s="5">
        <v>2015</v>
      </c>
      <c r="C100" s="5" t="s">
        <v>77</v>
      </c>
      <c r="D100" s="5">
        <v>124.6</v>
      </c>
      <c r="E100" s="5">
        <v>130.4</v>
      </c>
      <c r="F100" s="5">
        <v>118.7</v>
      </c>
      <c r="G100" s="5">
        <v>128.9</v>
      </c>
      <c r="H100" s="5">
        <v>111.9</v>
      </c>
      <c r="I100" s="5">
        <v>128.4</v>
      </c>
      <c r="J100" s="5">
        <v>162.19999999999999</v>
      </c>
      <c r="K100" s="5">
        <v>150</v>
      </c>
      <c r="L100" s="5">
        <v>90.4</v>
      </c>
      <c r="M100" s="5">
        <v>128.4</v>
      </c>
      <c r="N100" s="5">
        <v>120.7</v>
      </c>
      <c r="O100" s="5">
        <v>132.5</v>
      </c>
      <c r="P100" s="5">
        <v>131.19999999999999</v>
      </c>
      <c r="Q100" s="5">
        <v>132</v>
      </c>
      <c r="R100" s="5">
        <v>127.9</v>
      </c>
      <c r="S100" s="5">
        <v>123.4</v>
      </c>
      <c r="T100" s="5">
        <v>127.2</v>
      </c>
      <c r="U100" s="5">
        <v>121.6</v>
      </c>
      <c r="V100" s="5">
        <v>120.4</v>
      </c>
      <c r="W100" s="5">
        <v>122.6</v>
      </c>
      <c r="X100" s="5">
        <v>119.8</v>
      </c>
      <c r="Y100" s="5">
        <v>111.3</v>
      </c>
      <c r="Z100" s="5">
        <v>118.3</v>
      </c>
      <c r="AA100" s="5">
        <v>125.7</v>
      </c>
      <c r="AB100" s="5">
        <v>113.4</v>
      </c>
      <c r="AC100" s="5">
        <v>117.5</v>
      </c>
      <c r="AD100" s="6">
        <v>125.4</v>
      </c>
    </row>
    <row r="101" spans="1:30">
      <c r="A101" s="4" t="s">
        <v>65</v>
      </c>
      <c r="B101" s="5">
        <v>2015</v>
      </c>
      <c r="C101" s="5" t="s">
        <v>78</v>
      </c>
      <c r="D101" s="5">
        <v>125.6</v>
      </c>
      <c r="E101" s="5">
        <v>130.4</v>
      </c>
      <c r="F101" s="5">
        <v>120.8</v>
      </c>
      <c r="G101" s="5">
        <v>129.4</v>
      </c>
      <c r="H101" s="5">
        <v>115.8</v>
      </c>
      <c r="I101" s="5">
        <v>133.19999999999999</v>
      </c>
      <c r="J101" s="5">
        <v>157.69999999999999</v>
      </c>
      <c r="K101" s="5">
        <v>154.19999999999999</v>
      </c>
      <c r="L101" s="5">
        <v>93.7</v>
      </c>
      <c r="M101" s="5">
        <v>126.6</v>
      </c>
      <c r="N101" s="5">
        <v>122.3</v>
      </c>
      <c r="O101" s="5">
        <v>133.1</v>
      </c>
      <c r="P101" s="5">
        <v>131.80000000000001</v>
      </c>
      <c r="Q101" s="5">
        <v>131.5</v>
      </c>
      <c r="R101" s="5">
        <v>131.1</v>
      </c>
      <c r="S101" s="5">
        <v>127.3</v>
      </c>
      <c r="T101" s="5">
        <v>130.6</v>
      </c>
      <c r="U101" s="5" t="s">
        <v>67</v>
      </c>
      <c r="V101" s="5">
        <v>124.4</v>
      </c>
      <c r="W101" s="5">
        <v>125.1</v>
      </c>
      <c r="X101" s="5">
        <v>122</v>
      </c>
      <c r="Y101" s="5">
        <v>113.8</v>
      </c>
      <c r="Z101" s="5">
        <v>120.1</v>
      </c>
      <c r="AA101" s="5">
        <v>125.1</v>
      </c>
      <c r="AB101" s="5">
        <v>114.2</v>
      </c>
      <c r="AC101" s="5">
        <v>119.2</v>
      </c>
      <c r="AD101" s="6">
        <v>127.7</v>
      </c>
    </row>
    <row r="102" spans="1:30">
      <c r="A102" s="4" t="s">
        <v>68</v>
      </c>
      <c r="B102" s="5">
        <v>2015</v>
      </c>
      <c r="C102" s="5" t="s">
        <v>78</v>
      </c>
      <c r="D102" s="5">
        <v>123.6</v>
      </c>
      <c r="E102" s="5">
        <v>128.6</v>
      </c>
      <c r="F102" s="5">
        <v>115.9</v>
      </c>
      <c r="G102" s="5">
        <v>128.5</v>
      </c>
      <c r="H102" s="5">
        <v>109</v>
      </c>
      <c r="I102" s="5">
        <v>124.1</v>
      </c>
      <c r="J102" s="5">
        <v>165.8</v>
      </c>
      <c r="K102" s="5">
        <v>187.2</v>
      </c>
      <c r="L102" s="5">
        <v>89.4</v>
      </c>
      <c r="M102" s="5">
        <v>135.80000000000001</v>
      </c>
      <c r="N102" s="5">
        <v>119.4</v>
      </c>
      <c r="O102" s="5">
        <v>132.9</v>
      </c>
      <c r="P102" s="5">
        <v>132.6</v>
      </c>
      <c r="Q102" s="5">
        <v>135.30000000000001</v>
      </c>
      <c r="R102" s="5">
        <v>124.4</v>
      </c>
      <c r="S102" s="5">
        <v>118.8</v>
      </c>
      <c r="T102" s="5">
        <v>123.6</v>
      </c>
      <c r="U102" s="5">
        <v>122.4</v>
      </c>
      <c r="V102" s="5">
        <v>114.9</v>
      </c>
      <c r="W102" s="5">
        <v>120.7</v>
      </c>
      <c r="X102" s="5">
        <v>117.7</v>
      </c>
      <c r="Y102" s="5">
        <v>109.3</v>
      </c>
      <c r="Z102" s="5">
        <v>117.7</v>
      </c>
      <c r="AA102" s="5">
        <v>126.5</v>
      </c>
      <c r="AB102" s="5">
        <v>113.5</v>
      </c>
      <c r="AC102" s="5">
        <v>116.5</v>
      </c>
      <c r="AD102" s="6">
        <v>124.2</v>
      </c>
    </row>
    <row r="103" spans="1:30">
      <c r="A103" s="4" t="s">
        <v>69</v>
      </c>
      <c r="B103" s="5">
        <v>2015</v>
      </c>
      <c r="C103" s="5" t="s">
        <v>78</v>
      </c>
      <c r="D103" s="5">
        <v>125</v>
      </c>
      <c r="E103" s="5">
        <v>129.80000000000001</v>
      </c>
      <c r="F103" s="5">
        <v>118.9</v>
      </c>
      <c r="G103" s="5">
        <v>129.1</v>
      </c>
      <c r="H103" s="5">
        <v>113.3</v>
      </c>
      <c r="I103" s="5">
        <v>129</v>
      </c>
      <c r="J103" s="5">
        <v>160.4</v>
      </c>
      <c r="K103" s="5">
        <v>165.3</v>
      </c>
      <c r="L103" s="5">
        <v>92.3</v>
      </c>
      <c r="M103" s="5">
        <v>129.69999999999999</v>
      </c>
      <c r="N103" s="5">
        <v>121.1</v>
      </c>
      <c r="O103" s="5">
        <v>133</v>
      </c>
      <c r="P103" s="5">
        <v>132.1</v>
      </c>
      <c r="Q103" s="5">
        <v>132.5</v>
      </c>
      <c r="R103" s="5">
        <v>128.5</v>
      </c>
      <c r="S103" s="5">
        <v>123.8</v>
      </c>
      <c r="T103" s="5">
        <v>127.8</v>
      </c>
      <c r="U103" s="5">
        <v>122.4</v>
      </c>
      <c r="V103" s="5">
        <v>120.8</v>
      </c>
      <c r="W103" s="5">
        <v>123</v>
      </c>
      <c r="X103" s="5">
        <v>120.4</v>
      </c>
      <c r="Y103" s="5">
        <v>111.4</v>
      </c>
      <c r="Z103" s="5">
        <v>118.7</v>
      </c>
      <c r="AA103" s="5">
        <v>125.9</v>
      </c>
      <c r="AB103" s="5">
        <v>113.9</v>
      </c>
      <c r="AC103" s="5">
        <v>117.9</v>
      </c>
      <c r="AD103" s="6">
        <v>126.1</v>
      </c>
    </row>
    <row r="104" spans="1:30">
      <c r="A104" s="4" t="s">
        <v>65</v>
      </c>
      <c r="B104" s="5">
        <v>2015</v>
      </c>
      <c r="C104" s="5" t="s">
        <v>79</v>
      </c>
      <c r="D104" s="5">
        <v>126.1</v>
      </c>
      <c r="E104" s="5">
        <v>130.6</v>
      </c>
      <c r="F104" s="5">
        <v>121.7</v>
      </c>
      <c r="G104" s="5">
        <v>129.5</v>
      </c>
      <c r="H104" s="5">
        <v>117.8</v>
      </c>
      <c r="I104" s="5">
        <v>132.1</v>
      </c>
      <c r="J104" s="5">
        <v>155.19999999999999</v>
      </c>
      <c r="K104" s="5">
        <v>160.80000000000001</v>
      </c>
      <c r="L104" s="5">
        <v>94.5</v>
      </c>
      <c r="M104" s="5">
        <v>128.30000000000001</v>
      </c>
      <c r="N104" s="5">
        <v>123.1</v>
      </c>
      <c r="O104" s="5">
        <v>134.19999999999999</v>
      </c>
      <c r="P104" s="5">
        <v>132.4</v>
      </c>
      <c r="Q104" s="5">
        <v>132.19999999999999</v>
      </c>
      <c r="R104" s="5">
        <v>132.1</v>
      </c>
      <c r="S104" s="5">
        <v>128.19999999999999</v>
      </c>
      <c r="T104" s="5">
        <v>131.5</v>
      </c>
      <c r="U104" s="5" t="s">
        <v>67</v>
      </c>
      <c r="V104" s="5">
        <v>125.6</v>
      </c>
      <c r="W104" s="5">
        <v>125.6</v>
      </c>
      <c r="X104" s="5">
        <v>122.6</v>
      </c>
      <c r="Y104" s="5">
        <v>114</v>
      </c>
      <c r="Z104" s="5">
        <v>120.9</v>
      </c>
      <c r="AA104" s="5">
        <v>125.8</v>
      </c>
      <c r="AB104" s="5">
        <v>114.2</v>
      </c>
      <c r="AC104" s="5">
        <v>119.6</v>
      </c>
      <c r="AD104" s="6">
        <v>128.30000000000001</v>
      </c>
    </row>
    <row r="105" spans="1:30">
      <c r="A105" s="4" t="s">
        <v>68</v>
      </c>
      <c r="B105" s="5">
        <v>2015</v>
      </c>
      <c r="C105" s="5" t="s">
        <v>79</v>
      </c>
      <c r="D105" s="5">
        <v>124</v>
      </c>
      <c r="E105" s="5">
        <v>129.80000000000001</v>
      </c>
      <c r="F105" s="5">
        <v>121.5</v>
      </c>
      <c r="G105" s="5">
        <v>128.6</v>
      </c>
      <c r="H105" s="5">
        <v>110</v>
      </c>
      <c r="I105" s="5">
        <v>123.7</v>
      </c>
      <c r="J105" s="5">
        <v>164.6</v>
      </c>
      <c r="K105" s="5">
        <v>191.6</v>
      </c>
      <c r="L105" s="5">
        <v>90.8</v>
      </c>
      <c r="M105" s="5">
        <v>137.1</v>
      </c>
      <c r="N105" s="5">
        <v>119.8</v>
      </c>
      <c r="O105" s="5">
        <v>133.69999999999999</v>
      </c>
      <c r="P105" s="5">
        <v>133.30000000000001</v>
      </c>
      <c r="Q105" s="5">
        <v>137.6</v>
      </c>
      <c r="R105" s="5">
        <v>125</v>
      </c>
      <c r="S105" s="5">
        <v>119.3</v>
      </c>
      <c r="T105" s="5">
        <v>124.2</v>
      </c>
      <c r="U105" s="5">
        <v>122.9</v>
      </c>
      <c r="V105" s="5">
        <v>115.1</v>
      </c>
      <c r="W105" s="5">
        <v>121</v>
      </c>
      <c r="X105" s="5">
        <v>118.1</v>
      </c>
      <c r="Y105" s="5">
        <v>109.3</v>
      </c>
      <c r="Z105" s="5">
        <v>117.9</v>
      </c>
      <c r="AA105" s="5">
        <v>126.6</v>
      </c>
      <c r="AB105" s="5">
        <v>113.3</v>
      </c>
      <c r="AC105" s="5">
        <v>116.6</v>
      </c>
      <c r="AD105" s="6">
        <v>124.6</v>
      </c>
    </row>
    <row r="106" spans="1:30">
      <c r="A106" s="4" t="s">
        <v>69</v>
      </c>
      <c r="B106" s="5">
        <v>2015</v>
      </c>
      <c r="C106" s="5" t="s">
        <v>79</v>
      </c>
      <c r="D106" s="5">
        <v>125.4</v>
      </c>
      <c r="E106" s="5">
        <v>130.30000000000001</v>
      </c>
      <c r="F106" s="5">
        <v>121.6</v>
      </c>
      <c r="G106" s="5">
        <v>129.19999999999999</v>
      </c>
      <c r="H106" s="5">
        <v>114.9</v>
      </c>
      <c r="I106" s="5">
        <v>128.19999999999999</v>
      </c>
      <c r="J106" s="5">
        <v>158.4</v>
      </c>
      <c r="K106" s="5">
        <v>171.2</v>
      </c>
      <c r="L106" s="5">
        <v>93.3</v>
      </c>
      <c r="M106" s="5">
        <v>131.19999999999999</v>
      </c>
      <c r="N106" s="5">
        <v>121.7</v>
      </c>
      <c r="O106" s="5">
        <v>134</v>
      </c>
      <c r="P106" s="5">
        <v>132.69999999999999</v>
      </c>
      <c r="Q106" s="5">
        <v>133.6</v>
      </c>
      <c r="R106" s="5">
        <v>129.30000000000001</v>
      </c>
      <c r="S106" s="5">
        <v>124.5</v>
      </c>
      <c r="T106" s="5">
        <v>128.6</v>
      </c>
      <c r="U106" s="5">
        <v>122.9</v>
      </c>
      <c r="V106" s="5">
        <v>121.6</v>
      </c>
      <c r="W106" s="5">
        <v>123.4</v>
      </c>
      <c r="X106" s="5">
        <v>120.9</v>
      </c>
      <c r="Y106" s="5">
        <v>111.5</v>
      </c>
      <c r="Z106" s="5">
        <v>119.2</v>
      </c>
      <c r="AA106" s="5">
        <v>126.3</v>
      </c>
      <c r="AB106" s="5">
        <v>113.8</v>
      </c>
      <c r="AC106" s="5">
        <v>118.1</v>
      </c>
      <c r="AD106" s="6">
        <v>126.6</v>
      </c>
    </row>
    <row r="107" spans="1:30">
      <c r="A107" s="4" t="s">
        <v>65</v>
      </c>
      <c r="B107" s="5">
        <v>2015</v>
      </c>
      <c r="C107" s="5" t="s">
        <v>80</v>
      </c>
      <c r="D107" s="5">
        <v>126.3</v>
      </c>
      <c r="E107" s="5">
        <v>131.30000000000001</v>
      </c>
      <c r="F107" s="5">
        <v>123.3</v>
      </c>
      <c r="G107" s="5">
        <v>129.80000000000001</v>
      </c>
      <c r="H107" s="5">
        <v>118.3</v>
      </c>
      <c r="I107" s="5">
        <v>131.6</v>
      </c>
      <c r="J107" s="5">
        <v>145.5</v>
      </c>
      <c r="K107" s="5">
        <v>162.1</v>
      </c>
      <c r="L107" s="5">
        <v>95.4</v>
      </c>
      <c r="M107" s="5">
        <v>128.9</v>
      </c>
      <c r="N107" s="5">
        <v>123.3</v>
      </c>
      <c r="O107" s="5">
        <v>135.1</v>
      </c>
      <c r="P107" s="5">
        <v>131.4</v>
      </c>
      <c r="Q107" s="5">
        <v>133.1</v>
      </c>
      <c r="R107" s="5">
        <v>132.5</v>
      </c>
      <c r="S107" s="5">
        <v>128.5</v>
      </c>
      <c r="T107" s="5">
        <v>131.9</v>
      </c>
      <c r="U107" s="5" t="s">
        <v>67</v>
      </c>
      <c r="V107" s="5">
        <v>125.7</v>
      </c>
      <c r="W107" s="5">
        <v>126</v>
      </c>
      <c r="X107" s="5">
        <v>123.1</v>
      </c>
      <c r="Y107" s="5">
        <v>114</v>
      </c>
      <c r="Z107" s="5">
        <v>121.6</v>
      </c>
      <c r="AA107" s="5">
        <v>125.6</v>
      </c>
      <c r="AB107" s="5">
        <v>114.1</v>
      </c>
      <c r="AC107" s="5">
        <v>119.8</v>
      </c>
      <c r="AD107" s="6">
        <v>127.9</v>
      </c>
    </row>
    <row r="108" spans="1:30">
      <c r="A108" s="4" t="s">
        <v>68</v>
      </c>
      <c r="B108" s="5">
        <v>2015</v>
      </c>
      <c r="C108" s="5" t="s">
        <v>80</v>
      </c>
      <c r="D108" s="5">
        <v>124.3</v>
      </c>
      <c r="E108" s="5">
        <v>131.69999999999999</v>
      </c>
      <c r="F108" s="5">
        <v>127.1</v>
      </c>
      <c r="G108" s="5">
        <v>128.6</v>
      </c>
      <c r="H108" s="5">
        <v>110</v>
      </c>
      <c r="I108" s="5">
        <v>120.8</v>
      </c>
      <c r="J108" s="5">
        <v>149</v>
      </c>
      <c r="K108" s="5">
        <v>190.1</v>
      </c>
      <c r="L108" s="5">
        <v>92.7</v>
      </c>
      <c r="M108" s="5">
        <v>138.6</v>
      </c>
      <c r="N108" s="5">
        <v>120.2</v>
      </c>
      <c r="O108" s="5">
        <v>134.19999999999999</v>
      </c>
      <c r="P108" s="5">
        <v>131.5</v>
      </c>
      <c r="Q108" s="5">
        <v>138.19999999999999</v>
      </c>
      <c r="R108" s="5">
        <v>125.4</v>
      </c>
      <c r="S108" s="5">
        <v>119.5</v>
      </c>
      <c r="T108" s="5">
        <v>124.5</v>
      </c>
      <c r="U108" s="5">
        <v>122.4</v>
      </c>
      <c r="V108" s="5">
        <v>116</v>
      </c>
      <c r="W108" s="5">
        <v>121</v>
      </c>
      <c r="X108" s="5">
        <v>118.6</v>
      </c>
      <c r="Y108" s="5">
        <v>109.3</v>
      </c>
      <c r="Z108" s="5">
        <v>118.1</v>
      </c>
      <c r="AA108" s="5">
        <v>126.6</v>
      </c>
      <c r="AB108" s="5">
        <v>113.2</v>
      </c>
      <c r="AC108" s="5">
        <v>116.7</v>
      </c>
      <c r="AD108" s="6">
        <v>124</v>
      </c>
    </row>
    <row r="109" spans="1:30">
      <c r="A109" s="4" t="s">
        <v>69</v>
      </c>
      <c r="B109" s="5">
        <v>2015</v>
      </c>
      <c r="C109" s="5" t="s">
        <v>80</v>
      </c>
      <c r="D109" s="5">
        <v>125.7</v>
      </c>
      <c r="E109" s="5">
        <v>131.4</v>
      </c>
      <c r="F109" s="5">
        <v>124.8</v>
      </c>
      <c r="G109" s="5">
        <v>129.4</v>
      </c>
      <c r="H109" s="5">
        <v>115.3</v>
      </c>
      <c r="I109" s="5">
        <v>126.6</v>
      </c>
      <c r="J109" s="5">
        <v>146.69999999999999</v>
      </c>
      <c r="K109" s="5">
        <v>171.5</v>
      </c>
      <c r="L109" s="5">
        <v>94.5</v>
      </c>
      <c r="M109" s="5">
        <v>132.1</v>
      </c>
      <c r="N109" s="5">
        <v>122</v>
      </c>
      <c r="O109" s="5">
        <v>134.69999999999999</v>
      </c>
      <c r="P109" s="5">
        <v>131.4</v>
      </c>
      <c r="Q109" s="5">
        <v>134.5</v>
      </c>
      <c r="R109" s="5">
        <v>129.69999999999999</v>
      </c>
      <c r="S109" s="5">
        <v>124.8</v>
      </c>
      <c r="T109" s="5">
        <v>129</v>
      </c>
      <c r="U109" s="5">
        <v>122.4</v>
      </c>
      <c r="V109" s="5">
        <v>122</v>
      </c>
      <c r="W109" s="5">
        <v>123.6</v>
      </c>
      <c r="X109" s="5">
        <v>121.4</v>
      </c>
      <c r="Y109" s="5">
        <v>111.5</v>
      </c>
      <c r="Z109" s="5">
        <v>119.6</v>
      </c>
      <c r="AA109" s="5">
        <v>126.2</v>
      </c>
      <c r="AB109" s="5">
        <v>113.7</v>
      </c>
      <c r="AC109" s="5">
        <v>118.3</v>
      </c>
      <c r="AD109" s="6">
        <v>126.1</v>
      </c>
    </row>
    <row r="110" spans="1:30">
      <c r="A110" s="4" t="s">
        <v>65</v>
      </c>
      <c r="B110" s="5">
        <v>2016</v>
      </c>
      <c r="C110" s="5" t="s">
        <v>66</v>
      </c>
      <c r="D110" s="5">
        <v>126.8</v>
      </c>
      <c r="E110" s="5">
        <v>133.19999999999999</v>
      </c>
      <c r="F110" s="5">
        <v>126.5</v>
      </c>
      <c r="G110" s="5">
        <v>130.30000000000001</v>
      </c>
      <c r="H110" s="5">
        <v>118.9</v>
      </c>
      <c r="I110" s="5">
        <v>131.6</v>
      </c>
      <c r="J110" s="5">
        <v>140.1</v>
      </c>
      <c r="K110" s="5">
        <v>163.80000000000001</v>
      </c>
      <c r="L110" s="5">
        <v>97.7</v>
      </c>
      <c r="M110" s="5">
        <v>129.6</v>
      </c>
      <c r="N110" s="5">
        <v>124.3</v>
      </c>
      <c r="O110" s="5">
        <v>135.9</v>
      </c>
      <c r="P110" s="5">
        <v>131.4</v>
      </c>
      <c r="Q110" s="5">
        <v>133.6</v>
      </c>
      <c r="R110" s="5">
        <v>133.19999999999999</v>
      </c>
      <c r="S110" s="5">
        <v>128.9</v>
      </c>
      <c r="T110" s="5">
        <v>132.6</v>
      </c>
      <c r="U110" s="5" t="s">
        <v>67</v>
      </c>
      <c r="V110" s="5">
        <v>126.2</v>
      </c>
      <c r="W110" s="5">
        <v>126.6</v>
      </c>
      <c r="X110" s="5">
        <v>123.7</v>
      </c>
      <c r="Y110" s="5">
        <v>113.6</v>
      </c>
      <c r="Z110" s="5">
        <v>121.4</v>
      </c>
      <c r="AA110" s="5">
        <v>126.2</v>
      </c>
      <c r="AB110" s="5">
        <v>114.9</v>
      </c>
      <c r="AC110" s="5">
        <v>120.1</v>
      </c>
      <c r="AD110" s="6">
        <v>128.1</v>
      </c>
    </row>
    <row r="111" spans="1:30">
      <c r="A111" s="4" t="s">
        <v>68</v>
      </c>
      <c r="B111" s="5">
        <v>2016</v>
      </c>
      <c r="C111" s="5" t="s">
        <v>66</v>
      </c>
      <c r="D111" s="5">
        <v>124.7</v>
      </c>
      <c r="E111" s="5">
        <v>135.9</v>
      </c>
      <c r="F111" s="5">
        <v>132</v>
      </c>
      <c r="G111" s="5">
        <v>129.19999999999999</v>
      </c>
      <c r="H111" s="5">
        <v>109.7</v>
      </c>
      <c r="I111" s="5">
        <v>119</v>
      </c>
      <c r="J111" s="5">
        <v>144.1</v>
      </c>
      <c r="K111" s="5">
        <v>184.2</v>
      </c>
      <c r="L111" s="5">
        <v>96.7</v>
      </c>
      <c r="M111" s="5">
        <v>139.5</v>
      </c>
      <c r="N111" s="5">
        <v>120.5</v>
      </c>
      <c r="O111" s="5">
        <v>134.69999999999999</v>
      </c>
      <c r="P111" s="5">
        <v>131.19999999999999</v>
      </c>
      <c r="Q111" s="5">
        <v>139.5</v>
      </c>
      <c r="R111" s="5">
        <v>125.8</v>
      </c>
      <c r="S111" s="5">
        <v>119.8</v>
      </c>
      <c r="T111" s="5">
        <v>124.9</v>
      </c>
      <c r="U111" s="5">
        <v>123.4</v>
      </c>
      <c r="V111" s="5">
        <v>116.9</v>
      </c>
      <c r="W111" s="5">
        <v>121.6</v>
      </c>
      <c r="X111" s="5">
        <v>119.1</v>
      </c>
      <c r="Y111" s="5">
        <v>108.9</v>
      </c>
      <c r="Z111" s="5">
        <v>118.5</v>
      </c>
      <c r="AA111" s="5">
        <v>126.4</v>
      </c>
      <c r="AB111" s="5">
        <v>114</v>
      </c>
      <c r="AC111" s="5">
        <v>116.8</v>
      </c>
      <c r="AD111" s="6">
        <v>124.2</v>
      </c>
    </row>
    <row r="112" spans="1:30">
      <c r="A112" s="4" t="s">
        <v>69</v>
      </c>
      <c r="B112" s="5">
        <v>2016</v>
      </c>
      <c r="C112" s="5" t="s">
        <v>66</v>
      </c>
      <c r="D112" s="5">
        <v>126.1</v>
      </c>
      <c r="E112" s="5">
        <v>134.1</v>
      </c>
      <c r="F112" s="5">
        <v>128.6</v>
      </c>
      <c r="G112" s="5">
        <v>129.9</v>
      </c>
      <c r="H112" s="5">
        <v>115.5</v>
      </c>
      <c r="I112" s="5">
        <v>125.7</v>
      </c>
      <c r="J112" s="5">
        <v>141.5</v>
      </c>
      <c r="K112" s="5">
        <v>170.7</v>
      </c>
      <c r="L112" s="5">
        <v>97.4</v>
      </c>
      <c r="M112" s="5">
        <v>132.9</v>
      </c>
      <c r="N112" s="5">
        <v>122.7</v>
      </c>
      <c r="O112" s="5">
        <v>135.30000000000001</v>
      </c>
      <c r="P112" s="5">
        <v>131.30000000000001</v>
      </c>
      <c r="Q112" s="5">
        <v>135.19999999999999</v>
      </c>
      <c r="R112" s="5">
        <v>130.30000000000001</v>
      </c>
      <c r="S112" s="5">
        <v>125.1</v>
      </c>
      <c r="T112" s="5">
        <v>129.5</v>
      </c>
      <c r="U112" s="5">
        <v>123.4</v>
      </c>
      <c r="V112" s="5">
        <v>122.7</v>
      </c>
      <c r="W112" s="5">
        <v>124.2</v>
      </c>
      <c r="X112" s="5">
        <v>122</v>
      </c>
      <c r="Y112" s="5">
        <v>111.1</v>
      </c>
      <c r="Z112" s="5">
        <v>119.8</v>
      </c>
      <c r="AA112" s="5">
        <v>126.3</v>
      </c>
      <c r="AB112" s="5">
        <v>114.5</v>
      </c>
      <c r="AC112" s="5">
        <v>118.5</v>
      </c>
      <c r="AD112" s="6">
        <v>126.3</v>
      </c>
    </row>
    <row r="113" spans="1:30">
      <c r="A113" s="4" t="s">
        <v>65</v>
      </c>
      <c r="B113" s="5">
        <v>2016</v>
      </c>
      <c r="C113" s="5" t="s">
        <v>70</v>
      </c>
      <c r="D113" s="5">
        <v>127.1</v>
      </c>
      <c r="E113" s="5">
        <v>133.69999999999999</v>
      </c>
      <c r="F113" s="5">
        <v>127.7</v>
      </c>
      <c r="G113" s="5">
        <v>130.69999999999999</v>
      </c>
      <c r="H113" s="5">
        <v>118.5</v>
      </c>
      <c r="I113" s="5">
        <v>130.4</v>
      </c>
      <c r="J113" s="5">
        <v>130.9</v>
      </c>
      <c r="K113" s="5">
        <v>162.80000000000001</v>
      </c>
      <c r="L113" s="5">
        <v>98.7</v>
      </c>
      <c r="M113" s="5">
        <v>130.6</v>
      </c>
      <c r="N113" s="5">
        <v>124.8</v>
      </c>
      <c r="O113" s="5">
        <v>136.4</v>
      </c>
      <c r="P113" s="5">
        <v>130.30000000000001</v>
      </c>
      <c r="Q113" s="5">
        <v>134.4</v>
      </c>
      <c r="R113" s="5">
        <v>133.9</v>
      </c>
      <c r="S113" s="5">
        <v>129.80000000000001</v>
      </c>
      <c r="T113" s="5">
        <v>133.4</v>
      </c>
      <c r="U113" s="5" t="s">
        <v>67</v>
      </c>
      <c r="V113" s="5">
        <v>127.5</v>
      </c>
      <c r="W113" s="5">
        <v>127.1</v>
      </c>
      <c r="X113" s="5">
        <v>124.3</v>
      </c>
      <c r="Y113" s="5">
        <v>113.9</v>
      </c>
      <c r="Z113" s="5">
        <v>122.3</v>
      </c>
      <c r="AA113" s="5">
        <v>127.1</v>
      </c>
      <c r="AB113" s="5">
        <v>116.8</v>
      </c>
      <c r="AC113" s="5">
        <v>120.9</v>
      </c>
      <c r="AD113" s="6">
        <v>127.9</v>
      </c>
    </row>
    <row r="114" spans="1:30">
      <c r="A114" s="4" t="s">
        <v>68</v>
      </c>
      <c r="B114" s="5">
        <v>2016</v>
      </c>
      <c r="C114" s="5" t="s">
        <v>70</v>
      </c>
      <c r="D114" s="5">
        <v>124.8</v>
      </c>
      <c r="E114" s="5">
        <v>135.1</v>
      </c>
      <c r="F114" s="5">
        <v>130.30000000000001</v>
      </c>
      <c r="G114" s="5">
        <v>129.6</v>
      </c>
      <c r="H114" s="5">
        <v>108.4</v>
      </c>
      <c r="I114" s="5">
        <v>118.6</v>
      </c>
      <c r="J114" s="5">
        <v>129.19999999999999</v>
      </c>
      <c r="K114" s="5">
        <v>176.4</v>
      </c>
      <c r="L114" s="5">
        <v>99.1</v>
      </c>
      <c r="M114" s="5">
        <v>139.69999999999999</v>
      </c>
      <c r="N114" s="5">
        <v>120.6</v>
      </c>
      <c r="O114" s="5">
        <v>135.19999999999999</v>
      </c>
      <c r="P114" s="5">
        <v>129.1</v>
      </c>
      <c r="Q114" s="5">
        <v>140</v>
      </c>
      <c r="R114" s="5">
        <v>126.2</v>
      </c>
      <c r="S114" s="5">
        <v>120.1</v>
      </c>
      <c r="T114" s="5">
        <v>125.3</v>
      </c>
      <c r="U114" s="5">
        <v>124.4</v>
      </c>
      <c r="V114" s="5">
        <v>116</v>
      </c>
      <c r="W114" s="5">
        <v>121.8</v>
      </c>
      <c r="X114" s="5">
        <v>119.5</v>
      </c>
      <c r="Y114" s="5">
        <v>109.1</v>
      </c>
      <c r="Z114" s="5">
        <v>118.8</v>
      </c>
      <c r="AA114" s="5">
        <v>126.3</v>
      </c>
      <c r="AB114" s="5">
        <v>116.2</v>
      </c>
      <c r="AC114" s="5">
        <v>117.2</v>
      </c>
      <c r="AD114" s="6">
        <v>123.8</v>
      </c>
    </row>
    <row r="115" spans="1:30">
      <c r="A115" s="4" t="s">
        <v>69</v>
      </c>
      <c r="B115" s="5">
        <v>2016</v>
      </c>
      <c r="C115" s="5" t="s">
        <v>70</v>
      </c>
      <c r="D115" s="5">
        <v>126.4</v>
      </c>
      <c r="E115" s="5">
        <v>134.19999999999999</v>
      </c>
      <c r="F115" s="5">
        <v>128.69999999999999</v>
      </c>
      <c r="G115" s="5">
        <v>130.30000000000001</v>
      </c>
      <c r="H115" s="5">
        <v>114.8</v>
      </c>
      <c r="I115" s="5">
        <v>124.9</v>
      </c>
      <c r="J115" s="5">
        <v>130.30000000000001</v>
      </c>
      <c r="K115" s="5">
        <v>167.4</v>
      </c>
      <c r="L115" s="5">
        <v>98.8</v>
      </c>
      <c r="M115" s="5">
        <v>133.6</v>
      </c>
      <c r="N115" s="5">
        <v>123</v>
      </c>
      <c r="O115" s="5">
        <v>135.80000000000001</v>
      </c>
      <c r="P115" s="5">
        <v>129.9</v>
      </c>
      <c r="Q115" s="5">
        <v>135.9</v>
      </c>
      <c r="R115" s="5">
        <v>130.9</v>
      </c>
      <c r="S115" s="5">
        <v>125.8</v>
      </c>
      <c r="T115" s="5">
        <v>130.19999999999999</v>
      </c>
      <c r="U115" s="5">
        <v>124.4</v>
      </c>
      <c r="V115" s="5">
        <v>123.1</v>
      </c>
      <c r="W115" s="5">
        <v>124.6</v>
      </c>
      <c r="X115" s="5">
        <v>122.5</v>
      </c>
      <c r="Y115" s="5">
        <v>111.4</v>
      </c>
      <c r="Z115" s="5">
        <v>120.3</v>
      </c>
      <c r="AA115" s="5">
        <v>126.6</v>
      </c>
      <c r="AB115" s="5">
        <v>116.6</v>
      </c>
      <c r="AC115" s="5">
        <v>119.1</v>
      </c>
      <c r="AD115" s="6">
        <v>126</v>
      </c>
    </row>
    <row r="116" spans="1:30">
      <c r="A116" s="4" t="s">
        <v>65</v>
      </c>
      <c r="B116" s="5">
        <v>2016</v>
      </c>
      <c r="C116" s="5" t="s">
        <v>71</v>
      </c>
      <c r="D116" s="5">
        <v>127.3</v>
      </c>
      <c r="E116" s="5">
        <v>134.4</v>
      </c>
      <c r="F116" s="5">
        <v>125.1</v>
      </c>
      <c r="G116" s="5">
        <v>130.5</v>
      </c>
      <c r="H116" s="5">
        <v>118.3</v>
      </c>
      <c r="I116" s="5">
        <v>131.69999999999999</v>
      </c>
      <c r="J116" s="5">
        <v>130.69999999999999</v>
      </c>
      <c r="K116" s="5">
        <v>161.19999999999999</v>
      </c>
      <c r="L116" s="5">
        <v>100.4</v>
      </c>
      <c r="M116" s="5">
        <v>130.80000000000001</v>
      </c>
      <c r="N116" s="5">
        <v>124.9</v>
      </c>
      <c r="O116" s="5">
        <v>137</v>
      </c>
      <c r="P116" s="5">
        <v>130.4</v>
      </c>
      <c r="Q116" s="5">
        <v>135</v>
      </c>
      <c r="R116" s="5">
        <v>134.4</v>
      </c>
      <c r="S116" s="5">
        <v>130.19999999999999</v>
      </c>
      <c r="T116" s="5">
        <v>133.80000000000001</v>
      </c>
      <c r="U116" s="5" t="s">
        <v>67</v>
      </c>
      <c r="V116" s="5">
        <v>127</v>
      </c>
      <c r="W116" s="5">
        <v>127.7</v>
      </c>
      <c r="X116" s="5">
        <v>124.8</v>
      </c>
      <c r="Y116" s="5">
        <v>113.6</v>
      </c>
      <c r="Z116" s="5">
        <v>122.5</v>
      </c>
      <c r="AA116" s="5">
        <v>127.5</v>
      </c>
      <c r="AB116" s="5">
        <v>117.4</v>
      </c>
      <c r="AC116" s="5">
        <v>121.1</v>
      </c>
      <c r="AD116" s="6">
        <v>128</v>
      </c>
    </row>
    <row r="117" spans="1:30">
      <c r="A117" s="4" t="s">
        <v>68</v>
      </c>
      <c r="B117" s="5">
        <v>2016</v>
      </c>
      <c r="C117" s="5" t="s">
        <v>71</v>
      </c>
      <c r="D117" s="5">
        <v>124.8</v>
      </c>
      <c r="E117" s="5">
        <v>136.30000000000001</v>
      </c>
      <c r="F117" s="5">
        <v>123.7</v>
      </c>
      <c r="G117" s="5">
        <v>129.69999999999999</v>
      </c>
      <c r="H117" s="5">
        <v>107.9</v>
      </c>
      <c r="I117" s="5">
        <v>119.9</v>
      </c>
      <c r="J117" s="5">
        <v>128.1</v>
      </c>
      <c r="K117" s="5">
        <v>170.3</v>
      </c>
      <c r="L117" s="5">
        <v>101.8</v>
      </c>
      <c r="M117" s="5">
        <v>140.1</v>
      </c>
      <c r="N117" s="5">
        <v>120.7</v>
      </c>
      <c r="O117" s="5">
        <v>135.4</v>
      </c>
      <c r="P117" s="5">
        <v>128.9</v>
      </c>
      <c r="Q117" s="5">
        <v>140.6</v>
      </c>
      <c r="R117" s="5">
        <v>126.4</v>
      </c>
      <c r="S117" s="5">
        <v>120.3</v>
      </c>
      <c r="T117" s="5">
        <v>125.5</v>
      </c>
      <c r="U117" s="5">
        <v>124.9</v>
      </c>
      <c r="V117" s="5">
        <v>114.8</v>
      </c>
      <c r="W117" s="5">
        <v>122.3</v>
      </c>
      <c r="X117" s="5">
        <v>119.7</v>
      </c>
      <c r="Y117" s="5">
        <v>108.5</v>
      </c>
      <c r="Z117" s="5">
        <v>119.1</v>
      </c>
      <c r="AA117" s="5">
        <v>126.4</v>
      </c>
      <c r="AB117" s="5">
        <v>117.1</v>
      </c>
      <c r="AC117" s="5">
        <v>117.3</v>
      </c>
      <c r="AD117" s="6">
        <v>123.8</v>
      </c>
    </row>
    <row r="118" spans="1:30">
      <c r="A118" s="4" t="s">
        <v>69</v>
      </c>
      <c r="B118" s="5">
        <v>2016</v>
      </c>
      <c r="C118" s="5" t="s">
        <v>71</v>
      </c>
      <c r="D118" s="5">
        <v>126.5</v>
      </c>
      <c r="E118" s="5">
        <v>135.1</v>
      </c>
      <c r="F118" s="5">
        <v>124.6</v>
      </c>
      <c r="G118" s="5">
        <v>130.19999999999999</v>
      </c>
      <c r="H118" s="5">
        <v>114.5</v>
      </c>
      <c r="I118" s="5">
        <v>126.2</v>
      </c>
      <c r="J118" s="5">
        <v>129.80000000000001</v>
      </c>
      <c r="K118" s="5">
        <v>164.3</v>
      </c>
      <c r="L118" s="5">
        <v>100.9</v>
      </c>
      <c r="M118" s="5">
        <v>133.9</v>
      </c>
      <c r="N118" s="5">
        <v>123.1</v>
      </c>
      <c r="O118" s="5">
        <v>136.30000000000001</v>
      </c>
      <c r="P118" s="5">
        <v>129.80000000000001</v>
      </c>
      <c r="Q118" s="5">
        <v>136.5</v>
      </c>
      <c r="R118" s="5">
        <v>131.30000000000001</v>
      </c>
      <c r="S118" s="5">
        <v>126.1</v>
      </c>
      <c r="T118" s="5">
        <v>130.5</v>
      </c>
      <c r="U118" s="5">
        <v>124.9</v>
      </c>
      <c r="V118" s="5">
        <v>122.4</v>
      </c>
      <c r="W118" s="5">
        <v>125.1</v>
      </c>
      <c r="X118" s="5">
        <v>122.9</v>
      </c>
      <c r="Y118" s="5">
        <v>110.9</v>
      </c>
      <c r="Z118" s="5">
        <v>120.6</v>
      </c>
      <c r="AA118" s="5">
        <v>126.9</v>
      </c>
      <c r="AB118" s="5">
        <v>117.3</v>
      </c>
      <c r="AC118" s="5">
        <v>119.3</v>
      </c>
      <c r="AD118" s="6">
        <v>126</v>
      </c>
    </row>
    <row r="119" spans="1:30">
      <c r="A119" s="4" t="s">
        <v>65</v>
      </c>
      <c r="B119" s="5">
        <v>2016</v>
      </c>
      <c r="C119" s="5" t="s">
        <v>72</v>
      </c>
      <c r="D119" s="5">
        <v>127.4</v>
      </c>
      <c r="E119" s="5">
        <v>135.4</v>
      </c>
      <c r="F119" s="5">
        <v>123.4</v>
      </c>
      <c r="G119" s="5">
        <v>131.30000000000001</v>
      </c>
      <c r="H119" s="5">
        <v>118.2</v>
      </c>
      <c r="I119" s="5">
        <v>138.1</v>
      </c>
      <c r="J119" s="5">
        <v>134.1</v>
      </c>
      <c r="K119" s="5">
        <v>162.69999999999999</v>
      </c>
      <c r="L119" s="5">
        <v>105</v>
      </c>
      <c r="M119" s="5">
        <v>131.4</v>
      </c>
      <c r="N119" s="5">
        <v>125.4</v>
      </c>
      <c r="O119" s="5">
        <v>137.4</v>
      </c>
      <c r="P119" s="5">
        <v>131.80000000000001</v>
      </c>
      <c r="Q119" s="5">
        <v>135.5</v>
      </c>
      <c r="R119" s="5">
        <v>135</v>
      </c>
      <c r="S119" s="5">
        <v>130.6</v>
      </c>
      <c r="T119" s="5">
        <v>134.4</v>
      </c>
      <c r="U119" s="5" t="s">
        <v>67</v>
      </c>
      <c r="V119" s="5">
        <v>127</v>
      </c>
      <c r="W119" s="5">
        <v>128</v>
      </c>
      <c r="X119" s="5">
        <v>125.2</v>
      </c>
      <c r="Y119" s="5">
        <v>114.4</v>
      </c>
      <c r="Z119" s="5">
        <v>123.2</v>
      </c>
      <c r="AA119" s="5">
        <v>127.9</v>
      </c>
      <c r="AB119" s="5">
        <v>118.4</v>
      </c>
      <c r="AC119" s="5">
        <v>121.7</v>
      </c>
      <c r="AD119" s="6">
        <v>129</v>
      </c>
    </row>
    <row r="120" spans="1:30">
      <c r="A120" s="4" t="s">
        <v>68</v>
      </c>
      <c r="B120" s="5">
        <v>2016</v>
      </c>
      <c r="C120" s="5" t="s">
        <v>72</v>
      </c>
      <c r="D120" s="5">
        <v>124.9</v>
      </c>
      <c r="E120" s="5">
        <v>139.30000000000001</v>
      </c>
      <c r="F120" s="5">
        <v>119.9</v>
      </c>
      <c r="G120" s="5">
        <v>130.19999999999999</v>
      </c>
      <c r="H120" s="5">
        <v>108.9</v>
      </c>
      <c r="I120" s="5">
        <v>131.1</v>
      </c>
      <c r="J120" s="5">
        <v>136.80000000000001</v>
      </c>
      <c r="K120" s="5">
        <v>176.9</v>
      </c>
      <c r="L120" s="5">
        <v>109.1</v>
      </c>
      <c r="M120" s="5">
        <v>140.4</v>
      </c>
      <c r="N120" s="5">
        <v>121.1</v>
      </c>
      <c r="O120" s="5">
        <v>135.9</v>
      </c>
      <c r="P120" s="5">
        <v>131.80000000000001</v>
      </c>
      <c r="Q120" s="5">
        <v>141.5</v>
      </c>
      <c r="R120" s="5">
        <v>126.8</v>
      </c>
      <c r="S120" s="5">
        <v>120.5</v>
      </c>
      <c r="T120" s="5">
        <v>125.8</v>
      </c>
      <c r="U120" s="5">
        <v>125.6</v>
      </c>
      <c r="V120" s="5">
        <v>114.6</v>
      </c>
      <c r="W120" s="5">
        <v>122.8</v>
      </c>
      <c r="X120" s="5">
        <v>120</v>
      </c>
      <c r="Y120" s="5">
        <v>110</v>
      </c>
      <c r="Z120" s="5">
        <v>119.5</v>
      </c>
      <c r="AA120" s="5">
        <v>127.6</v>
      </c>
      <c r="AB120" s="5">
        <v>117.6</v>
      </c>
      <c r="AC120" s="5">
        <v>118.2</v>
      </c>
      <c r="AD120" s="6">
        <v>125.3</v>
      </c>
    </row>
    <row r="121" spans="1:30">
      <c r="A121" s="4" t="s">
        <v>69</v>
      </c>
      <c r="B121" s="5">
        <v>2016</v>
      </c>
      <c r="C121" s="5" t="s">
        <v>72</v>
      </c>
      <c r="D121" s="5">
        <v>126.6</v>
      </c>
      <c r="E121" s="5">
        <v>136.80000000000001</v>
      </c>
      <c r="F121" s="5">
        <v>122</v>
      </c>
      <c r="G121" s="5">
        <v>130.9</v>
      </c>
      <c r="H121" s="5">
        <v>114.8</v>
      </c>
      <c r="I121" s="5">
        <v>134.80000000000001</v>
      </c>
      <c r="J121" s="5">
        <v>135</v>
      </c>
      <c r="K121" s="5">
        <v>167.5</v>
      </c>
      <c r="L121" s="5">
        <v>106.4</v>
      </c>
      <c r="M121" s="5">
        <v>134.4</v>
      </c>
      <c r="N121" s="5">
        <v>123.6</v>
      </c>
      <c r="O121" s="5">
        <v>136.69999999999999</v>
      </c>
      <c r="P121" s="5">
        <v>131.80000000000001</v>
      </c>
      <c r="Q121" s="5">
        <v>137.1</v>
      </c>
      <c r="R121" s="5">
        <v>131.80000000000001</v>
      </c>
      <c r="S121" s="5">
        <v>126.4</v>
      </c>
      <c r="T121" s="5">
        <v>131</v>
      </c>
      <c r="U121" s="5">
        <v>125.6</v>
      </c>
      <c r="V121" s="5">
        <v>122.3</v>
      </c>
      <c r="W121" s="5">
        <v>125.5</v>
      </c>
      <c r="X121" s="5">
        <v>123.2</v>
      </c>
      <c r="Y121" s="5">
        <v>112.1</v>
      </c>
      <c r="Z121" s="5">
        <v>121.1</v>
      </c>
      <c r="AA121" s="5">
        <v>127.7</v>
      </c>
      <c r="AB121" s="5">
        <v>118.1</v>
      </c>
      <c r="AC121" s="5">
        <v>120</v>
      </c>
      <c r="AD121" s="6">
        <v>127.3</v>
      </c>
    </row>
    <row r="122" spans="1:30">
      <c r="A122" s="4" t="s">
        <v>65</v>
      </c>
      <c r="B122" s="5">
        <v>2016</v>
      </c>
      <c r="C122" s="5" t="s">
        <v>73</v>
      </c>
      <c r="D122" s="5">
        <v>127.6</v>
      </c>
      <c r="E122" s="5">
        <v>137.5</v>
      </c>
      <c r="F122" s="5">
        <v>124.4</v>
      </c>
      <c r="G122" s="5">
        <v>132.4</v>
      </c>
      <c r="H122" s="5">
        <v>118.2</v>
      </c>
      <c r="I122" s="5">
        <v>138.1</v>
      </c>
      <c r="J122" s="5">
        <v>141.80000000000001</v>
      </c>
      <c r="K122" s="5">
        <v>166</v>
      </c>
      <c r="L122" s="5">
        <v>107.5</v>
      </c>
      <c r="M122" s="5">
        <v>132.19999999999999</v>
      </c>
      <c r="N122" s="5">
        <v>126.1</v>
      </c>
      <c r="O122" s="5">
        <v>138.30000000000001</v>
      </c>
      <c r="P122" s="5">
        <v>133.6</v>
      </c>
      <c r="Q122" s="5">
        <v>136</v>
      </c>
      <c r="R122" s="5">
        <v>135.4</v>
      </c>
      <c r="S122" s="5">
        <v>131.1</v>
      </c>
      <c r="T122" s="5">
        <v>134.80000000000001</v>
      </c>
      <c r="U122" s="5" t="s">
        <v>67</v>
      </c>
      <c r="V122" s="5">
        <v>127.4</v>
      </c>
      <c r="W122" s="5">
        <v>128.5</v>
      </c>
      <c r="X122" s="5">
        <v>125.8</v>
      </c>
      <c r="Y122" s="5">
        <v>115.1</v>
      </c>
      <c r="Z122" s="5">
        <v>123.6</v>
      </c>
      <c r="AA122" s="5">
        <v>129.1</v>
      </c>
      <c r="AB122" s="5">
        <v>119.7</v>
      </c>
      <c r="AC122" s="5">
        <v>122.5</v>
      </c>
      <c r="AD122" s="6">
        <v>130.30000000000001</v>
      </c>
    </row>
    <row r="123" spans="1:30">
      <c r="A123" s="4" t="s">
        <v>68</v>
      </c>
      <c r="B123" s="5">
        <v>2016</v>
      </c>
      <c r="C123" s="5" t="s">
        <v>73</v>
      </c>
      <c r="D123" s="5">
        <v>125</v>
      </c>
      <c r="E123" s="5">
        <v>142.1</v>
      </c>
      <c r="F123" s="5">
        <v>127</v>
      </c>
      <c r="G123" s="5">
        <v>130.4</v>
      </c>
      <c r="H123" s="5">
        <v>109.6</v>
      </c>
      <c r="I123" s="5">
        <v>133.5</v>
      </c>
      <c r="J123" s="5">
        <v>151.4</v>
      </c>
      <c r="K123" s="5">
        <v>182.8</v>
      </c>
      <c r="L123" s="5">
        <v>111.1</v>
      </c>
      <c r="M123" s="5">
        <v>141.5</v>
      </c>
      <c r="N123" s="5">
        <v>121.5</v>
      </c>
      <c r="O123" s="5">
        <v>136.30000000000001</v>
      </c>
      <c r="P123" s="5">
        <v>134.6</v>
      </c>
      <c r="Q123" s="5">
        <v>142.19999999999999</v>
      </c>
      <c r="R123" s="5">
        <v>127.2</v>
      </c>
      <c r="S123" s="5">
        <v>120.7</v>
      </c>
      <c r="T123" s="5">
        <v>126.2</v>
      </c>
      <c r="U123" s="5">
        <v>126</v>
      </c>
      <c r="V123" s="5">
        <v>115</v>
      </c>
      <c r="W123" s="5">
        <v>123.2</v>
      </c>
      <c r="X123" s="5">
        <v>120.3</v>
      </c>
      <c r="Y123" s="5">
        <v>110.7</v>
      </c>
      <c r="Z123" s="5">
        <v>119.8</v>
      </c>
      <c r="AA123" s="5">
        <v>128</v>
      </c>
      <c r="AB123" s="5">
        <v>118.5</v>
      </c>
      <c r="AC123" s="5">
        <v>118.7</v>
      </c>
      <c r="AD123" s="6">
        <v>126.6</v>
      </c>
    </row>
    <row r="124" spans="1:30">
      <c r="A124" s="4" t="s">
        <v>69</v>
      </c>
      <c r="B124" s="5">
        <v>2016</v>
      </c>
      <c r="C124" s="5" t="s">
        <v>73</v>
      </c>
      <c r="D124" s="5">
        <v>126.8</v>
      </c>
      <c r="E124" s="5">
        <v>139.1</v>
      </c>
      <c r="F124" s="5">
        <v>125.4</v>
      </c>
      <c r="G124" s="5">
        <v>131.69999999999999</v>
      </c>
      <c r="H124" s="5">
        <v>115</v>
      </c>
      <c r="I124" s="5">
        <v>136</v>
      </c>
      <c r="J124" s="5">
        <v>145.1</v>
      </c>
      <c r="K124" s="5">
        <v>171.7</v>
      </c>
      <c r="L124" s="5">
        <v>108.7</v>
      </c>
      <c r="M124" s="5">
        <v>135.30000000000001</v>
      </c>
      <c r="N124" s="5">
        <v>124.2</v>
      </c>
      <c r="O124" s="5">
        <v>137.4</v>
      </c>
      <c r="P124" s="5">
        <v>134</v>
      </c>
      <c r="Q124" s="5">
        <v>137.69999999999999</v>
      </c>
      <c r="R124" s="5">
        <v>132.19999999999999</v>
      </c>
      <c r="S124" s="5">
        <v>126.8</v>
      </c>
      <c r="T124" s="5">
        <v>131.4</v>
      </c>
      <c r="U124" s="5">
        <v>126</v>
      </c>
      <c r="V124" s="5">
        <v>122.7</v>
      </c>
      <c r="W124" s="5">
        <v>126</v>
      </c>
      <c r="X124" s="5">
        <v>123.7</v>
      </c>
      <c r="Y124" s="5">
        <v>112.8</v>
      </c>
      <c r="Z124" s="5">
        <v>121.5</v>
      </c>
      <c r="AA124" s="5">
        <v>128.5</v>
      </c>
      <c r="AB124" s="5">
        <v>119.2</v>
      </c>
      <c r="AC124" s="5">
        <v>120.7</v>
      </c>
      <c r="AD124" s="6">
        <v>128.6</v>
      </c>
    </row>
    <row r="125" spans="1:30">
      <c r="A125" s="4" t="s">
        <v>65</v>
      </c>
      <c r="B125" s="5">
        <v>2016</v>
      </c>
      <c r="C125" s="5" t="s">
        <v>74</v>
      </c>
      <c r="D125" s="5">
        <v>128.6</v>
      </c>
      <c r="E125" s="5">
        <v>138.6</v>
      </c>
      <c r="F125" s="5">
        <v>126.6</v>
      </c>
      <c r="G125" s="5">
        <v>133.6</v>
      </c>
      <c r="H125" s="5">
        <v>118.6</v>
      </c>
      <c r="I125" s="5">
        <v>137.4</v>
      </c>
      <c r="J125" s="5">
        <v>152.5</v>
      </c>
      <c r="K125" s="5">
        <v>169.2</v>
      </c>
      <c r="L125" s="5">
        <v>108.8</v>
      </c>
      <c r="M125" s="5">
        <v>133.1</v>
      </c>
      <c r="N125" s="5">
        <v>126.4</v>
      </c>
      <c r="O125" s="5">
        <v>139.19999999999999</v>
      </c>
      <c r="P125" s="5">
        <v>136</v>
      </c>
      <c r="Q125" s="5">
        <v>137.19999999999999</v>
      </c>
      <c r="R125" s="5">
        <v>136.30000000000001</v>
      </c>
      <c r="S125" s="5">
        <v>131.6</v>
      </c>
      <c r="T125" s="5">
        <v>135.6</v>
      </c>
      <c r="U125" s="5" t="s">
        <v>67</v>
      </c>
      <c r="V125" s="5">
        <v>128</v>
      </c>
      <c r="W125" s="5">
        <v>129.30000000000001</v>
      </c>
      <c r="X125" s="5">
        <v>126.2</v>
      </c>
      <c r="Y125" s="5">
        <v>116.3</v>
      </c>
      <c r="Z125" s="5">
        <v>124.1</v>
      </c>
      <c r="AA125" s="5">
        <v>130.19999999999999</v>
      </c>
      <c r="AB125" s="5">
        <v>119.9</v>
      </c>
      <c r="AC125" s="5">
        <v>123.3</v>
      </c>
      <c r="AD125" s="6">
        <v>131.9</v>
      </c>
    </row>
    <row r="126" spans="1:30">
      <c r="A126" s="4" t="s">
        <v>68</v>
      </c>
      <c r="B126" s="5">
        <v>2016</v>
      </c>
      <c r="C126" s="5" t="s">
        <v>74</v>
      </c>
      <c r="D126" s="5">
        <v>125.9</v>
      </c>
      <c r="E126" s="5">
        <v>143.9</v>
      </c>
      <c r="F126" s="5">
        <v>130.9</v>
      </c>
      <c r="G126" s="5">
        <v>131</v>
      </c>
      <c r="H126" s="5">
        <v>110.2</v>
      </c>
      <c r="I126" s="5">
        <v>135.5</v>
      </c>
      <c r="J126" s="5">
        <v>173.7</v>
      </c>
      <c r="K126" s="5">
        <v>184.4</v>
      </c>
      <c r="L126" s="5">
        <v>112</v>
      </c>
      <c r="M126" s="5">
        <v>142.80000000000001</v>
      </c>
      <c r="N126" s="5">
        <v>121.6</v>
      </c>
      <c r="O126" s="5">
        <v>136.9</v>
      </c>
      <c r="P126" s="5">
        <v>138.19999999999999</v>
      </c>
      <c r="Q126" s="5">
        <v>142.69999999999999</v>
      </c>
      <c r="R126" s="5">
        <v>127.6</v>
      </c>
      <c r="S126" s="5">
        <v>121.1</v>
      </c>
      <c r="T126" s="5">
        <v>126.6</v>
      </c>
      <c r="U126" s="5">
        <v>125.5</v>
      </c>
      <c r="V126" s="5">
        <v>115.5</v>
      </c>
      <c r="W126" s="5">
        <v>123.2</v>
      </c>
      <c r="X126" s="5">
        <v>120.6</v>
      </c>
      <c r="Y126" s="5">
        <v>112.3</v>
      </c>
      <c r="Z126" s="5">
        <v>119.9</v>
      </c>
      <c r="AA126" s="5">
        <v>129.30000000000001</v>
      </c>
      <c r="AB126" s="5">
        <v>118.8</v>
      </c>
      <c r="AC126" s="5">
        <v>119.6</v>
      </c>
      <c r="AD126" s="6">
        <v>128.1</v>
      </c>
    </row>
    <row r="127" spans="1:30">
      <c r="A127" s="4" t="s">
        <v>69</v>
      </c>
      <c r="B127" s="5">
        <v>2016</v>
      </c>
      <c r="C127" s="5" t="s">
        <v>74</v>
      </c>
      <c r="D127" s="5">
        <v>127.7</v>
      </c>
      <c r="E127" s="5">
        <v>140.5</v>
      </c>
      <c r="F127" s="5">
        <v>128.30000000000001</v>
      </c>
      <c r="G127" s="5">
        <v>132.6</v>
      </c>
      <c r="H127" s="5">
        <v>115.5</v>
      </c>
      <c r="I127" s="5">
        <v>136.5</v>
      </c>
      <c r="J127" s="5">
        <v>159.69999999999999</v>
      </c>
      <c r="K127" s="5">
        <v>174.3</v>
      </c>
      <c r="L127" s="5">
        <v>109.9</v>
      </c>
      <c r="M127" s="5">
        <v>136.30000000000001</v>
      </c>
      <c r="N127" s="5">
        <v>124.4</v>
      </c>
      <c r="O127" s="5">
        <v>138.1</v>
      </c>
      <c r="P127" s="5">
        <v>136.80000000000001</v>
      </c>
      <c r="Q127" s="5">
        <v>138.69999999999999</v>
      </c>
      <c r="R127" s="5">
        <v>132.9</v>
      </c>
      <c r="S127" s="5">
        <v>127.2</v>
      </c>
      <c r="T127" s="5">
        <v>132</v>
      </c>
      <c r="U127" s="5">
        <v>125.5</v>
      </c>
      <c r="V127" s="5">
        <v>123.3</v>
      </c>
      <c r="W127" s="5">
        <v>126.4</v>
      </c>
      <c r="X127" s="5">
        <v>124.1</v>
      </c>
      <c r="Y127" s="5">
        <v>114.2</v>
      </c>
      <c r="Z127" s="5">
        <v>121.7</v>
      </c>
      <c r="AA127" s="5">
        <v>129.69999999999999</v>
      </c>
      <c r="AB127" s="5">
        <v>119.4</v>
      </c>
      <c r="AC127" s="5">
        <v>121.5</v>
      </c>
      <c r="AD127" s="6">
        <v>130.1</v>
      </c>
    </row>
    <row r="128" spans="1:30">
      <c r="A128" s="4" t="s">
        <v>65</v>
      </c>
      <c r="B128" s="5">
        <v>2016</v>
      </c>
      <c r="C128" s="5" t="s">
        <v>75</v>
      </c>
      <c r="D128" s="5">
        <v>129.30000000000001</v>
      </c>
      <c r="E128" s="5">
        <v>139.5</v>
      </c>
      <c r="F128" s="5">
        <v>129.6</v>
      </c>
      <c r="G128" s="5">
        <v>134.5</v>
      </c>
      <c r="H128" s="5">
        <v>119.5</v>
      </c>
      <c r="I128" s="5">
        <v>138.5</v>
      </c>
      <c r="J128" s="5">
        <v>158.19999999999999</v>
      </c>
      <c r="K128" s="5">
        <v>171.8</v>
      </c>
      <c r="L128" s="5">
        <v>110.3</v>
      </c>
      <c r="M128" s="5">
        <v>134.30000000000001</v>
      </c>
      <c r="N128" s="5">
        <v>127.3</v>
      </c>
      <c r="O128" s="5">
        <v>139.9</v>
      </c>
      <c r="P128" s="5">
        <v>137.6</v>
      </c>
      <c r="Q128" s="5">
        <v>138</v>
      </c>
      <c r="R128" s="5">
        <v>137.19999999999999</v>
      </c>
      <c r="S128" s="5">
        <v>132.19999999999999</v>
      </c>
      <c r="T128" s="5">
        <v>136.5</v>
      </c>
      <c r="U128" s="5" t="s">
        <v>67</v>
      </c>
      <c r="V128" s="5">
        <v>128.19999999999999</v>
      </c>
      <c r="W128" s="5">
        <v>130</v>
      </c>
      <c r="X128" s="5">
        <v>126.7</v>
      </c>
      <c r="Y128" s="5">
        <v>116.4</v>
      </c>
      <c r="Z128" s="5">
        <v>125.2</v>
      </c>
      <c r="AA128" s="5">
        <v>130.80000000000001</v>
      </c>
      <c r="AB128" s="5">
        <v>120.9</v>
      </c>
      <c r="AC128" s="5">
        <v>123.8</v>
      </c>
      <c r="AD128" s="6">
        <v>133</v>
      </c>
    </row>
    <row r="129" spans="1:30">
      <c r="A129" s="4" t="s">
        <v>68</v>
      </c>
      <c r="B129" s="5">
        <v>2016</v>
      </c>
      <c r="C129" s="5" t="s">
        <v>75</v>
      </c>
      <c r="D129" s="5">
        <v>126.8</v>
      </c>
      <c r="E129" s="5">
        <v>144.19999999999999</v>
      </c>
      <c r="F129" s="5">
        <v>136.6</v>
      </c>
      <c r="G129" s="5">
        <v>131.80000000000001</v>
      </c>
      <c r="H129" s="5">
        <v>111</v>
      </c>
      <c r="I129" s="5">
        <v>137</v>
      </c>
      <c r="J129" s="5">
        <v>179.5</v>
      </c>
      <c r="K129" s="5">
        <v>188.4</v>
      </c>
      <c r="L129" s="5">
        <v>113.3</v>
      </c>
      <c r="M129" s="5">
        <v>143.9</v>
      </c>
      <c r="N129" s="5">
        <v>121.7</v>
      </c>
      <c r="O129" s="5">
        <v>137.5</v>
      </c>
      <c r="P129" s="5">
        <v>139.80000000000001</v>
      </c>
      <c r="Q129" s="5">
        <v>142.9</v>
      </c>
      <c r="R129" s="5">
        <v>127.9</v>
      </c>
      <c r="S129" s="5">
        <v>121.1</v>
      </c>
      <c r="T129" s="5">
        <v>126.9</v>
      </c>
      <c r="U129" s="5">
        <v>126.4</v>
      </c>
      <c r="V129" s="5">
        <v>115.5</v>
      </c>
      <c r="W129" s="5">
        <v>123.5</v>
      </c>
      <c r="X129" s="5">
        <v>120.9</v>
      </c>
      <c r="Y129" s="5">
        <v>111.7</v>
      </c>
      <c r="Z129" s="5">
        <v>120.3</v>
      </c>
      <c r="AA129" s="5">
        <v>130.80000000000001</v>
      </c>
      <c r="AB129" s="5">
        <v>120</v>
      </c>
      <c r="AC129" s="5">
        <v>119.9</v>
      </c>
      <c r="AD129" s="6">
        <v>129</v>
      </c>
    </row>
    <row r="130" spans="1:30">
      <c r="A130" s="4" t="s">
        <v>69</v>
      </c>
      <c r="B130" s="5">
        <v>2016</v>
      </c>
      <c r="C130" s="5" t="s">
        <v>75</v>
      </c>
      <c r="D130" s="5">
        <v>128.5</v>
      </c>
      <c r="E130" s="5">
        <v>141.19999999999999</v>
      </c>
      <c r="F130" s="5">
        <v>132.30000000000001</v>
      </c>
      <c r="G130" s="5">
        <v>133.5</v>
      </c>
      <c r="H130" s="5">
        <v>116.4</v>
      </c>
      <c r="I130" s="5">
        <v>137.80000000000001</v>
      </c>
      <c r="J130" s="5">
        <v>165.4</v>
      </c>
      <c r="K130" s="5">
        <v>177.4</v>
      </c>
      <c r="L130" s="5">
        <v>111.3</v>
      </c>
      <c r="M130" s="5">
        <v>137.5</v>
      </c>
      <c r="N130" s="5">
        <v>125</v>
      </c>
      <c r="O130" s="5">
        <v>138.80000000000001</v>
      </c>
      <c r="P130" s="5">
        <v>138.4</v>
      </c>
      <c r="Q130" s="5">
        <v>139.30000000000001</v>
      </c>
      <c r="R130" s="5">
        <v>133.5</v>
      </c>
      <c r="S130" s="5">
        <v>127.6</v>
      </c>
      <c r="T130" s="5">
        <v>132.69999999999999</v>
      </c>
      <c r="U130" s="5">
        <v>126.4</v>
      </c>
      <c r="V130" s="5">
        <v>123.4</v>
      </c>
      <c r="W130" s="5">
        <v>126.9</v>
      </c>
      <c r="X130" s="5">
        <v>124.5</v>
      </c>
      <c r="Y130" s="5">
        <v>113.9</v>
      </c>
      <c r="Z130" s="5">
        <v>122.4</v>
      </c>
      <c r="AA130" s="5">
        <v>130.80000000000001</v>
      </c>
      <c r="AB130" s="5">
        <v>120.5</v>
      </c>
      <c r="AC130" s="5">
        <v>121.9</v>
      </c>
      <c r="AD130" s="6">
        <v>131.1</v>
      </c>
    </row>
    <row r="131" spans="1:30">
      <c r="A131" s="4" t="s">
        <v>65</v>
      </c>
      <c r="B131" s="5">
        <v>2016</v>
      </c>
      <c r="C131" s="5" t="s">
        <v>76</v>
      </c>
      <c r="D131" s="5">
        <v>130.1</v>
      </c>
      <c r="E131" s="5">
        <v>138.80000000000001</v>
      </c>
      <c r="F131" s="5">
        <v>130.30000000000001</v>
      </c>
      <c r="G131" s="5">
        <v>135.30000000000001</v>
      </c>
      <c r="H131" s="5">
        <v>119.9</v>
      </c>
      <c r="I131" s="5">
        <v>140.19999999999999</v>
      </c>
      <c r="J131" s="5">
        <v>156.9</v>
      </c>
      <c r="K131" s="5">
        <v>172.2</v>
      </c>
      <c r="L131" s="5">
        <v>112.1</v>
      </c>
      <c r="M131" s="5">
        <v>134.9</v>
      </c>
      <c r="N131" s="5">
        <v>128.1</v>
      </c>
      <c r="O131" s="5">
        <v>140.69999999999999</v>
      </c>
      <c r="P131" s="5">
        <v>138</v>
      </c>
      <c r="Q131" s="5">
        <v>138.9</v>
      </c>
      <c r="R131" s="5">
        <v>137.80000000000001</v>
      </c>
      <c r="S131" s="5">
        <v>133</v>
      </c>
      <c r="T131" s="5">
        <v>137.1</v>
      </c>
      <c r="U131" s="5" t="s">
        <v>67</v>
      </c>
      <c r="V131" s="5">
        <v>129.1</v>
      </c>
      <c r="W131" s="5">
        <v>130.6</v>
      </c>
      <c r="X131" s="5">
        <v>127</v>
      </c>
      <c r="Y131" s="5">
        <v>116</v>
      </c>
      <c r="Z131" s="5">
        <v>125.5</v>
      </c>
      <c r="AA131" s="5">
        <v>131.9</v>
      </c>
      <c r="AB131" s="5">
        <v>122</v>
      </c>
      <c r="AC131" s="5">
        <v>124.2</v>
      </c>
      <c r="AD131" s="6">
        <v>133.5</v>
      </c>
    </row>
    <row r="132" spans="1:30">
      <c r="A132" s="4" t="s">
        <v>68</v>
      </c>
      <c r="B132" s="5">
        <v>2016</v>
      </c>
      <c r="C132" s="5" t="s">
        <v>76</v>
      </c>
      <c r="D132" s="5">
        <v>127.6</v>
      </c>
      <c r="E132" s="5">
        <v>140.30000000000001</v>
      </c>
      <c r="F132" s="5">
        <v>133.69999999999999</v>
      </c>
      <c r="G132" s="5">
        <v>132.19999999999999</v>
      </c>
      <c r="H132" s="5">
        <v>111.8</v>
      </c>
      <c r="I132" s="5">
        <v>135.80000000000001</v>
      </c>
      <c r="J132" s="5">
        <v>163.5</v>
      </c>
      <c r="K132" s="5">
        <v>182.3</v>
      </c>
      <c r="L132" s="5">
        <v>114.6</v>
      </c>
      <c r="M132" s="5">
        <v>144.6</v>
      </c>
      <c r="N132" s="5">
        <v>121.9</v>
      </c>
      <c r="O132" s="5">
        <v>138.1</v>
      </c>
      <c r="P132" s="5">
        <v>137.6</v>
      </c>
      <c r="Q132" s="5">
        <v>143.6</v>
      </c>
      <c r="R132" s="5">
        <v>128.30000000000001</v>
      </c>
      <c r="S132" s="5">
        <v>121.4</v>
      </c>
      <c r="T132" s="5">
        <v>127.3</v>
      </c>
      <c r="U132" s="5">
        <v>127.3</v>
      </c>
      <c r="V132" s="5">
        <v>114.7</v>
      </c>
      <c r="W132" s="5">
        <v>123.9</v>
      </c>
      <c r="X132" s="5">
        <v>121.2</v>
      </c>
      <c r="Y132" s="5">
        <v>110.4</v>
      </c>
      <c r="Z132" s="5">
        <v>120.6</v>
      </c>
      <c r="AA132" s="5">
        <v>131.5</v>
      </c>
      <c r="AB132" s="5">
        <v>120.9</v>
      </c>
      <c r="AC132" s="5">
        <v>119.9</v>
      </c>
      <c r="AD132" s="6">
        <v>128.4</v>
      </c>
    </row>
    <row r="133" spans="1:30">
      <c r="A133" s="4" t="s">
        <v>69</v>
      </c>
      <c r="B133" s="5">
        <v>2016</v>
      </c>
      <c r="C133" s="5" t="s">
        <v>76</v>
      </c>
      <c r="D133" s="5">
        <v>129.30000000000001</v>
      </c>
      <c r="E133" s="5">
        <v>139.30000000000001</v>
      </c>
      <c r="F133" s="5">
        <v>131.6</v>
      </c>
      <c r="G133" s="5">
        <v>134.1</v>
      </c>
      <c r="H133" s="5">
        <v>116.9</v>
      </c>
      <c r="I133" s="5">
        <v>138.1</v>
      </c>
      <c r="J133" s="5">
        <v>159.1</v>
      </c>
      <c r="K133" s="5">
        <v>175.6</v>
      </c>
      <c r="L133" s="5">
        <v>112.9</v>
      </c>
      <c r="M133" s="5">
        <v>138.1</v>
      </c>
      <c r="N133" s="5">
        <v>125.5</v>
      </c>
      <c r="O133" s="5">
        <v>139.5</v>
      </c>
      <c r="P133" s="5">
        <v>137.9</v>
      </c>
      <c r="Q133" s="5">
        <v>140.19999999999999</v>
      </c>
      <c r="R133" s="5">
        <v>134.1</v>
      </c>
      <c r="S133" s="5">
        <v>128.19999999999999</v>
      </c>
      <c r="T133" s="5">
        <v>133.19999999999999</v>
      </c>
      <c r="U133" s="5">
        <v>127.3</v>
      </c>
      <c r="V133" s="5">
        <v>123.6</v>
      </c>
      <c r="W133" s="5">
        <v>127.4</v>
      </c>
      <c r="X133" s="5">
        <v>124.8</v>
      </c>
      <c r="Y133" s="5">
        <v>113.1</v>
      </c>
      <c r="Z133" s="5">
        <v>122.7</v>
      </c>
      <c r="AA133" s="5">
        <v>131.69999999999999</v>
      </c>
      <c r="AB133" s="5">
        <v>121.5</v>
      </c>
      <c r="AC133" s="5">
        <v>122.1</v>
      </c>
      <c r="AD133" s="6">
        <v>131.1</v>
      </c>
    </row>
    <row r="134" spans="1:30">
      <c r="A134" s="4" t="s">
        <v>65</v>
      </c>
      <c r="B134" s="5">
        <v>2016</v>
      </c>
      <c r="C134" s="5" t="s">
        <v>77</v>
      </c>
      <c r="D134" s="5">
        <v>130.80000000000001</v>
      </c>
      <c r="E134" s="5">
        <v>138.19999999999999</v>
      </c>
      <c r="F134" s="5">
        <v>130.5</v>
      </c>
      <c r="G134" s="5">
        <v>135.5</v>
      </c>
      <c r="H134" s="5">
        <v>120.2</v>
      </c>
      <c r="I134" s="5">
        <v>139.19999999999999</v>
      </c>
      <c r="J134" s="5">
        <v>149.5</v>
      </c>
      <c r="K134" s="5">
        <v>170.4</v>
      </c>
      <c r="L134" s="5">
        <v>113.1</v>
      </c>
      <c r="M134" s="5">
        <v>135.80000000000001</v>
      </c>
      <c r="N134" s="5">
        <v>128.80000000000001</v>
      </c>
      <c r="O134" s="5">
        <v>141.5</v>
      </c>
      <c r="P134" s="5">
        <v>137.19999999999999</v>
      </c>
      <c r="Q134" s="5">
        <v>139.9</v>
      </c>
      <c r="R134" s="5">
        <v>138.5</v>
      </c>
      <c r="S134" s="5">
        <v>133.5</v>
      </c>
      <c r="T134" s="5">
        <v>137.80000000000001</v>
      </c>
      <c r="U134" s="5" t="s">
        <v>67</v>
      </c>
      <c r="V134" s="5">
        <v>129.69999999999999</v>
      </c>
      <c r="W134" s="5">
        <v>131.1</v>
      </c>
      <c r="X134" s="5">
        <v>127.8</v>
      </c>
      <c r="Y134" s="5">
        <v>117</v>
      </c>
      <c r="Z134" s="5">
        <v>125.7</v>
      </c>
      <c r="AA134" s="5">
        <v>132.19999999999999</v>
      </c>
      <c r="AB134" s="5">
        <v>122.8</v>
      </c>
      <c r="AC134" s="5">
        <v>124.9</v>
      </c>
      <c r="AD134" s="6">
        <v>133.4</v>
      </c>
    </row>
    <row r="135" spans="1:30">
      <c r="A135" s="4" t="s">
        <v>68</v>
      </c>
      <c r="B135" s="5">
        <v>2016</v>
      </c>
      <c r="C135" s="5" t="s">
        <v>77</v>
      </c>
      <c r="D135" s="5">
        <v>128.1</v>
      </c>
      <c r="E135" s="5">
        <v>137.69999999999999</v>
      </c>
      <c r="F135" s="5">
        <v>130.6</v>
      </c>
      <c r="G135" s="5">
        <v>132.6</v>
      </c>
      <c r="H135" s="5">
        <v>111.9</v>
      </c>
      <c r="I135" s="5">
        <v>132.5</v>
      </c>
      <c r="J135" s="5">
        <v>152.9</v>
      </c>
      <c r="K135" s="5">
        <v>173.6</v>
      </c>
      <c r="L135" s="5">
        <v>115.1</v>
      </c>
      <c r="M135" s="5">
        <v>144.80000000000001</v>
      </c>
      <c r="N135" s="5">
        <v>122.1</v>
      </c>
      <c r="O135" s="5">
        <v>138.80000000000001</v>
      </c>
      <c r="P135" s="5">
        <v>135.69999999999999</v>
      </c>
      <c r="Q135" s="5">
        <v>143.9</v>
      </c>
      <c r="R135" s="5">
        <v>128.69999999999999</v>
      </c>
      <c r="S135" s="5">
        <v>121.6</v>
      </c>
      <c r="T135" s="5">
        <v>127.7</v>
      </c>
      <c r="U135" s="5">
        <v>127.9</v>
      </c>
      <c r="V135" s="5">
        <v>114.8</v>
      </c>
      <c r="W135" s="5">
        <v>124.3</v>
      </c>
      <c r="X135" s="5">
        <v>121.4</v>
      </c>
      <c r="Y135" s="5">
        <v>111.8</v>
      </c>
      <c r="Z135" s="5">
        <v>120.8</v>
      </c>
      <c r="AA135" s="5">
        <v>131.6</v>
      </c>
      <c r="AB135" s="5">
        <v>121.2</v>
      </c>
      <c r="AC135" s="5">
        <v>120.5</v>
      </c>
      <c r="AD135" s="6">
        <v>128</v>
      </c>
    </row>
    <row r="136" spans="1:30">
      <c r="A136" s="4" t="s">
        <v>69</v>
      </c>
      <c r="B136" s="5">
        <v>2016</v>
      </c>
      <c r="C136" s="5" t="s">
        <v>77</v>
      </c>
      <c r="D136" s="5">
        <v>129.9</v>
      </c>
      <c r="E136" s="5">
        <v>138</v>
      </c>
      <c r="F136" s="5">
        <v>130.5</v>
      </c>
      <c r="G136" s="5">
        <v>134.4</v>
      </c>
      <c r="H136" s="5">
        <v>117.2</v>
      </c>
      <c r="I136" s="5">
        <v>136.1</v>
      </c>
      <c r="J136" s="5">
        <v>150.69999999999999</v>
      </c>
      <c r="K136" s="5">
        <v>171.5</v>
      </c>
      <c r="L136" s="5">
        <v>113.8</v>
      </c>
      <c r="M136" s="5">
        <v>138.80000000000001</v>
      </c>
      <c r="N136" s="5">
        <v>126</v>
      </c>
      <c r="O136" s="5">
        <v>140.19999999999999</v>
      </c>
      <c r="P136" s="5">
        <v>136.6</v>
      </c>
      <c r="Q136" s="5">
        <v>141</v>
      </c>
      <c r="R136" s="5">
        <v>134.6</v>
      </c>
      <c r="S136" s="5">
        <v>128.6</v>
      </c>
      <c r="T136" s="5">
        <v>133.80000000000001</v>
      </c>
      <c r="U136" s="5">
        <v>127.9</v>
      </c>
      <c r="V136" s="5">
        <v>124.1</v>
      </c>
      <c r="W136" s="5">
        <v>127.9</v>
      </c>
      <c r="X136" s="5">
        <v>125.4</v>
      </c>
      <c r="Y136" s="5">
        <v>114.3</v>
      </c>
      <c r="Z136" s="5">
        <v>122.9</v>
      </c>
      <c r="AA136" s="5">
        <v>131.80000000000001</v>
      </c>
      <c r="AB136" s="5">
        <v>122.1</v>
      </c>
      <c r="AC136" s="5">
        <v>122.8</v>
      </c>
      <c r="AD136" s="6">
        <v>130.9</v>
      </c>
    </row>
    <row r="137" spans="1:30">
      <c r="A137" s="4" t="s">
        <v>65</v>
      </c>
      <c r="B137" s="5">
        <v>2016</v>
      </c>
      <c r="C137" s="5" t="s">
        <v>78</v>
      </c>
      <c r="D137" s="5">
        <v>131.30000000000001</v>
      </c>
      <c r="E137" s="5">
        <v>137.6</v>
      </c>
      <c r="F137" s="5">
        <v>130.1</v>
      </c>
      <c r="G137" s="5">
        <v>136</v>
      </c>
      <c r="H137" s="5">
        <v>120.8</v>
      </c>
      <c r="I137" s="5">
        <v>138.4</v>
      </c>
      <c r="J137" s="5">
        <v>149.19999999999999</v>
      </c>
      <c r="K137" s="5">
        <v>170.2</v>
      </c>
      <c r="L137" s="5">
        <v>113.4</v>
      </c>
      <c r="M137" s="5">
        <v>136.30000000000001</v>
      </c>
      <c r="N137" s="5">
        <v>128.69999999999999</v>
      </c>
      <c r="O137" s="5">
        <v>142.4</v>
      </c>
      <c r="P137" s="5">
        <v>137.4</v>
      </c>
      <c r="Q137" s="5">
        <v>140.9</v>
      </c>
      <c r="R137" s="5">
        <v>139.6</v>
      </c>
      <c r="S137" s="5">
        <v>134.30000000000001</v>
      </c>
      <c r="T137" s="5">
        <v>138.80000000000001</v>
      </c>
      <c r="U137" s="5" t="s">
        <v>67</v>
      </c>
      <c r="V137" s="5">
        <v>129.80000000000001</v>
      </c>
      <c r="W137" s="5">
        <v>131.80000000000001</v>
      </c>
      <c r="X137" s="5">
        <v>128.69999999999999</v>
      </c>
      <c r="Y137" s="5">
        <v>117.8</v>
      </c>
      <c r="Z137" s="5">
        <v>126.5</v>
      </c>
      <c r="AA137" s="5">
        <v>133</v>
      </c>
      <c r="AB137" s="5">
        <v>123</v>
      </c>
      <c r="AC137" s="5">
        <v>125.7</v>
      </c>
      <c r="AD137" s="6">
        <v>133.80000000000001</v>
      </c>
    </row>
    <row r="138" spans="1:30">
      <c r="A138" s="4" t="s">
        <v>68</v>
      </c>
      <c r="B138" s="5">
        <v>2016</v>
      </c>
      <c r="C138" s="5" t="s">
        <v>78</v>
      </c>
      <c r="D138" s="5">
        <v>128.69999999999999</v>
      </c>
      <c r="E138" s="5">
        <v>138.4</v>
      </c>
      <c r="F138" s="5">
        <v>130.30000000000001</v>
      </c>
      <c r="G138" s="5">
        <v>132.69999999999999</v>
      </c>
      <c r="H138" s="5">
        <v>112.5</v>
      </c>
      <c r="I138" s="5">
        <v>130.4</v>
      </c>
      <c r="J138" s="5">
        <v>155.1</v>
      </c>
      <c r="K138" s="5">
        <v>175.7</v>
      </c>
      <c r="L138" s="5">
        <v>115.4</v>
      </c>
      <c r="M138" s="5">
        <v>145.30000000000001</v>
      </c>
      <c r="N138" s="5">
        <v>122.5</v>
      </c>
      <c r="O138" s="5">
        <v>139.6</v>
      </c>
      <c r="P138" s="5">
        <v>136.30000000000001</v>
      </c>
      <c r="Q138" s="5">
        <v>144.30000000000001</v>
      </c>
      <c r="R138" s="5">
        <v>129.1</v>
      </c>
      <c r="S138" s="5">
        <v>121.9</v>
      </c>
      <c r="T138" s="5">
        <v>128</v>
      </c>
      <c r="U138" s="5">
        <v>128.69999999999999</v>
      </c>
      <c r="V138" s="5">
        <v>115.2</v>
      </c>
      <c r="W138" s="5">
        <v>124.5</v>
      </c>
      <c r="X138" s="5">
        <v>121.8</v>
      </c>
      <c r="Y138" s="5">
        <v>112.8</v>
      </c>
      <c r="Z138" s="5">
        <v>121.2</v>
      </c>
      <c r="AA138" s="5">
        <v>131.9</v>
      </c>
      <c r="AB138" s="5">
        <v>120.8</v>
      </c>
      <c r="AC138" s="5">
        <v>120.9</v>
      </c>
      <c r="AD138" s="6">
        <v>128.6</v>
      </c>
    </row>
    <row r="139" spans="1:30">
      <c r="A139" s="4" t="s">
        <v>69</v>
      </c>
      <c r="B139" s="5">
        <v>2016</v>
      </c>
      <c r="C139" s="5" t="s">
        <v>78</v>
      </c>
      <c r="D139" s="5">
        <v>130.5</v>
      </c>
      <c r="E139" s="5">
        <v>137.9</v>
      </c>
      <c r="F139" s="5">
        <v>130.19999999999999</v>
      </c>
      <c r="G139" s="5">
        <v>134.80000000000001</v>
      </c>
      <c r="H139" s="5">
        <v>117.8</v>
      </c>
      <c r="I139" s="5">
        <v>134.69999999999999</v>
      </c>
      <c r="J139" s="5">
        <v>151.19999999999999</v>
      </c>
      <c r="K139" s="5">
        <v>172.1</v>
      </c>
      <c r="L139" s="5">
        <v>114.1</v>
      </c>
      <c r="M139" s="5">
        <v>139.30000000000001</v>
      </c>
      <c r="N139" s="5">
        <v>126.1</v>
      </c>
      <c r="O139" s="5">
        <v>141.1</v>
      </c>
      <c r="P139" s="5">
        <v>137</v>
      </c>
      <c r="Q139" s="5">
        <v>141.80000000000001</v>
      </c>
      <c r="R139" s="5">
        <v>135.5</v>
      </c>
      <c r="S139" s="5">
        <v>129.1</v>
      </c>
      <c r="T139" s="5">
        <v>134.5</v>
      </c>
      <c r="U139" s="5">
        <v>128.69999999999999</v>
      </c>
      <c r="V139" s="5">
        <v>124.3</v>
      </c>
      <c r="W139" s="5">
        <v>128.4</v>
      </c>
      <c r="X139" s="5">
        <v>126.1</v>
      </c>
      <c r="Y139" s="5">
        <v>115.2</v>
      </c>
      <c r="Z139" s="5">
        <v>123.5</v>
      </c>
      <c r="AA139" s="5">
        <v>132.4</v>
      </c>
      <c r="AB139" s="5">
        <v>122.1</v>
      </c>
      <c r="AC139" s="5">
        <v>123.4</v>
      </c>
      <c r="AD139" s="6">
        <v>131.4</v>
      </c>
    </row>
    <row r="140" spans="1:30">
      <c r="A140" s="4" t="s">
        <v>65</v>
      </c>
      <c r="B140" s="5">
        <v>2016</v>
      </c>
      <c r="C140" s="5" t="s">
        <v>79</v>
      </c>
      <c r="D140" s="5">
        <v>132</v>
      </c>
      <c r="E140" s="5">
        <v>137.4</v>
      </c>
      <c r="F140" s="5">
        <v>130.6</v>
      </c>
      <c r="G140" s="5">
        <v>136.19999999999999</v>
      </c>
      <c r="H140" s="5">
        <v>121.1</v>
      </c>
      <c r="I140" s="5">
        <v>136.9</v>
      </c>
      <c r="J140" s="5">
        <v>141.80000000000001</v>
      </c>
      <c r="K140" s="5">
        <v>170</v>
      </c>
      <c r="L140" s="5">
        <v>113.4</v>
      </c>
      <c r="M140" s="5">
        <v>136.80000000000001</v>
      </c>
      <c r="N140" s="5">
        <v>128.69999999999999</v>
      </c>
      <c r="O140" s="5">
        <v>143.1</v>
      </c>
      <c r="P140" s="5">
        <v>136.6</v>
      </c>
      <c r="Q140" s="5">
        <v>141.19999999999999</v>
      </c>
      <c r="R140" s="5">
        <v>139.9</v>
      </c>
      <c r="S140" s="5">
        <v>134.5</v>
      </c>
      <c r="T140" s="5">
        <v>139.19999999999999</v>
      </c>
      <c r="U140" s="5" t="s">
        <v>67</v>
      </c>
      <c r="V140" s="5">
        <v>130.30000000000001</v>
      </c>
      <c r="W140" s="5">
        <v>132.1</v>
      </c>
      <c r="X140" s="5">
        <v>129.1</v>
      </c>
      <c r="Y140" s="5">
        <v>118.2</v>
      </c>
      <c r="Z140" s="5">
        <v>126.9</v>
      </c>
      <c r="AA140" s="5">
        <v>133.69999999999999</v>
      </c>
      <c r="AB140" s="5">
        <v>123.5</v>
      </c>
      <c r="AC140" s="5">
        <v>126.1</v>
      </c>
      <c r="AD140" s="6">
        <v>133.6</v>
      </c>
    </row>
    <row r="141" spans="1:30">
      <c r="A141" s="4" t="s">
        <v>68</v>
      </c>
      <c r="B141" s="5">
        <v>2016</v>
      </c>
      <c r="C141" s="5" t="s">
        <v>79</v>
      </c>
      <c r="D141" s="5">
        <v>130.19999999999999</v>
      </c>
      <c r="E141" s="5">
        <v>138.5</v>
      </c>
      <c r="F141" s="5">
        <v>134.1</v>
      </c>
      <c r="G141" s="5">
        <v>132.9</v>
      </c>
      <c r="H141" s="5">
        <v>112.6</v>
      </c>
      <c r="I141" s="5">
        <v>130.80000000000001</v>
      </c>
      <c r="J141" s="5">
        <v>142</v>
      </c>
      <c r="K141" s="5">
        <v>174.9</v>
      </c>
      <c r="L141" s="5">
        <v>115.6</v>
      </c>
      <c r="M141" s="5">
        <v>145.4</v>
      </c>
      <c r="N141" s="5">
        <v>122.7</v>
      </c>
      <c r="O141" s="5">
        <v>140.30000000000001</v>
      </c>
      <c r="P141" s="5">
        <v>135.19999999999999</v>
      </c>
      <c r="Q141" s="5">
        <v>144.30000000000001</v>
      </c>
      <c r="R141" s="5">
        <v>129.6</v>
      </c>
      <c r="S141" s="5">
        <v>122.1</v>
      </c>
      <c r="T141" s="5">
        <v>128.5</v>
      </c>
      <c r="U141" s="5">
        <v>129.1</v>
      </c>
      <c r="V141" s="5">
        <v>116.2</v>
      </c>
      <c r="W141" s="5">
        <v>124.7</v>
      </c>
      <c r="X141" s="5">
        <v>122.1</v>
      </c>
      <c r="Y141" s="5">
        <v>113.4</v>
      </c>
      <c r="Z141" s="5">
        <v>121.7</v>
      </c>
      <c r="AA141" s="5">
        <v>132.1</v>
      </c>
      <c r="AB141" s="5">
        <v>121.3</v>
      </c>
      <c r="AC141" s="5">
        <v>121.3</v>
      </c>
      <c r="AD141" s="6">
        <v>128.5</v>
      </c>
    </row>
    <row r="142" spans="1:30">
      <c r="A142" s="4" t="s">
        <v>69</v>
      </c>
      <c r="B142" s="5">
        <v>2016</v>
      </c>
      <c r="C142" s="5" t="s">
        <v>79</v>
      </c>
      <c r="D142" s="5">
        <v>131.4</v>
      </c>
      <c r="E142" s="5">
        <v>137.80000000000001</v>
      </c>
      <c r="F142" s="5">
        <v>132</v>
      </c>
      <c r="G142" s="5">
        <v>135</v>
      </c>
      <c r="H142" s="5">
        <v>118</v>
      </c>
      <c r="I142" s="5">
        <v>134.1</v>
      </c>
      <c r="J142" s="5">
        <v>141.9</v>
      </c>
      <c r="K142" s="5">
        <v>171.7</v>
      </c>
      <c r="L142" s="5">
        <v>114.1</v>
      </c>
      <c r="M142" s="5">
        <v>139.69999999999999</v>
      </c>
      <c r="N142" s="5">
        <v>126.2</v>
      </c>
      <c r="O142" s="5">
        <v>141.80000000000001</v>
      </c>
      <c r="P142" s="5">
        <v>136.1</v>
      </c>
      <c r="Q142" s="5">
        <v>142</v>
      </c>
      <c r="R142" s="5">
        <v>135.80000000000001</v>
      </c>
      <c r="S142" s="5">
        <v>129.30000000000001</v>
      </c>
      <c r="T142" s="5">
        <v>135</v>
      </c>
      <c r="U142" s="5">
        <v>129.1</v>
      </c>
      <c r="V142" s="5">
        <v>125</v>
      </c>
      <c r="W142" s="5">
        <v>128.6</v>
      </c>
      <c r="X142" s="5">
        <v>126.4</v>
      </c>
      <c r="Y142" s="5">
        <v>115.7</v>
      </c>
      <c r="Z142" s="5">
        <v>124</v>
      </c>
      <c r="AA142" s="5">
        <v>132.80000000000001</v>
      </c>
      <c r="AB142" s="5">
        <v>122.6</v>
      </c>
      <c r="AC142" s="5">
        <v>123.8</v>
      </c>
      <c r="AD142" s="6">
        <v>131.19999999999999</v>
      </c>
    </row>
    <row r="143" spans="1:30">
      <c r="A143" s="4" t="s">
        <v>65</v>
      </c>
      <c r="B143" s="5">
        <v>2016</v>
      </c>
      <c r="C143" s="5" t="s">
        <v>80</v>
      </c>
      <c r="D143" s="5">
        <v>132.6</v>
      </c>
      <c r="E143" s="5">
        <v>137.30000000000001</v>
      </c>
      <c r="F143" s="5">
        <v>131.6</v>
      </c>
      <c r="G143" s="5">
        <v>136.30000000000001</v>
      </c>
      <c r="H143" s="5">
        <v>121.6</v>
      </c>
      <c r="I143" s="5">
        <v>135.6</v>
      </c>
      <c r="J143" s="5">
        <v>127.5</v>
      </c>
      <c r="K143" s="5">
        <v>167.9</v>
      </c>
      <c r="L143" s="5">
        <v>113.8</v>
      </c>
      <c r="M143" s="5">
        <v>137.5</v>
      </c>
      <c r="N143" s="5">
        <v>129.1</v>
      </c>
      <c r="O143" s="5">
        <v>143.6</v>
      </c>
      <c r="P143" s="5">
        <v>134.69999999999999</v>
      </c>
      <c r="Q143" s="5">
        <v>142.4</v>
      </c>
      <c r="R143" s="5">
        <v>140.4</v>
      </c>
      <c r="S143" s="5">
        <v>135.19999999999999</v>
      </c>
      <c r="T143" s="5">
        <v>139.69999999999999</v>
      </c>
      <c r="U143" s="5" t="s">
        <v>67</v>
      </c>
      <c r="V143" s="5">
        <v>132</v>
      </c>
      <c r="W143" s="5">
        <v>132.9</v>
      </c>
      <c r="X143" s="5">
        <v>129.69999999999999</v>
      </c>
      <c r="Y143" s="5">
        <v>118.6</v>
      </c>
      <c r="Z143" s="5">
        <v>127.3</v>
      </c>
      <c r="AA143" s="5">
        <v>134.19999999999999</v>
      </c>
      <c r="AB143" s="5">
        <v>121.9</v>
      </c>
      <c r="AC143" s="5">
        <v>126.3</v>
      </c>
      <c r="AD143" s="6">
        <v>132.80000000000001</v>
      </c>
    </row>
    <row r="144" spans="1:30">
      <c r="A144" s="4" t="s">
        <v>68</v>
      </c>
      <c r="B144" s="5">
        <v>2016</v>
      </c>
      <c r="C144" s="5" t="s">
        <v>80</v>
      </c>
      <c r="D144" s="5">
        <v>131.6</v>
      </c>
      <c r="E144" s="5">
        <v>138.19999999999999</v>
      </c>
      <c r="F144" s="5">
        <v>134.9</v>
      </c>
      <c r="G144" s="5">
        <v>133.1</v>
      </c>
      <c r="H144" s="5">
        <v>113.5</v>
      </c>
      <c r="I144" s="5">
        <v>129.30000000000001</v>
      </c>
      <c r="J144" s="5">
        <v>121.1</v>
      </c>
      <c r="K144" s="5">
        <v>170.3</v>
      </c>
      <c r="L144" s="5">
        <v>115.5</v>
      </c>
      <c r="M144" s="5">
        <v>145.5</v>
      </c>
      <c r="N144" s="5">
        <v>123.1</v>
      </c>
      <c r="O144" s="5">
        <v>140.9</v>
      </c>
      <c r="P144" s="5">
        <v>132.80000000000001</v>
      </c>
      <c r="Q144" s="5">
        <v>145</v>
      </c>
      <c r="R144" s="5">
        <v>130</v>
      </c>
      <c r="S144" s="5">
        <v>122.2</v>
      </c>
      <c r="T144" s="5">
        <v>128.80000000000001</v>
      </c>
      <c r="U144" s="5">
        <v>128.5</v>
      </c>
      <c r="V144" s="5">
        <v>117.8</v>
      </c>
      <c r="W144" s="5">
        <v>125</v>
      </c>
      <c r="X144" s="5">
        <v>122.3</v>
      </c>
      <c r="Y144" s="5">
        <v>113.7</v>
      </c>
      <c r="Z144" s="5">
        <v>121.8</v>
      </c>
      <c r="AA144" s="5">
        <v>132.30000000000001</v>
      </c>
      <c r="AB144" s="5">
        <v>119.9</v>
      </c>
      <c r="AC144" s="5">
        <v>121.4</v>
      </c>
      <c r="AD144" s="6">
        <v>127.6</v>
      </c>
    </row>
    <row r="145" spans="1:30">
      <c r="A145" s="4" t="s">
        <v>69</v>
      </c>
      <c r="B145" s="5">
        <v>2016</v>
      </c>
      <c r="C145" s="5" t="s">
        <v>80</v>
      </c>
      <c r="D145" s="5">
        <v>132.30000000000001</v>
      </c>
      <c r="E145" s="5">
        <v>137.6</v>
      </c>
      <c r="F145" s="5">
        <v>132.9</v>
      </c>
      <c r="G145" s="5">
        <v>135.1</v>
      </c>
      <c r="H145" s="5">
        <v>118.6</v>
      </c>
      <c r="I145" s="5">
        <v>132.69999999999999</v>
      </c>
      <c r="J145" s="5">
        <v>125.3</v>
      </c>
      <c r="K145" s="5">
        <v>168.7</v>
      </c>
      <c r="L145" s="5">
        <v>114.4</v>
      </c>
      <c r="M145" s="5">
        <v>140.19999999999999</v>
      </c>
      <c r="N145" s="5">
        <v>126.6</v>
      </c>
      <c r="O145" s="5">
        <v>142.30000000000001</v>
      </c>
      <c r="P145" s="5">
        <v>134</v>
      </c>
      <c r="Q145" s="5">
        <v>143.1</v>
      </c>
      <c r="R145" s="5">
        <v>136.30000000000001</v>
      </c>
      <c r="S145" s="5">
        <v>129.80000000000001</v>
      </c>
      <c r="T145" s="5">
        <v>135.4</v>
      </c>
      <c r="U145" s="5">
        <v>128.5</v>
      </c>
      <c r="V145" s="5">
        <v>126.6</v>
      </c>
      <c r="W145" s="5">
        <v>129.19999999999999</v>
      </c>
      <c r="X145" s="5">
        <v>126.9</v>
      </c>
      <c r="Y145" s="5">
        <v>116</v>
      </c>
      <c r="Z145" s="5">
        <v>124.2</v>
      </c>
      <c r="AA145" s="5">
        <v>133.1</v>
      </c>
      <c r="AB145" s="5">
        <v>121.1</v>
      </c>
      <c r="AC145" s="5">
        <v>123.9</v>
      </c>
      <c r="AD145" s="6">
        <v>130.4</v>
      </c>
    </row>
    <row r="146" spans="1:30">
      <c r="A146" s="4" t="s">
        <v>65</v>
      </c>
      <c r="B146" s="5">
        <v>2017</v>
      </c>
      <c r="C146" s="5" t="s">
        <v>66</v>
      </c>
      <c r="D146" s="5">
        <v>133.1</v>
      </c>
      <c r="E146" s="5">
        <v>137.80000000000001</v>
      </c>
      <c r="F146" s="5">
        <v>131.9</v>
      </c>
      <c r="G146" s="5">
        <v>136.69999999999999</v>
      </c>
      <c r="H146" s="5">
        <v>122</v>
      </c>
      <c r="I146" s="5">
        <v>136</v>
      </c>
      <c r="J146" s="5">
        <v>119.8</v>
      </c>
      <c r="K146" s="5">
        <v>161.69999999999999</v>
      </c>
      <c r="L146" s="5">
        <v>114.8</v>
      </c>
      <c r="M146" s="5">
        <v>136.9</v>
      </c>
      <c r="N146" s="5">
        <v>129</v>
      </c>
      <c r="O146" s="5">
        <v>143.9</v>
      </c>
      <c r="P146" s="5">
        <v>133.69999999999999</v>
      </c>
      <c r="Q146" s="5">
        <v>143.1</v>
      </c>
      <c r="R146" s="5">
        <v>140.69999999999999</v>
      </c>
      <c r="S146" s="5">
        <v>135.80000000000001</v>
      </c>
      <c r="T146" s="5">
        <v>140</v>
      </c>
      <c r="U146" s="5" t="s">
        <v>67</v>
      </c>
      <c r="V146" s="5">
        <v>132.1</v>
      </c>
      <c r="W146" s="5">
        <v>133.19999999999999</v>
      </c>
      <c r="X146" s="5">
        <v>129.9</v>
      </c>
      <c r="Y146" s="5">
        <v>119.1</v>
      </c>
      <c r="Z146" s="5">
        <v>127</v>
      </c>
      <c r="AA146" s="5">
        <v>134.6</v>
      </c>
      <c r="AB146" s="5">
        <v>122.3</v>
      </c>
      <c r="AC146" s="5">
        <v>126.6</v>
      </c>
      <c r="AD146" s="6">
        <v>132.4</v>
      </c>
    </row>
    <row r="147" spans="1:30">
      <c r="A147" s="4" t="s">
        <v>68</v>
      </c>
      <c r="B147" s="5">
        <v>2017</v>
      </c>
      <c r="C147" s="5" t="s">
        <v>66</v>
      </c>
      <c r="D147" s="5">
        <v>132.19999999999999</v>
      </c>
      <c r="E147" s="5">
        <v>138.9</v>
      </c>
      <c r="F147" s="5">
        <v>132.6</v>
      </c>
      <c r="G147" s="5">
        <v>133.1</v>
      </c>
      <c r="H147" s="5">
        <v>114</v>
      </c>
      <c r="I147" s="5">
        <v>129.6</v>
      </c>
      <c r="J147" s="5">
        <v>118.7</v>
      </c>
      <c r="K147" s="5">
        <v>155.1</v>
      </c>
      <c r="L147" s="5">
        <v>117.3</v>
      </c>
      <c r="M147" s="5">
        <v>144.9</v>
      </c>
      <c r="N147" s="5">
        <v>123.2</v>
      </c>
      <c r="O147" s="5">
        <v>141.6</v>
      </c>
      <c r="P147" s="5">
        <v>132</v>
      </c>
      <c r="Q147" s="5">
        <v>145.6</v>
      </c>
      <c r="R147" s="5">
        <v>130.19999999999999</v>
      </c>
      <c r="S147" s="5">
        <v>122.3</v>
      </c>
      <c r="T147" s="5">
        <v>129</v>
      </c>
      <c r="U147" s="5">
        <v>129.6</v>
      </c>
      <c r="V147" s="5">
        <v>118</v>
      </c>
      <c r="W147" s="5">
        <v>125.1</v>
      </c>
      <c r="X147" s="5">
        <v>122.6</v>
      </c>
      <c r="Y147" s="5">
        <v>115.2</v>
      </c>
      <c r="Z147" s="5">
        <v>122</v>
      </c>
      <c r="AA147" s="5">
        <v>132.4</v>
      </c>
      <c r="AB147" s="5">
        <v>120.9</v>
      </c>
      <c r="AC147" s="5">
        <v>122.1</v>
      </c>
      <c r="AD147" s="6">
        <v>127.8</v>
      </c>
    </row>
    <row r="148" spans="1:30">
      <c r="A148" s="4" t="s">
        <v>69</v>
      </c>
      <c r="B148" s="5">
        <v>2017</v>
      </c>
      <c r="C148" s="5" t="s">
        <v>66</v>
      </c>
      <c r="D148" s="5">
        <v>132.80000000000001</v>
      </c>
      <c r="E148" s="5">
        <v>138.19999999999999</v>
      </c>
      <c r="F148" s="5">
        <v>132.19999999999999</v>
      </c>
      <c r="G148" s="5">
        <v>135.4</v>
      </c>
      <c r="H148" s="5">
        <v>119.1</v>
      </c>
      <c r="I148" s="5">
        <v>133</v>
      </c>
      <c r="J148" s="5">
        <v>119.4</v>
      </c>
      <c r="K148" s="5">
        <v>159.5</v>
      </c>
      <c r="L148" s="5">
        <v>115.6</v>
      </c>
      <c r="M148" s="5">
        <v>139.6</v>
      </c>
      <c r="N148" s="5">
        <v>126.6</v>
      </c>
      <c r="O148" s="5">
        <v>142.80000000000001</v>
      </c>
      <c r="P148" s="5">
        <v>133.1</v>
      </c>
      <c r="Q148" s="5">
        <v>143.80000000000001</v>
      </c>
      <c r="R148" s="5">
        <v>136.6</v>
      </c>
      <c r="S148" s="5">
        <v>130.19999999999999</v>
      </c>
      <c r="T148" s="5">
        <v>135.6</v>
      </c>
      <c r="U148" s="5">
        <v>129.6</v>
      </c>
      <c r="V148" s="5">
        <v>126.8</v>
      </c>
      <c r="W148" s="5">
        <v>129.4</v>
      </c>
      <c r="X148" s="5">
        <v>127.1</v>
      </c>
      <c r="Y148" s="5">
        <v>117</v>
      </c>
      <c r="Z148" s="5">
        <v>124.2</v>
      </c>
      <c r="AA148" s="5">
        <v>133.30000000000001</v>
      </c>
      <c r="AB148" s="5">
        <v>121.7</v>
      </c>
      <c r="AC148" s="5">
        <v>124.4</v>
      </c>
      <c r="AD148" s="6">
        <v>130.30000000000001</v>
      </c>
    </row>
    <row r="149" spans="1:30">
      <c r="A149" s="4" t="s">
        <v>65</v>
      </c>
      <c r="B149" s="5">
        <v>2017</v>
      </c>
      <c r="C149" s="5" t="s">
        <v>70</v>
      </c>
      <c r="D149" s="5">
        <v>133.30000000000001</v>
      </c>
      <c r="E149" s="5">
        <v>138.30000000000001</v>
      </c>
      <c r="F149" s="5">
        <v>129.30000000000001</v>
      </c>
      <c r="G149" s="5">
        <v>137.19999999999999</v>
      </c>
      <c r="H149" s="5">
        <v>122.1</v>
      </c>
      <c r="I149" s="5">
        <v>138.69999999999999</v>
      </c>
      <c r="J149" s="5">
        <v>119.1</v>
      </c>
      <c r="K149" s="5">
        <v>156.9</v>
      </c>
      <c r="L149" s="5">
        <v>116.2</v>
      </c>
      <c r="M149" s="5">
        <v>136</v>
      </c>
      <c r="N149" s="5">
        <v>129.4</v>
      </c>
      <c r="O149" s="5">
        <v>144.4</v>
      </c>
      <c r="P149" s="5">
        <v>133.6</v>
      </c>
      <c r="Q149" s="5">
        <v>143.69999999999999</v>
      </c>
      <c r="R149" s="5">
        <v>140.9</v>
      </c>
      <c r="S149" s="5">
        <v>135.80000000000001</v>
      </c>
      <c r="T149" s="5">
        <v>140.19999999999999</v>
      </c>
      <c r="U149" s="5" t="s">
        <v>67</v>
      </c>
      <c r="V149" s="5">
        <v>133.19999999999999</v>
      </c>
      <c r="W149" s="5">
        <v>133.6</v>
      </c>
      <c r="X149" s="5">
        <v>130.1</v>
      </c>
      <c r="Y149" s="5">
        <v>119.5</v>
      </c>
      <c r="Z149" s="5">
        <v>127.7</v>
      </c>
      <c r="AA149" s="5">
        <v>134.9</v>
      </c>
      <c r="AB149" s="5">
        <v>123.2</v>
      </c>
      <c r="AC149" s="5">
        <v>127</v>
      </c>
      <c r="AD149" s="6">
        <v>132.6</v>
      </c>
    </row>
    <row r="150" spans="1:30">
      <c r="A150" s="4" t="s">
        <v>68</v>
      </c>
      <c r="B150" s="5">
        <v>2017</v>
      </c>
      <c r="C150" s="5" t="s">
        <v>70</v>
      </c>
      <c r="D150" s="5">
        <v>132.80000000000001</v>
      </c>
      <c r="E150" s="5">
        <v>139.80000000000001</v>
      </c>
      <c r="F150" s="5">
        <v>129.30000000000001</v>
      </c>
      <c r="G150" s="5">
        <v>133.5</v>
      </c>
      <c r="H150" s="5">
        <v>114.3</v>
      </c>
      <c r="I150" s="5">
        <v>131.4</v>
      </c>
      <c r="J150" s="5">
        <v>120.2</v>
      </c>
      <c r="K150" s="5">
        <v>143.1</v>
      </c>
      <c r="L150" s="5">
        <v>119.5</v>
      </c>
      <c r="M150" s="5">
        <v>144</v>
      </c>
      <c r="N150" s="5">
        <v>123.4</v>
      </c>
      <c r="O150" s="5">
        <v>141.9</v>
      </c>
      <c r="P150" s="5">
        <v>132.1</v>
      </c>
      <c r="Q150" s="5">
        <v>146.30000000000001</v>
      </c>
      <c r="R150" s="5">
        <v>130.5</v>
      </c>
      <c r="S150" s="5">
        <v>122.5</v>
      </c>
      <c r="T150" s="5">
        <v>129.30000000000001</v>
      </c>
      <c r="U150" s="5">
        <v>130.5</v>
      </c>
      <c r="V150" s="5">
        <v>119.2</v>
      </c>
      <c r="W150" s="5">
        <v>125.3</v>
      </c>
      <c r="X150" s="5">
        <v>122.9</v>
      </c>
      <c r="Y150" s="5">
        <v>115.5</v>
      </c>
      <c r="Z150" s="5">
        <v>122.2</v>
      </c>
      <c r="AA150" s="5">
        <v>132.4</v>
      </c>
      <c r="AB150" s="5">
        <v>121.7</v>
      </c>
      <c r="AC150" s="5">
        <v>122.4</v>
      </c>
      <c r="AD150" s="6">
        <v>128.19999999999999</v>
      </c>
    </row>
    <row r="151" spans="1:30">
      <c r="A151" s="4" t="s">
        <v>69</v>
      </c>
      <c r="B151" s="5">
        <v>2017</v>
      </c>
      <c r="C151" s="5" t="s">
        <v>70</v>
      </c>
      <c r="D151" s="5">
        <v>133.1</v>
      </c>
      <c r="E151" s="5">
        <v>138.80000000000001</v>
      </c>
      <c r="F151" s="5">
        <v>129.30000000000001</v>
      </c>
      <c r="G151" s="5">
        <v>135.80000000000001</v>
      </c>
      <c r="H151" s="5">
        <v>119.2</v>
      </c>
      <c r="I151" s="5">
        <v>135.30000000000001</v>
      </c>
      <c r="J151" s="5">
        <v>119.5</v>
      </c>
      <c r="K151" s="5">
        <v>152.19999999999999</v>
      </c>
      <c r="L151" s="5">
        <v>117.3</v>
      </c>
      <c r="M151" s="5">
        <v>138.69999999999999</v>
      </c>
      <c r="N151" s="5">
        <v>126.9</v>
      </c>
      <c r="O151" s="5">
        <v>143.19999999999999</v>
      </c>
      <c r="P151" s="5">
        <v>133</v>
      </c>
      <c r="Q151" s="5">
        <v>144.4</v>
      </c>
      <c r="R151" s="5">
        <v>136.80000000000001</v>
      </c>
      <c r="S151" s="5">
        <v>130.30000000000001</v>
      </c>
      <c r="T151" s="5">
        <v>135.9</v>
      </c>
      <c r="U151" s="5">
        <v>130.5</v>
      </c>
      <c r="V151" s="5">
        <v>127.9</v>
      </c>
      <c r="W151" s="5">
        <v>129.69999999999999</v>
      </c>
      <c r="X151" s="5">
        <v>127.4</v>
      </c>
      <c r="Y151" s="5">
        <v>117.4</v>
      </c>
      <c r="Z151" s="5">
        <v>124.6</v>
      </c>
      <c r="AA151" s="5">
        <v>133.4</v>
      </c>
      <c r="AB151" s="5">
        <v>122.6</v>
      </c>
      <c r="AC151" s="5">
        <v>124.8</v>
      </c>
      <c r="AD151" s="6">
        <v>130.6</v>
      </c>
    </row>
    <row r="152" spans="1:30">
      <c r="A152" s="4" t="s">
        <v>65</v>
      </c>
      <c r="B152" s="5">
        <v>2017</v>
      </c>
      <c r="C152" s="5" t="s">
        <v>71</v>
      </c>
      <c r="D152" s="5">
        <v>133.6</v>
      </c>
      <c r="E152" s="5">
        <v>138.80000000000001</v>
      </c>
      <c r="F152" s="5">
        <v>128.80000000000001</v>
      </c>
      <c r="G152" s="5">
        <v>137.19999999999999</v>
      </c>
      <c r="H152" s="5">
        <v>121.6</v>
      </c>
      <c r="I152" s="5">
        <v>139.69999999999999</v>
      </c>
      <c r="J152" s="5">
        <v>119.7</v>
      </c>
      <c r="K152" s="5">
        <v>148</v>
      </c>
      <c r="L152" s="5">
        <v>116.9</v>
      </c>
      <c r="M152" s="5">
        <v>135.6</v>
      </c>
      <c r="N152" s="5">
        <v>129.80000000000001</v>
      </c>
      <c r="O152" s="5">
        <v>145.4</v>
      </c>
      <c r="P152" s="5">
        <v>133.4</v>
      </c>
      <c r="Q152" s="5">
        <v>144.19999999999999</v>
      </c>
      <c r="R152" s="5">
        <v>141.6</v>
      </c>
      <c r="S152" s="5">
        <v>136.19999999999999</v>
      </c>
      <c r="T152" s="5">
        <v>140.80000000000001</v>
      </c>
      <c r="U152" s="5" t="s">
        <v>67</v>
      </c>
      <c r="V152" s="5">
        <v>134.19999999999999</v>
      </c>
      <c r="W152" s="5">
        <v>134.1</v>
      </c>
      <c r="X152" s="5">
        <v>130.6</v>
      </c>
      <c r="Y152" s="5">
        <v>119.8</v>
      </c>
      <c r="Z152" s="5">
        <v>128.30000000000001</v>
      </c>
      <c r="AA152" s="5">
        <v>135.19999999999999</v>
      </c>
      <c r="AB152" s="5">
        <v>123.3</v>
      </c>
      <c r="AC152" s="5">
        <v>127.4</v>
      </c>
      <c r="AD152" s="6">
        <v>132.80000000000001</v>
      </c>
    </row>
    <row r="153" spans="1:30">
      <c r="A153" s="4" t="s">
        <v>68</v>
      </c>
      <c r="B153" s="5">
        <v>2017</v>
      </c>
      <c r="C153" s="5" t="s">
        <v>71</v>
      </c>
      <c r="D153" s="5">
        <v>132.69999999999999</v>
      </c>
      <c r="E153" s="5">
        <v>139.4</v>
      </c>
      <c r="F153" s="5">
        <v>128.4</v>
      </c>
      <c r="G153" s="5">
        <v>134.9</v>
      </c>
      <c r="H153" s="5">
        <v>114</v>
      </c>
      <c r="I153" s="5">
        <v>136.80000000000001</v>
      </c>
      <c r="J153" s="5">
        <v>122.2</v>
      </c>
      <c r="K153" s="5">
        <v>135.80000000000001</v>
      </c>
      <c r="L153" s="5">
        <v>120.3</v>
      </c>
      <c r="M153" s="5">
        <v>142.6</v>
      </c>
      <c r="N153" s="5">
        <v>123.6</v>
      </c>
      <c r="O153" s="5">
        <v>142.4</v>
      </c>
      <c r="P153" s="5">
        <v>132.6</v>
      </c>
      <c r="Q153" s="5">
        <v>147.5</v>
      </c>
      <c r="R153" s="5">
        <v>130.80000000000001</v>
      </c>
      <c r="S153" s="5">
        <v>122.8</v>
      </c>
      <c r="T153" s="5">
        <v>129.6</v>
      </c>
      <c r="U153" s="5">
        <v>131.1</v>
      </c>
      <c r="V153" s="5">
        <v>120.8</v>
      </c>
      <c r="W153" s="5">
        <v>125.6</v>
      </c>
      <c r="X153" s="5">
        <v>123.1</v>
      </c>
      <c r="Y153" s="5">
        <v>115.6</v>
      </c>
      <c r="Z153" s="5">
        <v>122.4</v>
      </c>
      <c r="AA153" s="5">
        <v>132.80000000000001</v>
      </c>
      <c r="AB153" s="5">
        <v>121.7</v>
      </c>
      <c r="AC153" s="5">
        <v>122.6</v>
      </c>
      <c r="AD153" s="6">
        <v>128.69999999999999</v>
      </c>
    </row>
    <row r="154" spans="1:30">
      <c r="A154" s="4" t="s">
        <v>69</v>
      </c>
      <c r="B154" s="5">
        <v>2017</v>
      </c>
      <c r="C154" s="5" t="s">
        <v>71</v>
      </c>
      <c r="D154" s="5">
        <v>133.30000000000001</v>
      </c>
      <c r="E154" s="5">
        <v>139</v>
      </c>
      <c r="F154" s="5">
        <v>128.6</v>
      </c>
      <c r="G154" s="5">
        <v>136.30000000000001</v>
      </c>
      <c r="H154" s="5">
        <v>118.8</v>
      </c>
      <c r="I154" s="5">
        <v>138.30000000000001</v>
      </c>
      <c r="J154" s="5">
        <v>120.5</v>
      </c>
      <c r="K154" s="5">
        <v>143.9</v>
      </c>
      <c r="L154" s="5">
        <v>118</v>
      </c>
      <c r="M154" s="5">
        <v>137.9</v>
      </c>
      <c r="N154" s="5">
        <v>127.2</v>
      </c>
      <c r="O154" s="5">
        <v>144</v>
      </c>
      <c r="P154" s="5">
        <v>133.1</v>
      </c>
      <c r="Q154" s="5">
        <v>145.1</v>
      </c>
      <c r="R154" s="5">
        <v>137.30000000000001</v>
      </c>
      <c r="S154" s="5">
        <v>130.6</v>
      </c>
      <c r="T154" s="5">
        <v>136.4</v>
      </c>
      <c r="U154" s="5">
        <v>131.1</v>
      </c>
      <c r="V154" s="5">
        <v>129.1</v>
      </c>
      <c r="W154" s="5">
        <v>130.1</v>
      </c>
      <c r="X154" s="5">
        <v>127.8</v>
      </c>
      <c r="Y154" s="5">
        <v>117.6</v>
      </c>
      <c r="Z154" s="5">
        <v>125</v>
      </c>
      <c r="AA154" s="5">
        <v>133.80000000000001</v>
      </c>
      <c r="AB154" s="5">
        <v>122.6</v>
      </c>
      <c r="AC154" s="5">
        <v>125.1</v>
      </c>
      <c r="AD154" s="6">
        <v>130.9</v>
      </c>
    </row>
    <row r="155" spans="1:30">
      <c r="A155" s="4" t="s">
        <v>65</v>
      </c>
      <c r="B155" s="5">
        <v>2017</v>
      </c>
      <c r="C155" s="5" t="s">
        <v>72</v>
      </c>
      <c r="D155" s="5">
        <v>133.19999999999999</v>
      </c>
      <c r="E155" s="5">
        <v>138.69999999999999</v>
      </c>
      <c r="F155" s="5">
        <v>127.1</v>
      </c>
      <c r="G155" s="5">
        <v>137.69999999999999</v>
      </c>
      <c r="H155" s="5">
        <v>121.3</v>
      </c>
      <c r="I155" s="5">
        <v>141.80000000000001</v>
      </c>
      <c r="J155" s="5">
        <v>121.5</v>
      </c>
      <c r="K155" s="5">
        <v>144.5</v>
      </c>
      <c r="L155" s="5">
        <v>117.4</v>
      </c>
      <c r="M155" s="5">
        <v>134.1</v>
      </c>
      <c r="N155" s="5">
        <v>130</v>
      </c>
      <c r="O155" s="5">
        <v>145.5</v>
      </c>
      <c r="P155" s="5">
        <v>133.5</v>
      </c>
      <c r="Q155" s="5">
        <v>144.4</v>
      </c>
      <c r="R155" s="5">
        <v>142.4</v>
      </c>
      <c r="S155" s="5">
        <v>136.80000000000001</v>
      </c>
      <c r="T155" s="5">
        <v>141.6</v>
      </c>
      <c r="U155" s="5" t="s">
        <v>67</v>
      </c>
      <c r="V155" s="5">
        <v>135</v>
      </c>
      <c r="W155" s="5">
        <v>134.30000000000001</v>
      </c>
      <c r="X155" s="5">
        <v>131</v>
      </c>
      <c r="Y155" s="5">
        <v>119.2</v>
      </c>
      <c r="Z155" s="5">
        <v>128.30000000000001</v>
      </c>
      <c r="AA155" s="5">
        <v>135.69999999999999</v>
      </c>
      <c r="AB155" s="5">
        <v>123.7</v>
      </c>
      <c r="AC155" s="5">
        <v>127.5</v>
      </c>
      <c r="AD155" s="6">
        <v>132.9</v>
      </c>
    </row>
    <row r="156" spans="1:30">
      <c r="A156" s="4" t="s">
        <v>68</v>
      </c>
      <c r="B156" s="5">
        <v>2017</v>
      </c>
      <c r="C156" s="5" t="s">
        <v>72</v>
      </c>
      <c r="D156" s="5">
        <v>132.69999999999999</v>
      </c>
      <c r="E156" s="5">
        <v>140.6</v>
      </c>
      <c r="F156" s="5">
        <v>124.5</v>
      </c>
      <c r="G156" s="5">
        <v>136.30000000000001</v>
      </c>
      <c r="H156" s="5">
        <v>113.5</v>
      </c>
      <c r="I156" s="5">
        <v>137.69999999999999</v>
      </c>
      <c r="J156" s="5">
        <v>127.1</v>
      </c>
      <c r="K156" s="5">
        <v>133.80000000000001</v>
      </c>
      <c r="L156" s="5">
        <v>120.8</v>
      </c>
      <c r="M156" s="5">
        <v>141.30000000000001</v>
      </c>
      <c r="N156" s="5">
        <v>123.8</v>
      </c>
      <c r="O156" s="5">
        <v>142.6</v>
      </c>
      <c r="P156" s="5">
        <v>133.4</v>
      </c>
      <c r="Q156" s="5">
        <v>148</v>
      </c>
      <c r="R156" s="5">
        <v>131.19999999999999</v>
      </c>
      <c r="S156" s="5">
        <v>123</v>
      </c>
      <c r="T156" s="5">
        <v>130</v>
      </c>
      <c r="U156" s="5">
        <v>131.69999999999999</v>
      </c>
      <c r="V156" s="5">
        <v>121.4</v>
      </c>
      <c r="W156" s="5">
        <v>126</v>
      </c>
      <c r="X156" s="5">
        <v>123.4</v>
      </c>
      <c r="Y156" s="5">
        <v>114.3</v>
      </c>
      <c r="Z156" s="5">
        <v>122.6</v>
      </c>
      <c r="AA156" s="5">
        <v>133.6</v>
      </c>
      <c r="AB156" s="5">
        <v>122.2</v>
      </c>
      <c r="AC156" s="5">
        <v>122.5</v>
      </c>
      <c r="AD156" s="6">
        <v>129.1</v>
      </c>
    </row>
    <row r="157" spans="1:30">
      <c r="A157" s="4" t="s">
        <v>69</v>
      </c>
      <c r="B157" s="5">
        <v>2017</v>
      </c>
      <c r="C157" s="5" t="s">
        <v>72</v>
      </c>
      <c r="D157" s="5">
        <v>133</v>
      </c>
      <c r="E157" s="5">
        <v>139.4</v>
      </c>
      <c r="F157" s="5">
        <v>126.1</v>
      </c>
      <c r="G157" s="5">
        <v>137.19999999999999</v>
      </c>
      <c r="H157" s="5">
        <v>118.4</v>
      </c>
      <c r="I157" s="5">
        <v>139.9</v>
      </c>
      <c r="J157" s="5">
        <v>123.4</v>
      </c>
      <c r="K157" s="5">
        <v>140.9</v>
      </c>
      <c r="L157" s="5">
        <v>118.5</v>
      </c>
      <c r="M157" s="5">
        <v>136.5</v>
      </c>
      <c r="N157" s="5">
        <v>127.4</v>
      </c>
      <c r="O157" s="5">
        <v>144.19999999999999</v>
      </c>
      <c r="P157" s="5">
        <v>133.5</v>
      </c>
      <c r="Q157" s="5">
        <v>145.4</v>
      </c>
      <c r="R157" s="5">
        <v>138</v>
      </c>
      <c r="S157" s="5">
        <v>131.1</v>
      </c>
      <c r="T157" s="5">
        <v>137</v>
      </c>
      <c r="U157" s="5">
        <v>131.69999999999999</v>
      </c>
      <c r="V157" s="5">
        <v>129.80000000000001</v>
      </c>
      <c r="W157" s="5">
        <v>130.4</v>
      </c>
      <c r="X157" s="5">
        <v>128.1</v>
      </c>
      <c r="Y157" s="5">
        <v>116.6</v>
      </c>
      <c r="Z157" s="5">
        <v>125.1</v>
      </c>
      <c r="AA157" s="5">
        <v>134.5</v>
      </c>
      <c r="AB157" s="5">
        <v>123.1</v>
      </c>
      <c r="AC157" s="5">
        <v>125.1</v>
      </c>
      <c r="AD157" s="6">
        <v>131.1</v>
      </c>
    </row>
    <row r="158" spans="1:30">
      <c r="A158" s="4" t="s">
        <v>65</v>
      </c>
      <c r="B158" s="5">
        <v>2017</v>
      </c>
      <c r="C158" s="5" t="s">
        <v>73</v>
      </c>
      <c r="D158" s="5">
        <v>133.1</v>
      </c>
      <c r="E158" s="5">
        <v>140.30000000000001</v>
      </c>
      <c r="F158" s="5">
        <v>126.8</v>
      </c>
      <c r="G158" s="5">
        <v>138.19999999999999</v>
      </c>
      <c r="H158" s="5">
        <v>120.8</v>
      </c>
      <c r="I158" s="5">
        <v>140.19999999999999</v>
      </c>
      <c r="J158" s="5">
        <v>123.8</v>
      </c>
      <c r="K158" s="5">
        <v>141.80000000000001</v>
      </c>
      <c r="L158" s="5">
        <v>118.6</v>
      </c>
      <c r="M158" s="5">
        <v>134</v>
      </c>
      <c r="N158" s="5">
        <v>130.30000000000001</v>
      </c>
      <c r="O158" s="5">
        <v>145.80000000000001</v>
      </c>
      <c r="P158" s="5">
        <v>133.80000000000001</v>
      </c>
      <c r="Q158" s="5">
        <v>145.5</v>
      </c>
      <c r="R158" s="5">
        <v>142.5</v>
      </c>
      <c r="S158" s="5">
        <v>137.30000000000001</v>
      </c>
      <c r="T158" s="5">
        <v>141.80000000000001</v>
      </c>
      <c r="U158" s="5" t="s">
        <v>67</v>
      </c>
      <c r="V158" s="5">
        <v>135</v>
      </c>
      <c r="W158" s="5">
        <v>134.9</v>
      </c>
      <c r="X158" s="5">
        <v>131.4</v>
      </c>
      <c r="Y158" s="5">
        <v>119.4</v>
      </c>
      <c r="Z158" s="5">
        <v>129.4</v>
      </c>
      <c r="AA158" s="5">
        <v>136.30000000000001</v>
      </c>
      <c r="AB158" s="5">
        <v>123.7</v>
      </c>
      <c r="AC158" s="5">
        <v>127.9</v>
      </c>
      <c r="AD158" s="6">
        <v>133.30000000000001</v>
      </c>
    </row>
    <row r="159" spans="1:30">
      <c r="A159" s="4" t="s">
        <v>68</v>
      </c>
      <c r="B159" s="5">
        <v>2017</v>
      </c>
      <c r="C159" s="5" t="s">
        <v>73</v>
      </c>
      <c r="D159" s="5">
        <v>132.6</v>
      </c>
      <c r="E159" s="5">
        <v>144.1</v>
      </c>
      <c r="F159" s="5">
        <v>125.6</v>
      </c>
      <c r="G159" s="5">
        <v>136.80000000000001</v>
      </c>
      <c r="H159" s="5">
        <v>113.4</v>
      </c>
      <c r="I159" s="5">
        <v>135.19999999999999</v>
      </c>
      <c r="J159" s="5">
        <v>129.19999999999999</v>
      </c>
      <c r="K159" s="5">
        <v>131.5</v>
      </c>
      <c r="L159" s="5">
        <v>121</v>
      </c>
      <c r="M159" s="5">
        <v>139.9</v>
      </c>
      <c r="N159" s="5">
        <v>123.8</v>
      </c>
      <c r="O159" s="5">
        <v>142.9</v>
      </c>
      <c r="P159" s="5">
        <v>133.6</v>
      </c>
      <c r="Q159" s="5">
        <v>148.30000000000001</v>
      </c>
      <c r="R159" s="5">
        <v>131.5</v>
      </c>
      <c r="S159" s="5">
        <v>123.2</v>
      </c>
      <c r="T159" s="5">
        <v>130.19999999999999</v>
      </c>
      <c r="U159" s="5">
        <v>132.1</v>
      </c>
      <c r="V159" s="5">
        <v>120.1</v>
      </c>
      <c r="W159" s="5">
        <v>126.5</v>
      </c>
      <c r="X159" s="5">
        <v>123.6</v>
      </c>
      <c r="Y159" s="5">
        <v>114.3</v>
      </c>
      <c r="Z159" s="5">
        <v>122.8</v>
      </c>
      <c r="AA159" s="5">
        <v>133.80000000000001</v>
      </c>
      <c r="AB159" s="5">
        <v>122</v>
      </c>
      <c r="AC159" s="5">
        <v>122.6</v>
      </c>
      <c r="AD159" s="6">
        <v>129.30000000000001</v>
      </c>
    </row>
    <row r="160" spans="1:30">
      <c r="A160" s="4" t="s">
        <v>69</v>
      </c>
      <c r="B160" s="5">
        <v>2017</v>
      </c>
      <c r="C160" s="5" t="s">
        <v>73</v>
      </c>
      <c r="D160" s="5">
        <v>132.9</v>
      </c>
      <c r="E160" s="5">
        <v>141.6</v>
      </c>
      <c r="F160" s="5">
        <v>126.3</v>
      </c>
      <c r="G160" s="5">
        <v>137.69999999999999</v>
      </c>
      <c r="H160" s="5">
        <v>118.1</v>
      </c>
      <c r="I160" s="5">
        <v>137.9</v>
      </c>
      <c r="J160" s="5">
        <v>125.6</v>
      </c>
      <c r="K160" s="5">
        <v>138.30000000000001</v>
      </c>
      <c r="L160" s="5">
        <v>119.4</v>
      </c>
      <c r="M160" s="5">
        <v>136</v>
      </c>
      <c r="N160" s="5">
        <v>127.6</v>
      </c>
      <c r="O160" s="5">
        <v>144.5</v>
      </c>
      <c r="P160" s="5">
        <v>133.69999999999999</v>
      </c>
      <c r="Q160" s="5">
        <v>146.19999999999999</v>
      </c>
      <c r="R160" s="5">
        <v>138.19999999999999</v>
      </c>
      <c r="S160" s="5">
        <v>131.4</v>
      </c>
      <c r="T160" s="5">
        <v>137.19999999999999</v>
      </c>
      <c r="U160" s="5">
        <v>132.1</v>
      </c>
      <c r="V160" s="5">
        <v>129.4</v>
      </c>
      <c r="W160" s="5">
        <v>130.9</v>
      </c>
      <c r="X160" s="5">
        <v>128.4</v>
      </c>
      <c r="Y160" s="5">
        <v>116.7</v>
      </c>
      <c r="Z160" s="5">
        <v>125.7</v>
      </c>
      <c r="AA160" s="5">
        <v>134.80000000000001</v>
      </c>
      <c r="AB160" s="5">
        <v>123</v>
      </c>
      <c r="AC160" s="5">
        <v>125.3</v>
      </c>
      <c r="AD160" s="6">
        <v>131.4</v>
      </c>
    </row>
    <row r="161" spans="1:30">
      <c r="A161" s="4" t="s">
        <v>65</v>
      </c>
      <c r="B161" s="5">
        <v>2017</v>
      </c>
      <c r="C161" s="5" t="s">
        <v>74</v>
      </c>
      <c r="D161" s="5">
        <v>133.5</v>
      </c>
      <c r="E161" s="5">
        <v>143.69999999999999</v>
      </c>
      <c r="F161" s="5">
        <v>128</v>
      </c>
      <c r="G161" s="5">
        <v>138.6</v>
      </c>
      <c r="H161" s="5">
        <v>120.9</v>
      </c>
      <c r="I161" s="5">
        <v>140.9</v>
      </c>
      <c r="J161" s="5">
        <v>128.80000000000001</v>
      </c>
      <c r="K161" s="5">
        <v>140.19999999999999</v>
      </c>
      <c r="L161" s="5">
        <v>118.9</v>
      </c>
      <c r="M161" s="5">
        <v>133.5</v>
      </c>
      <c r="N161" s="5">
        <v>130.4</v>
      </c>
      <c r="O161" s="5">
        <v>146.5</v>
      </c>
      <c r="P161" s="5">
        <v>134.9</v>
      </c>
      <c r="Q161" s="5">
        <v>145.80000000000001</v>
      </c>
      <c r="R161" s="5">
        <v>143.1</v>
      </c>
      <c r="S161" s="5">
        <v>137.69999999999999</v>
      </c>
      <c r="T161" s="5">
        <v>142.30000000000001</v>
      </c>
      <c r="U161" s="5" t="s">
        <v>67</v>
      </c>
      <c r="V161" s="5">
        <v>134.80000000000001</v>
      </c>
      <c r="W161" s="5">
        <v>135.19999999999999</v>
      </c>
      <c r="X161" s="5">
        <v>131.30000000000001</v>
      </c>
      <c r="Y161" s="5">
        <v>119.4</v>
      </c>
      <c r="Z161" s="5">
        <v>129.80000000000001</v>
      </c>
      <c r="AA161" s="5">
        <v>136.9</v>
      </c>
      <c r="AB161" s="5">
        <v>124.1</v>
      </c>
      <c r="AC161" s="5">
        <v>128.1</v>
      </c>
      <c r="AD161" s="6">
        <v>133.9</v>
      </c>
    </row>
    <row r="162" spans="1:30">
      <c r="A162" s="4" t="s">
        <v>68</v>
      </c>
      <c r="B162" s="5">
        <v>2017</v>
      </c>
      <c r="C162" s="5" t="s">
        <v>74</v>
      </c>
      <c r="D162" s="5">
        <v>132.9</v>
      </c>
      <c r="E162" s="5">
        <v>148.69999999999999</v>
      </c>
      <c r="F162" s="5">
        <v>128.30000000000001</v>
      </c>
      <c r="G162" s="5">
        <v>137.30000000000001</v>
      </c>
      <c r="H162" s="5">
        <v>113.5</v>
      </c>
      <c r="I162" s="5">
        <v>137.19999999999999</v>
      </c>
      <c r="J162" s="5">
        <v>142.19999999999999</v>
      </c>
      <c r="K162" s="5">
        <v>128.19999999999999</v>
      </c>
      <c r="L162" s="5">
        <v>120.9</v>
      </c>
      <c r="M162" s="5">
        <v>138.80000000000001</v>
      </c>
      <c r="N162" s="5">
        <v>124.2</v>
      </c>
      <c r="O162" s="5">
        <v>143.1</v>
      </c>
      <c r="P162" s="5">
        <v>135.69999999999999</v>
      </c>
      <c r="Q162" s="5">
        <v>148.6</v>
      </c>
      <c r="R162" s="5">
        <v>131.5</v>
      </c>
      <c r="S162" s="5">
        <v>123.2</v>
      </c>
      <c r="T162" s="5">
        <v>130.19999999999999</v>
      </c>
      <c r="U162" s="5">
        <v>131.4</v>
      </c>
      <c r="V162" s="5">
        <v>119</v>
      </c>
      <c r="W162" s="5">
        <v>126.8</v>
      </c>
      <c r="X162" s="5">
        <v>123.8</v>
      </c>
      <c r="Y162" s="5">
        <v>113.9</v>
      </c>
      <c r="Z162" s="5">
        <v>122.9</v>
      </c>
      <c r="AA162" s="5">
        <v>134.30000000000001</v>
      </c>
      <c r="AB162" s="5">
        <v>122.5</v>
      </c>
      <c r="AC162" s="5">
        <v>122.7</v>
      </c>
      <c r="AD162" s="6">
        <v>129.9</v>
      </c>
    </row>
    <row r="163" spans="1:30">
      <c r="A163" s="4" t="s">
        <v>69</v>
      </c>
      <c r="B163" s="5">
        <v>2017</v>
      </c>
      <c r="C163" s="5" t="s">
        <v>74</v>
      </c>
      <c r="D163" s="5">
        <v>133.30000000000001</v>
      </c>
      <c r="E163" s="5">
        <v>145.5</v>
      </c>
      <c r="F163" s="5">
        <v>128.1</v>
      </c>
      <c r="G163" s="5">
        <v>138.1</v>
      </c>
      <c r="H163" s="5">
        <v>118.2</v>
      </c>
      <c r="I163" s="5">
        <v>139.19999999999999</v>
      </c>
      <c r="J163" s="5">
        <v>133.30000000000001</v>
      </c>
      <c r="K163" s="5">
        <v>136.19999999999999</v>
      </c>
      <c r="L163" s="5">
        <v>119.6</v>
      </c>
      <c r="M163" s="5">
        <v>135.30000000000001</v>
      </c>
      <c r="N163" s="5">
        <v>127.8</v>
      </c>
      <c r="O163" s="5">
        <v>144.9</v>
      </c>
      <c r="P163" s="5">
        <v>135.19999999999999</v>
      </c>
      <c r="Q163" s="5">
        <v>146.5</v>
      </c>
      <c r="R163" s="5">
        <v>138.5</v>
      </c>
      <c r="S163" s="5">
        <v>131.69999999999999</v>
      </c>
      <c r="T163" s="5">
        <v>137.5</v>
      </c>
      <c r="U163" s="5">
        <v>131.4</v>
      </c>
      <c r="V163" s="5">
        <v>128.80000000000001</v>
      </c>
      <c r="W163" s="5">
        <v>131.19999999999999</v>
      </c>
      <c r="X163" s="5">
        <v>128.5</v>
      </c>
      <c r="Y163" s="5">
        <v>116.5</v>
      </c>
      <c r="Z163" s="5">
        <v>125.9</v>
      </c>
      <c r="AA163" s="5">
        <v>135.4</v>
      </c>
      <c r="AB163" s="5">
        <v>123.4</v>
      </c>
      <c r="AC163" s="5">
        <v>125.5</v>
      </c>
      <c r="AD163" s="6">
        <v>132</v>
      </c>
    </row>
    <row r="164" spans="1:30">
      <c r="A164" s="4" t="s">
        <v>65</v>
      </c>
      <c r="B164" s="5">
        <v>2017</v>
      </c>
      <c r="C164" s="5" t="s">
        <v>75</v>
      </c>
      <c r="D164" s="5">
        <v>134</v>
      </c>
      <c r="E164" s="5">
        <v>144.19999999999999</v>
      </c>
      <c r="F164" s="5">
        <v>129.80000000000001</v>
      </c>
      <c r="G164" s="5">
        <v>139</v>
      </c>
      <c r="H164" s="5">
        <v>120.9</v>
      </c>
      <c r="I164" s="5">
        <v>143.9</v>
      </c>
      <c r="J164" s="5">
        <v>151.5</v>
      </c>
      <c r="K164" s="5">
        <v>138.1</v>
      </c>
      <c r="L164" s="5">
        <v>120</v>
      </c>
      <c r="M164" s="5">
        <v>133.9</v>
      </c>
      <c r="N164" s="5">
        <v>131.4</v>
      </c>
      <c r="O164" s="5">
        <v>147.69999999999999</v>
      </c>
      <c r="P164" s="5">
        <v>138.5</v>
      </c>
      <c r="Q164" s="5">
        <v>147.4</v>
      </c>
      <c r="R164" s="5">
        <v>144.30000000000001</v>
      </c>
      <c r="S164" s="5">
        <v>138.1</v>
      </c>
      <c r="T164" s="5">
        <v>143.5</v>
      </c>
      <c r="U164" s="5" t="s">
        <v>67</v>
      </c>
      <c r="V164" s="5">
        <v>135.30000000000001</v>
      </c>
      <c r="W164" s="5">
        <v>136.1</v>
      </c>
      <c r="X164" s="5">
        <v>132.1</v>
      </c>
      <c r="Y164" s="5">
        <v>119.1</v>
      </c>
      <c r="Z164" s="5">
        <v>130.6</v>
      </c>
      <c r="AA164" s="5">
        <v>138.6</v>
      </c>
      <c r="AB164" s="5">
        <v>124.4</v>
      </c>
      <c r="AC164" s="5">
        <v>128.6</v>
      </c>
      <c r="AD164" s="6">
        <v>136.19999999999999</v>
      </c>
    </row>
    <row r="165" spans="1:30">
      <c r="A165" s="4" t="s">
        <v>68</v>
      </c>
      <c r="B165" s="5">
        <v>2017</v>
      </c>
      <c r="C165" s="5" t="s">
        <v>75</v>
      </c>
      <c r="D165" s="5">
        <v>132.80000000000001</v>
      </c>
      <c r="E165" s="5">
        <v>148.4</v>
      </c>
      <c r="F165" s="5">
        <v>129.4</v>
      </c>
      <c r="G165" s="5">
        <v>137.69999999999999</v>
      </c>
      <c r="H165" s="5">
        <v>113.4</v>
      </c>
      <c r="I165" s="5">
        <v>139.4</v>
      </c>
      <c r="J165" s="5">
        <v>175.1</v>
      </c>
      <c r="K165" s="5">
        <v>124.7</v>
      </c>
      <c r="L165" s="5">
        <v>121.5</v>
      </c>
      <c r="M165" s="5">
        <v>137.80000000000001</v>
      </c>
      <c r="N165" s="5">
        <v>124.4</v>
      </c>
      <c r="O165" s="5">
        <v>143.69999999999999</v>
      </c>
      <c r="P165" s="5">
        <v>139.80000000000001</v>
      </c>
      <c r="Q165" s="5">
        <v>150.5</v>
      </c>
      <c r="R165" s="5">
        <v>131.6</v>
      </c>
      <c r="S165" s="5">
        <v>123.7</v>
      </c>
      <c r="T165" s="5">
        <v>130.4</v>
      </c>
      <c r="U165" s="5">
        <v>132.6</v>
      </c>
      <c r="V165" s="5">
        <v>119.7</v>
      </c>
      <c r="W165" s="5">
        <v>127.2</v>
      </c>
      <c r="X165" s="5">
        <v>125</v>
      </c>
      <c r="Y165" s="5">
        <v>113.2</v>
      </c>
      <c r="Z165" s="5">
        <v>123.5</v>
      </c>
      <c r="AA165" s="5">
        <v>135.5</v>
      </c>
      <c r="AB165" s="5">
        <v>122.4</v>
      </c>
      <c r="AC165" s="5">
        <v>123</v>
      </c>
      <c r="AD165" s="6">
        <v>131.80000000000001</v>
      </c>
    </row>
    <row r="166" spans="1:30">
      <c r="A166" s="4" t="s">
        <v>69</v>
      </c>
      <c r="B166" s="5">
        <v>2017</v>
      </c>
      <c r="C166" s="5" t="s">
        <v>75</v>
      </c>
      <c r="D166" s="5">
        <v>133.6</v>
      </c>
      <c r="E166" s="5">
        <v>145.69999999999999</v>
      </c>
      <c r="F166" s="5">
        <v>129.6</v>
      </c>
      <c r="G166" s="5">
        <v>138.5</v>
      </c>
      <c r="H166" s="5">
        <v>118.1</v>
      </c>
      <c r="I166" s="5">
        <v>141.80000000000001</v>
      </c>
      <c r="J166" s="5">
        <v>159.5</v>
      </c>
      <c r="K166" s="5">
        <v>133.6</v>
      </c>
      <c r="L166" s="5">
        <v>120.5</v>
      </c>
      <c r="M166" s="5">
        <v>135.19999999999999</v>
      </c>
      <c r="N166" s="5">
        <v>128.5</v>
      </c>
      <c r="O166" s="5">
        <v>145.80000000000001</v>
      </c>
      <c r="P166" s="5">
        <v>139</v>
      </c>
      <c r="Q166" s="5">
        <v>148.19999999999999</v>
      </c>
      <c r="R166" s="5">
        <v>139.30000000000001</v>
      </c>
      <c r="S166" s="5">
        <v>132.1</v>
      </c>
      <c r="T166" s="5">
        <v>138.30000000000001</v>
      </c>
      <c r="U166" s="5">
        <v>132.6</v>
      </c>
      <c r="V166" s="5">
        <v>129.4</v>
      </c>
      <c r="W166" s="5">
        <v>131.9</v>
      </c>
      <c r="X166" s="5">
        <v>129.4</v>
      </c>
      <c r="Y166" s="5">
        <v>116</v>
      </c>
      <c r="Z166" s="5">
        <v>126.6</v>
      </c>
      <c r="AA166" s="5">
        <v>136.80000000000001</v>
      </c>
      <c r="AB166" s="5">
        <v>123.6</v>
      </c>
      <c r="AC166" s="5">
        <v>125.9</v>
      </c>
      <c r="AD166" s="6">
        <v>134.19999999999999</v>
      </c>
    </row>
    <row r="167" spans="1:30">
      <c r="A167" s="4" t="s">
        <v>65</v>
      </c>
      <c r="B167" s="5">
        <v>2017</v>
      </c>
      <c r="C167" s="5" t="s">
        <v>76</v>
      </c>
      <c r="D167" s="5">
        <v>134.80000000000001</v>
      </c>
      <c r="E167" s="5">
        <v>143.1</v>
      </c>
      <c r="F167" s="5">
        <v>130</v>
      </c>
      <c r="G167" s="5">
        <v>139.4</v>
      </c>
      <c r="H167" s="5">
        <v>120.5</v>
      </c>
      <c r="I167" s="5">
        <v>148</v>
      </c>
      <c r="J167" s="5">
        <v>162.9</v>
      </c>
      <c r="K167" s="5">
        <v>137.4</v>
      </c>
      <c r="L167" s="5">
        <v>120.8</v>
      </c>
      <c r="M167" s="5">
        <v>134.69999999999999</v>
      </c>
      <c r="N167" s="5">
        <v>131.6</v>
      </c>
      <c r="O167" s="5">
        <v>148.69999999999999</v>
      </c>
      <c r="P167" s="5">
        <v>140.6</v>
      </c>
      <c r="Q167" s="5">
        <v>149</v>
      </c>
      <c r="R167" s="5">
        <v>145.30000000000001</v>
      </c>
      <c r="S167" s="5">
        <v>139.19999999999999</v>
      </c>
      <c r="T167" s="5">
        <v>144.5</v>
      </c>
      <c r="U167" s="5" t="s">
        <v>67</v>
      </c>
      <c r="V167" s="5">
        <v>136.4</v>
      </c>
      <c r="W167" s="5">
        <v>137.30000000000001</v>
      </c>
      <c r="X167" s="5">
        <v>133</v>
      </c>
      <c r="Y167" s="5">
        <v>120.3</v>
      </c>
      <c r="Z167" s="5">
        <v>131.5</v>
      </c>
      <c r="AA167" s="5">
        <v>140.19999999999999</v>
      </c>
      <c r="AB167" s="5">
        <v>125.4</v>
      </c>
      <c r="AC167" s="5">
        <v>129.69999999999999</v>
      </c>
      <c r="AD167" s="6">
        <v>137.80000000000001</v>
      </c>
    </row>
    <row r="168" spans="1:30">
      <c r="A168" s="4" t="s">
        <v>68</v>
      </c>
      <c r="B168" s="5">
        <v>2017</v>
      </c>
      <c r="C168" s="5" t="s">
        <v>76</v>
      </c>
      <c r="D168" s="5">
        <v>133.19999999999999</v>
      </c>
      <c r="E168" s="5">
        <v>143.9</v>
      </c>
      <c r="F168" s="5">
        <v>128.30000000000001</v>
      </c>
      <c r="G168" s="5">
        <v>138.30000000000001</v>
      </c>
      <c r="H168" s="5">
        <v>114.1</v>
      </c>
      <c r="I168" s="5">
        <v>142.69999999999999</v>
      </c>
      <c r="J168" s="5">
        <v>179.8</v>
      </c>
      <c r="K168" s="5">
        <v>123.5</v>
      </c>
      <c r="L168" s="5">
        <v>122.1</v>
      </c>
      <c r="M168" s="5">
        <v>137.5</v>
      </c>
      <c r="N168" s="5">
        <v>124.6</v>
      </c>
      <c r="O168" s="5">
        <v>144.5</v>
      </c>
      <c r="P168" s="5">
        <v>140.5</v>
      </c>
      <c r="Q168" s="5">
        <v>152.1</v>
      </c>
      <c r="R168" s="5">
        <v>132.69999999999999</v>
      </c>
      <c r="S168" s="5">
        <v>124.3</v>
      </c>
      <c r="T168" s="5">
        <v>131.4</v>
      </c>
      <c r="U168" s="5">
        <v>134.4</v>
      </c>
      <c r="V168" s="5">
        <v>118.9</v>
      </c>
      <c r="W168" s="5">
        <v>127.7</v>
      </c>
      <c r="X168" s="5">
        <v>125.7</v>
      </c>
      <c r="Y168" s="5">
        <v>114.6</v>
      </c>
      <c r="Z168" s="5">
        <v>124.1</v>
      </c>
      <c r="AA168" s="5">
        <v>135.69999999999999</v>
      </c>
      <c r="AB168" s="5">
        <v>123.3</v>
      </c>
      <c r="AC168" s="5">
        <v>123.8</v>
      </c>
      <c r="AD168" s="6">
        <v>132.69999999999999</v>
      </c>
    </row>
    <row r="169" spans="1:30">
      <c r="A169" s="4" t="s">
        <v>69</v>
      </c>
      <c r="B169" s="5">
        <v>2017</v>
      </c>
      <c r="C169" s="5" t="s">
        <v>76</v>
      </c>
      <c r="D169" s="5">
        <v>134.30000000000001</v>
      </c>
      <c r="E169" s="5">
        <v>143.4</v>
      </c>
      <c r="F169" s="5">
        <v>129.30000000000001</v>
      </c>
      <c r="G169" s="5">
        <v>139</v>
      </c>
      <c r="H169" s="5">
        <v>118.1</v>
      </c>
      <c r="I169" s="5">
        <v>145.5</v>
      </c>
      <c r="J169" s="5">
        <v>168.6</v>
      </c>
      <c r="K169" s="5">
        <v>132.69999999999999</v>
      </c>
      <c r="L169" s="5">
        <v>121.2</v>
      </c>
      <c r="M169" s="5">
        <v>135.6</v>
      </c>
      <c r="N169" s="5">
        <v>128.69999999999999</v>
      </c>
      <c r="O169" s="5">
        <v>146.80000000000001</v>
      </c>
      <c r="P169" s="5">
        <v>140.6</v>
      </c>
      <c r="Q169" s="5">
        <v>149.80000000000001</v>
      </c>
      <c r="R169" s="5">
        <v>140.30000000000001</v>
      </c>
      <c r="S169" s="5">
        <v>133</v>
      </c>
      <c r="T169" s="5">
        <v>139.30000000000001</v>
      </c>
      <c r="U169" s="5">
        <v>134.4</v>
      </c>
      <c r="V169" s="5">
        <v>129.80000000000001</v>
      </c>
      <c r="W169" s="5">
        <v>132.80000000000001</v>
      </c>
      <c r="X169" s="5">
        <v>130.19999999999999</v>
      </c>
      <c r="Y169" s="5">
        <v>117.3</v>
      </c>
      <c r="Z169" s="5">
        <v>127.3</v>
      </c>
      <c r="AA169" s="5">
        <v>137.6</v>
      </c>
      <c r="AB169" s="5">
        <v>124.5</v>
      </c>
      <c r="AC169" s="5">
        <v>126.8</v>
      </c>
      <c r="AD169" s="6">
        <v>135.4</v>
      </c>
    </row>
    <row r="170" spans="1:30">
      <c r="A170" s="4" t="s">
        <v>65</v>
      </c>
      <c r="B170" s="5">
        <v>2017</v>
      </c>
      <c r="C170" s="5" t="s">
        <v>77</v>
      </c>
      <c r="D170" s="5">
        <v>135.19999999999999</v>
      </c>
      <c r="E170" s="5">
        <v>142</v>
      </c>
      <c r="F170" s="5">
        <v>130.5</v>
      </c>
      <c r="G170" s="5">
        <v>140.19999999999999</v>
      </c>
      <c r="H170" s="5">
        <v>120.7</v>
      </c>
      <c r="I170" s="5">
        <v>147.80000000000001</v>
      </c>
      <c r="J170" s="5">
        <v>154.5</v>
      </c>
      <c r="K170" s="5">
        <v>137.1</v>
      </c>
      <c r="L170" s="5">
        <v>121</v>
      </c>
      <c r="M170" s="5">
        <v>134.69999999999999</v>
      </c>
      <c r="N170" s="5">
        <v>131.69999999999999</v>
      </c>
      <c r="O170" s="5">
        <v>149.30000000000001</v>
      </c>
      <c r="P170" s="5">
        <v>139.6</v>
      </c>
      <c r="Q170" s="5">
        <v>149.80000000000001</v>
      </c>
      <c r="R170" s="5">
        <v>146.1</v>
      </c>
      <c r="S170" s="5">
        <v>139.69999999999999</v>
      </c>
      <c r="T170" s="5">
        <v>145.19999999999999</v>
      </c>
      <c r="U170" s="5" t="s">
        <v>67</v>
      </c>
      <c r="V170" s="5">
        <v>137.4</v>
      </c>
      <c r="W170" s="5">
        <v>137.9</v>
      </c>
      <c r="X170" s="5">
        <v>133.4</v>
      </c>
      <c r="Y170" s="5">
        <v>121.2</v>
      </c>
      <c r="Z170" s="5">
        <v>132.30000000000001</v>
      </c>
      <c r="AA170" s="5">
        <v>139.6</v>
      </c>
      <c r="AB170" s="5">
        <v>126.7</v>
      </c>
      <c r="AC170" s="5">
        <v>130.30000000000001</v>
      </c>
      <c r="AD170" s="6">
        <v>137.6</v>
      </c>
    </row>
    <row r="171" spans="1:30">
      <c r="A171" s="4" t="s">
        <v>68</v>
      </c>
      <c r="B171" s="5">
        <v>2017</v>
      </c>
      <c r="C171" s="5" t="s">
        <v>77</v>
      </c>
      <c r="D171" s="5">
        <v>133.6</v>
      </c>
      <c r="E171" s="5">
        <v>143</v>
      </c>
      <c r="F171" s="5">
        <v>129.69999999999999</v>
      </c>
      <c r="G171" s="5">
        <v>138.69999999999999</v>
      </c>
      <c r="H171" s="5">
        <v>114.5</v>
      </c>
      <c r="I171" s="5">
        <v>137.5</v>
      </c>
      <c r="J171" s="5">
        <v>160.69999999999999</v>
      </c>
      <c r="K171" s="5">
        <v>124.5</v>
      </c>
      <c r="L171" s="5">
        <v>122.4</v>
      </c>
      <c r="M171" s="5">
        <v>137.30000000000001</v>
      </c>
      <c r="N171" s="5">
        <v>124.8</v>
      </c>
      <c r="O171" s="5">
        <v>145</v>
      </c>
      <c r="P171" s="5">
        <v>138</v>
      </c>
      <c r="Q171" s="5">
        <v>153.6</v>
      </c>
      <c r="R171" s="5">
        <v>133.30000000000001</v>
      </c>
      <c r="S171" s="5">
        <v>124.6</v>
      </c>
      <c r="T171" s="5">
        <v>132</v>
      </c>
      <c r="U171" s="5">
        <v>135.69999999999999</v>
      </c>
      <c r="V171" s="5">
        <v>120.6</v>
      </c>
      <c r="W171" s="5">
        <v>128.1</v>
      </c>
      <c r="X171" s="5">
        <v>126.1</v>
      </c>
      <c r="Y171" s="5">
        <v>115.7</v>
      </c>
      <c r="Z171" s="5">
        <v>124.5</v>
      </c>
      <c r="AA171" s="5">
        <v>135.9</v>
      </c>
      <c r="AB171" s="5">
        <v>124.4</v>
      </c>
      <c r="AC171" s="5">
        <v>124.5</v>
      </c>
      <c r="AD171" s="6">
        <v>132.4</v>
      </c>
    </row>
    <row r="172" spans="1:30">
      <c r="A172" s="4" t="s">
        <v>69</v>
      </c>
      <c r="B172" s="5">
        <v>2017</v>
      </c>
      <c r="C172" s="5" t="s">
        <v>77</v>
      </c>
      <c r="D172" s="5">
        <v>134.69999999999999</v>
      </c>
      <c r="E172" s="5">
        <v>142.4</v>
      </c>
      <c r="F172" s="5">
        <v>130.19999999999999</v>
      </c>
      <c r="G172" s="5">
        <v>139.6</v>
      </c>
      <c r="H172" s="5">
        <v>118.4</v>
      </c>
      <c r="I172" s="5">
        <v>143</v>
      </c>
      <c r="J172" s="5">
        <v>156.6</v>
      </c>
      <c r="K172" s="5">
        <v>132.9</v>
      </c>
      <c r="L172" s="5">
        <v>121.5</v>
      </c>
      <c r="M172" s="5">
        <v>135.6</v>
      </c>
      <c r="N172" s="5">
        <v>128.80000000000001</v>
      </c>
      <c r="O172" s="5">
        <v>147.30000000000001</v>
      </c>
      <c r="P172" s="5">
        <v>139</v>
      </c>
      <c r="Q172" s="5">
        <v>150.80000000000001</v>
      </c>
      <c r="R172" s="5">
        <v>141.1</v>
      </c>
      <c r="S172" s="5">
        <v>133.4</v>
      </c>
      <c r="T172" s="5">
        <v>140</v>
      </c>
      <c r="U172" s="5">
        <v>135.69999999999999</v>
      </c>
      <c r="V172" s="5">
        <v>131</v>
      </c>
      <c r="W172" s="5">
        <v>133.30000000000001</v>
      </c>
      <c r="X172" s="5">
        <v>130.6</v>
      </c>
      <c r="Y172" s="5">
        <v>118.3</v>
      </c>
      <c r="Z172" s="5">
        <v>127.9</v>
      </c>
      <c r="AA172" s="5">
        <v>137.4</v>
      </c>
      <c r="AB172" s="5">
        <v>125.7</v>
      </c>
      <c r="AC172" s="5">
        <v>127.5</v>
      </c>
      <c r="AD172" s="6">
        <v>135.19999999999999</v>
      </c>
    </row>
    <row r="173" spans="1:30">
      <c r="A173" s="4" t="s">
        <v>65</v>
      </c>
      <c r="B173" s="5">
        <v>2017</v>
      </c>
      <c r="C173" s="5" t="s">
        <v>78</v>
      </c>
      <c r="D173" s="5">
        <v>135.9</v>
      </c>
      <c r="E173" s="5">
        <v>141.9</v>
      </c>
      <c r="F173" s="5">
        <v>131</v>
      </c>
      <c r="G173" s="5">
        <v>141.5</v>
      </c>
      <c r="H173" s="5">
        <v>121.4</v>
      </c>
      <c r="I173" s="5">
        <v>146.69999999999999</v>
      </c>
      <c r="J173" s="5">
        <v>157.1</v>
      </c>
      <c r="K173" s="5">
        <v>136.4</v>
      </c>
      <c r="L173" s="5">
        <v>121.4</v>
      </c>
      <c r="M173" s="5">
        <v>135.6</v>
      </c>
      <c r="N173" s="5">
        <v>131.30000000000001</v>
      </c>
      <c r="O173" s="5">
        <v>150.30000000000001</v>
      </c>
      <c r="P173" s="5">
        <v>140.4</v>
      </c>
      <c r="Q173" s="5">
        <v>150.5</v>
      </c>
      <c r="R173" s="5">
        <v>147.19999999999999</v>
      </c>
      <c r="S173" s="5">
        <v>140.6</v>
      </c>
      <c r="T173" s="5">
        <v>146.19999999999999</v>
      </c>
      <c r="U173" s="5" t="s">
        <v>67</v>
      </c>
      <c r="V173" s="5">
        <v>138.1</v>
      </c>
      <c r="W173" s="5">
        <v>138.4</v>
      </c>
      <c r="X173" s="5">
        <v>134.19999999999999</v>
      </c>
      <c r="Y173" s="5">
        <v>121</v>
      </c>
      <c r="Z173" s="5">
        <v>133</v>
      </c>
      <c r="AA173" s="5">
        <v>140.1</v>
      </c>
      <c r="AB173" s="5">
        <v>127.4</v>
      </c>
      <c r="AC173" s="5">
        <v>130.69999999999999</v>
      </c>
      <c r="AD173" s="6">
        <v>138.30000000000001</v>
      </c>
    </row>
    <row r="174" spans="1:30">
      <c r="A174" s="4" t="s">
        <v>68</v>
      </c>
      <c r="B174" s="5">
        <v>2017</v>
      </c>
      <c r="C174" s="5" t="s">
        <v>78</v>
      </c>
      <c r="D174" s="5">
        <v>133.9</v>
      </c>
      <c r="E174" s="5">
        <v>142.80000000000001</v>
      </c>
      <c r="F174" s="5">
        <v>131.4</v>
      </c>
      <c r="G174" s="5">
        <v>139.1</v>
      </c>
      <c r="H174" s="5">
        <v>114.9</v>
      </c>
      <c r="I174" s="5">
        <v>135.6</v>
      </c>
      <c r="J174" s="5">
        <v>173.2</v>
      </c>
      <c r="K174" s="5">
        <v>124.1</v>
      </c>
      <c r="L174" s="5">
        <v>122.6</v>
      </c>
      <c r="M174" s="5">
        <v>137.80000000000001</v>
      </c>
      <c r="N174" s="5">
        <v>125.1</v>
      </c>
      <c r="O174" s="5">
        <v>145.5</v>
      </c>
      <c r="P174" s="5">
        <v>139.69999999999999</v>
      </c>
      <c r="Q174" s="5">
        <v>154.6</v>
      </c>
      <c r="R174" s="5">
        <v>134</v>
      </c>
      <c r="S174" s="5">
        <v>124.9</v>
      </c>
      <c r="T174" s="5">
        <v>132.6</v>
      </c>
      <c r="U174" s="5">
        <v>137.30000000000001</v>
      </c>
      <c r="V174" s="5">
        <v>122.6</v>
      </c>
      <c r="W174" s="5">
        <v>128.30000000000001</v>
      </c>
      <c r="X174" s="5">
        <v>126.6</v>
      </c>
      <c r="Y174" s="5">
        <v>115</v>
      </c>
      <c r="Z174" s="5">
        <v>124.8</v>
      </c>
      <c r="AA174" s="5">
        <v>136.30000000000001</v>
      </c>
      <c r="AB174" s="5">
        <v>124.6</v>
      </c>
      <c r="AC174" s="5">
        <v>124.5</v>
      </c>
      <c r="AD174" s="6">
        <v>133.5</v>
      </c>
    </row>
    <row r="175" spans="1:30">
      <c r="A175" s="4" t="s">
        <v>69</v>
      </c>
      <c r="B175" s="5">
        <v>2017</v>
      </c>
      <c r="C175" s="5" t="s">
        <v>78</v>
      </c>
      <c r="D175" s="5">
        <v>135.30000000000001</v>
      </c>
      <c r="E175" s="5">
        <v>142.19999999999999</v>
      </c>
      <c r="F175" s="5">
        <v>131.19999999999999</v>
      </c>
      <c r="G175" s="5">
        <v>140.6</v>
      </c>
      <c r="H175" s="5">
        <v>119</v>
      </c>
      <c r="I175" s="5">
        <v>141.5</v>
      </c>
      <c r="J175" s="5">
        <v>162.6</v>
      </c>
      <c r="K175" s="5">
        <v>132.30000000000001</v>
      </c>
      <c r="L175" s="5">
        <v>121.8</v>
      </c>
      <c r="M175" s="5">
        <v>136.30000000000001</v>
      </c>
      <c r="N175" s="5">
        <v>128.69999999999999</v>
      </c>
      <c r="O175" s="5">
        <v>148.1</v>
      </c>
      <c r="P175" s="5">
        <v>140.1</v>
      </c>
      <c r="Q175" s="5">
        <v>151.6</v>
      </c>
      <c r="R175" s="5">
        <v>142</v>
      </c>
      <c r="S175" s="5">
        <v>134.1</v>
      </c>
      <c r="T175" s="5">
        <v>140.80000000000001</v>
      </c>
      <c r="U175" s="5">
        <v>137.30000000000001</v>
      </c>
      <c r="V175" s="5">
        <v>132.19999999999999</v>
      </c>
      <c r="W175" s="5">
        <v>133.6</v>
      </c>
      <c r="X175" s="5">
        <v>131.30000000000001</v>
      </c>
      <c r="Y175" s="5">
        <v>117.8</v>
      </c>
      <c r="Z175" s="5">
        <v>128.4</v>
      </c>
      <c r="AA175" s="5">
        <v>137.9</v>
      </c>
      <c r="AB175" s="5">
        <v>126.2</v>
      </c>
      <c r="AC175" s="5">
        <v>127.7</v>
      </c>
      <c r="AD175" s="6">
        <v>136.1</v>
      </c>
    </row>
    <row r="176" spans="1:30">
      <c r="A176" s="4" t="s">
        <v>65</v>
      </c>
      <c r="B176" s="5">
        <v>2017</v>
      </c>
      <c r="C176" s="5" t="s">
        <v>79</v>
      </c>
      <c r="D176" s="5">
        <v>136.30000000000001</v>
      </c>
      <c r="E176" s="5">
        <v>142.5</v>
      </c>
      <c r="F176" s="5">
        <v>140.5</v>
      </c>
      <c r="G176" s="5">
        <v>141.5</v>
      </c>
      <c r="H176" s="5">
        <v>121.6</v>
      </c>
      <c r="I176" s="5">
        <v>147.30000000000001</v>
      </c>
      <c r="J176" s="5">
        <v>168</v>
      </c>
      <c r="K176" s="5">
        <v>135.80000000000001</v>
      </c>
      <c r="L176" s="5">
        <v>122.5</v>
      </c>
      <c r="M176" s="5">
        <v>136</v>
      </c>
      <c r="N176" s="5">
        <v>131.9</v>
      </c>
      <c r="O176" s="5">
        <v>151.4</v>
      </c>
      <c r="P176" s="5">
        <v>142.4</v>
      </c>
      <c r="Q176" s="5">
        <v>152.1</v>
      </c>
      <c r="R176" s="5">
        <v>148.19999999999999</v>
      </c>
      <c r="S176" s="5">
        <v>141.5</v>
      </c>
      <c r="T176" s="5">
        <v>147.30000000000001</v>
      </c>
      <c r="U176" s="5" t="s">
        <v>67</v>
      </c>
      <c r="V176" s="5">
        <v>141.1</v>
      </c>
      <c r="W176" s="5">
        <v>139.4</v>
      </c>
      <c r="X176" s="5">
        <v>135.80000000000001</v>
      </c>
      <c r="Y176" s="5">
        <v>121.6</v>
      </c>
      <c r="Z176" s="5">
        <v>133.69999999999999</v>
      </c>
      <c r="AA176" s="5">
        <v>141.5</v>
      </c>
      <c r="AB176" s="5">
        <v>128.1</v>
      </c>
      <c r="AC176" s="5">
        <v>131.69999999999999</v>
      </c>
      <c r="AD176" s="6">
        <v>140</v>
      </c>
    </row>
    <row r="177" spans="1:30">
      <c r="A177" s="4" t="s">
        <v>68</v>
      </c>
      <c r="B177" s="5">
        <v>2017</v>
      </c>
      <c r="C177" s="5" t="s">
        <v>79</v>
      </c>
      <c r="D177" s="5">
        <v>134.30000000000001</v>
      </c>
      <c r="E177" s="5">
        <v>142.1</v>
      </c>
      <c r="F177" s="5">
        <v>146.69999999999999</v>
      </c>
      <c r="G177" s="5">
        <v>139.5</v>
      </c>
      <c r="H177" s="5">
        <v>115.2</v>
      </c>
      <c r="I177" s="5">
        <v>136.4</v>
      </c>
      <c r="J177" s="5">
        <v>185.2</v>
      </c>
      <c r="K177" s="5">
        <v>122.2</v>
      </c>
      <c r="L177" s="5">
        <v>123.9</v>
      </c>
      <c r="M177" s="5">
        <v>138.30000000000001</v>
      </c>
      <c r="N177" s="5">
        <v>125.4</v>
      </c>
      <c r="O177" s="5">
        <v>146</v>
      </c>
      <c r="P177" s="5">
        <v>141.5</v>
      </c>
      <c r="Q177" s="5">
        <v>156.19999999999999</v>
      </c>
      <c r="R177" s="5">
        <v>135</v>
      </c>
      <c r="S177" s="5">
        <v>125.4</v>
      </c>
      <c r="T177" s="5">
        <v>133.5</v>
      </c>
      <c r="U177" s="5">
        <v>138.6</v>
      </c>
      <c r="V177" s="5">
        <v>125.7</v>
      </c>
      <c r="W177" s="5">
        <v>128.80000000000001</v>
      </c>
      <c r="X177" s="5">
        <v>127.4</v>
      </c>
      <c r="Y177" s="5">
        <v>115.3</v>
      </c>
      <c r="Z177" s="5">
        <v>125.1</v>
      </c>
      <c r="AA177" s="5">
        <v>136.6</v>
      </c>
      <c r="AB177" s="5">
        <v>124.9</v>
      </c>
      <c r="AC177" s="5">
        <v>124.9</v>
      </c>
      <c r="AD177" s="6">
        <v>134.80000000000001</v>
      </c>
    </row>
    <row r="178" spans="1:30">
      <c r="A178" s="4" t="s">
        <v>69</v>
      </c>
      <c r="B178" s="5">
        <v>2017</v>
      </c>
      <c r="C178" s="5" t="s">
        <v>79</v>
      </c>
      <c r="D178" s="5">
        <v>135.69999999999999</v>
      </c>
      <c r="E178" s="5">
        <v>142.4</v>
      </c>
      <c r="F178" s="5">
        <v>142.9</v>
      </c>
      <c r="G178" s="5">
        <v>140.80000000000001</v>
      </c>
      <c r="H178" s="5">
        <v>119.2</v>
      </c>
      <c r="I178" s="5">
        <v>142.19999999999999</v>
      </c>
      <c r="J178" s="5">
        <v>173.8</v>
      </c>
      <c r="K178" s="5">
        <v>131.19999999999999</v>
      </c>
      <c r="L178" s="5">
        <v>123</v>
      </c>
      <c r="M178" s="5">
        <v>136.80000000000001</v>
      </c>
      <c r="N178" s="5">
        <v>129.19999999999999</v>
      </c>
      <c r="O178" s="5">
        <v>148.9</v>
      </c>
      <c r="P178" s="5">
        <v>142.1</v>
      </c>
      <c r="Q178" s="5">
        <v>153.19999999999999</v>
      </c>
      <c r="R178" s="5">
        <v>143</v>
      </c>
      <c r="S178" s="5">
        <v>134.80000000000001</v>
      </c>
      <c r="T178" s="5">
        <v>141.80000000000001</v>
      </c>
      <c r="U178" s="5">
        <v>138.6</v>
      </c>
      <c r="V178" s="5">
        <v>135.30000000000001</v>
      </c>
      <c r="W178" s="5">
        <v>134.4</v>
      </c>
      <c r="X178" s="5">
        <v>132.6</v>
      </c>
      <c r="Y178" s="5">
        <v>118.3</v>
      </c>
      <c r="Z178" s="5">
        <v>128.9</v>
      </c>
      <c r="AA178" s="5">
        <v>138.6</v>
      </c>
      <c r="AB178" s="5">
        <v>126.8</v>
      </c>
      <c r="AC178" s="5">
        <v>128.4</v>
      </c>
      <c r="AD178" s="6">
        <v>137.6</v>
      </c>
    </row>
    <row r="179" spans="1:30">
      <c r="A179" s="4" t="s">
        <v>65</v>
      </c>
      <c r="B179" s="5">
        <v>2017</v>
      </c>
      <c r="C179" s="5" t="s">
        <v>80</v>
      </c>
      <c r="D179" s="5">
        <v>136.4</v>
      </c>
      <c r="E179" s="5">
        <v>143.69999999999999</v>
      </c>
      <c r="F179" s="5">
        <v>144.80000000000001</v>
      </c>
      <c r="G179" s="5">
        <v>141.9</v>
      </c>
      <c r="H179" s="5">
        <v>123.1</v>
      </c>
      <c r="I179" s="5">
        <v>147.19999999999999</v>
      </c>
      <c r="J179" s="5">
        <v>161</v>
      </c>
      <c r="K179" s="5">
        <v>133.80000000000001</v>
      </c>
      <c r="L179" s="5">
        <v>121.9</v>
      </c>
      <c r="M179" s="5">
        <v>135.80000000000001</v>
      </c>
      <c r="N179" s="5">
        <v>131.1</v>
      </c>
      <c r="O179" s="5">
        <v>151.4</v>
      </c>
      <c r="P179" s="5">
        <v>141.5</v>
      </c>
      <c r="Q179" s="5">
        <v>153.19999999999999</v>
      </c>
      <c r="R179" s="5">
        <v>148</v>
      </c>
      <c r="S179" s="5">
        <v>141.9</v>
      </c>
      <c r="T179" s="5">
        <v>147.19999999999999</v>
      </c>
      <c r="U179" s="5" t="s">
        <v>67</v>
      </c>
      <c r="V179" s="5">
        <v>142.6</v>
      </c>
      <c r="W179" s="5">
        <v>139.5</v>
      </c>
      <c r="X179" s="5">
        <v>136.1</v>
      </c>
      <c r="Y179" s="5">
        <v>122</v>
      </c>
      <c r="Z179" s="5">
        <v>133.4</v>
      </c>
      <c r="AA179" s="5">
        <v>141.1</v>
      </c>
      <c r="AB179" s="5">
        <v>127.8</v>
      </c>
      <c r="AC179" s="5">
        <v>131.9</v>
      </c>
      <c r="AD179" s="6">
        <v>139.80000000000001</v>
      </c>
    </row>
    <row r="180" spans="1:30">
      <c r="A180" s="4" t="s">
        <v>68</v>
      </c>
      <c r="B180" s="5">
        <v>2017</v>
      </c>
      <c r="C180" s="5" t="s">
        <v>80</v>
      </c>
      <c r="D180" s="5">
        <v>134.4</v>
      </c>
      <c r="E180" s="5">
        <v>142.6</v>
      </c>
      <c r="F180" s="5">
        <v>145.9</v>
      </c>
      <c r="G180" s="5">
        <v>139.5</v>
      </c>
      <c r="H180" s="5">
        <v>115.9</v>
      </c>
      <c r="I180" s="5">
        <v>135</v>
      </c>
      <c r="J180" s="5">
        <v>163.19999999999999</v>
      </c>
      <c r="K180" s="5">
        <v>119.8</v>
      </c>
      <c r="L180" s="5">
        <v>120.7</v>
      </c>
      <c r="M180" s="5">
        <v>139.69999999999999</v>
      </c>
      <c r="N180" s="5">
        <v>125.7</v>
      </c>
      <c r="O180" s="5">
        <v>146.30000000000001</v>
      </c>
      <c r="P180" s="5">
        <v>138.80000000000001</v>
      </c>
      <c r="Q180" s="5">
        <v>157</v>
      </c>
      <c r="R180" s="5">
        <v>135.6</v>
      </c>
      <c r="S180" s="5">
        <v>125.6</v>
      </c>
      <c r="T180" s="5">
        <v>134</v>
      </c>
      <c r="U180" s="5">
        <v>139.1</v>
      </c>
      <c r="V180" s="5">
        <v>126.8</v>
      </c>
      <c r="W180" s="5">
        <v>129.30000000000001</v>
      </c>
      <c r="X180" s="5">
        <v>128.19999999999999</v>
      </c>
      <c r="Y180" s="5">
        <v>115.3</v>
      </c>
      <c r="Z180" s="5">
        <v>125.6</v>
      </c>
      <c r="AA180" s="5">
        <v>136.69999999999999</v>
      </c>
      <c r="AB180" s="5">
        <v>124.6</v>
      </c>
      <c r="AC180" s="5">
        <v>125.1</v>
      </c>
      <c r="AD180" s="6">
        <v>134.1</v>
      </c>
    </row>
    <row r="181" spans="1:30">
      <c r="A181" s="4" t="s">
        <v>69</v>
      </c>
      <c r="B181" s="5">
        <v>2017</v>
      </c>
      <c r="C181" s="5" t="s">
        <v>80</v>
      </c>
      <c r="D181" s="5">
        <v>135.80000000000001</v>
      </c>
      <c r="E181" s="5">
        <v>143.30000000000001</v>
      </c>
      <c r="F181" s="5">
        <v>145.19999999999999</v>
      </c>
      <c r="G181" s="5">
        <v>141</v>
      </c>
      <c r="H181" s="5">
        <v>120.5</v>
      </c>
      <c r="I181" s="5">
        <v>141.5</v>
      </c>
      <c r="J181" s="5">
        <v>161.69999999999999</v>
      </c>
      <c r="K181" s="5">
        <v>129.1</v>
      </c>
      <c r="L181" s="5">
        <v>121.5</v>
      </c>
      <c r="M181" s="5">
        <v>137.1</v>
      </c>
      <c r="N181" s="5">
        <v>128.80000000000001</v>
      </c>
      <c r="O181" s="5">
        <v>149</v>
      </c>
      <c r="P181" s="5">
        <v>140.5</v>
      </c>
      <c r="Q181" s="5">
        <v>154.19999999999999</v>
      </c>
      <c r="R181" s="5">
        <v>143.1</v>
      </c>
      <c r="S181" s="5">
        <v>135.1</v>
      </c>
      <c r="T181" s="5">
        <v>142</v>
      </c>
      <c r="U181" s="5">
        <v>139.1</v>
      </c>
      <c r="V181" s="5">
        <v>136.6</v>
      </c>
      <c r="W181" s="5">
        <v>134.69999999999999</v>
      </c>
      <c r="X181" s="5">
        <v>133.1</v>
      </c>
      <c r="Y181" s="5">
        <v>118.5</v>
      </c>
      <c r="Z181" s="5">
        <v>129</v>
      </c>
      <c r="AA181" s="5">
        <v>138.5</v>
      </c>
      <c r="AB181" s="5">
        <v>126.5</v>
      </c>
      <c r="AC181" s="5">
        <v>128.6</v>
      </c>
      <c r="AD181" s="6">
        <v>137.19999999999999</v>
      </c>
    </row>
    <row r="182" spans="1:30">
      <c r="A182" s="4" t="s">
        <v>65</v>
      </c>
      <c r="B182" s="5">
        <v>2018</v>
      </c>
      <c r="C182" s="5" t="s">
        <v>66</v>
      </c>
      <c r="D182" s="5">
        <v>136.6</v>
      </c>
      <c r="E182" s="5">
        <v>144.4</v>
      </c>
      <c r="F182" s="5">
        <v>143.80000000000001</v>
      </c>
      <c r="G182" s="5">
        <v>142</v>
      </c>
      <c r="H182" s="5">
        <v>123.2</v>
      </c>
      <c r="I182" s="5">
        <v>147.9</v>
      </c>
      <c r="J182" s="5">
        <v>152.1</v>
      </c>
      <c r="K182" s="5">
        <v>131.80000000000001</v>
      </c>
      <c r="L182" s="5">
        <v>119.5</v>
      </c>
      <c r="M182" s="5">
        <v>136</v>
      </c>
      <c r="N182" s="5">
        <v>131.19999999999999</v>
      </c>
      <c r="O182" s="5">
        <v>151.80000000000001</v>
      </c>
      <c r="P182" s="5">
        <v>140.4</v>
      </c>
      <c r="Q182" s="5">
        <v>153.6</v>
      </c>
      <c r="R182" s="5">
        <v>148.30000000000001</v>
      </c>
      <c r="S182" s="5">
        <v>142.30000000000001</v>
      </c>
      <c r="T182" s="5">
        <v>147.5</v>
      </c>
      <c r="U182" s="5" t="s">
        <v>67</v>
      </c>
      <c r="V182" s="5">
        <v>142.30000000000001</v>
      </c>
      <c r="W182" s="5">
        <v>139.80000000000001</v>
      </c>
      <c r="X182" s="5">
        <v>136</v>
      </c>
      <c r="Y182" s="5">
        <v>122.7</v>
      </c>
      <c r="Z182" s="5">
        <v>134.30000000000001</v>
      </c>
      <c r="AA182" s="5">
        <v>141.6</v>
      </c>
      <c r="AB182" s="5">
        <v>128.6</v>
      </c>
      <c r="AC182" s="5">
        <v>132.30000000000001</v>
      </c>
      <c r="AD182" s="6">
        <v>139.30000000000001</v>
      </c>
    </row>
    <row r="183" spans="1:30">
      <c r="A183" s="4" t="s">
        <v>68</v>
      </c>
      <c r="B183" s="5">
        <v>2018</v>
      </c>
      <c r="C183" s="5" t="s">
        <v>66</v>
      </c>
      <c r="D183" s="5">
        <v>134.6</v>
      </c>
      <c r="E183" s="5">
        <v>143.69999999999999</v>
      </c>
      <c r="F183" s="5">
        <v>143.6</v>
      </c>
      <c r="G183" s="5">
        <v>139.6</v>
      </c>
      <c r="H183" s="5">
        <v>116.4</v>
      </c>
      <c r="I183" s="5">
        <v>133.80000000000001</v>
      </c>
      <c r="J183" s="5">
        <v>150.5</v>
      </c>
      <c r="K183" s="5">
        <v>118.4</v>
      </c>
      <c r="L183" s="5">
        <v>117.3</v>
      </c>
      <c r="M183" s="5">
        <v>140.5</v>
      </c>
      <c r="N183" s="5">
        <v>125.9</v>
      </c>
      <c r="O183" s="5">
        <v>146.80000000000001</v>
      </c>
      <c r="P183" s="5">
        <v>137.19999999999999</v>
      </c>
      <c r="Q183" s="5">
        <v>157.69999999999999</v>
      </c>
      <c r="R183" s="5">
        <v>136</v>
      </c>
      <c r="S183" s="5">
        <v>125.9</v>
      </c>
      <c r="T183" s="5">
        <v>134.4</v>
      </c>
      <c r="U183" s="5">
        <v>140.4</v>
      </c>
      <c r="V183" s="5">
        <v>127.3</v>
      </c>
      <c r="W183" s="5">
        <v>129.5</v>
      </c>
      <c r="X183" s="5">
        <v>129</v>
      </c>
      <c r="Y183" s="5">
        <v>116.3</v>
      </c>
      <c r="Z183" s="5">
        <v>126.2</v>
      </c>
      <c r="AA183" s="5">
        <v>137.1</v>
      </c>
      <c r="AB183" s="5">
        <v>125.5</v>
      </c>
      <c r="AC183" s="5">
        <v>125.8</v>
      </c>
      <c r="AD183" s="6">
        <v>134.1</v>
      </c>
    </row>
    <row r="184" spans="1:30">
      <c r="A184" s="4" t="s">
        <v>69</v>
      </c>
      <c r="B184" s="5">
        <v>2018</v>
      </c>
      <c r="C184" s="5" t="s">
        <v>66</v>
      </c>
      <c r="D184" s="5">
        <v>136</v>
      </c>
      <c r="E184" s="5">
        <v>144.19999999999999</v>
      </c>
      <c r="F184" s="5">
        <v>143.69999999999999</v>
      </c>
      <c r="G184" s="5">
        <v>141.1</v>
      </c>
      <c r="H184" s="5">
        <v>120.7</v>
      </c>
      <c r="I184" s="5">
        <v>141.30000000000001</v>
      </c>
      <c r="J184" s="5">
        <v>151.6</v>
      </c>
      <c r="K184" s="5">
        <v>127.3</v>
      </c>
      <c r="L184" s="5">
        <v>118.8</v>
      </c>
      <c r="M184" s="5">
        <v>137.5</v>
      </c>
      <c r="N184" s="5">
        <v>129</v>
      </c>
      <c r="O184" s="5">
        <v>149.5</v>
      </c>
      <c r="P184" s="5">
        <v>139.19999999999999</v>
      </c>
      <c r="Q184" s="5">
        <v>154.69999999999999</v>
      </c>
      <c r="R184" s="5">
        <v>143.5</v>
      </c>
      <c r="S184" s="5">
        <v>135.5</v>
      </c>
      <c r="T184" s="5">
        <v>142.30000000000001</v>
      </c>
      <c r="U184" s="5">
        <v>140.4</v>
      </c>
      <c r="V184" s="5">
        <v>136.6</v>
      </c>
      <c r="W184" s="5">
        <v>134.9</v>
      </c>
      <c r="X184" s="5">
        <v>133.30000000000001</v>
      </c>
      <c r="Y184" s="5">
        <v>119.3</v>
      </c>
      <c r="Z184" s="5">
        <v>129.69999999999999</v>
      </c>
      <c r="AA184" s="5">
        <v>139</v>
      </c>
      <c r="AB184" s="5">
        <v>127.3</v>
      </c>
      <c r="AC184" s="5">
        <v>129.1</v>
      </c>
      <c r="AD184" s="6">
        <v>136.9</v>
      </c>
    </row>
    <row r="185" spans="1:30">
      <c r="A185" s="4" t="s">
        <v>65</v>
      </c>
      <c r="B185" s="5">
        <v>2018</v>
      </c>
      <c r="C185" s="5" t="s">
        <v>70</v>
      </c>
      <c r="D185" s="5">
        <v>136.4</v>
      </c>
      <c r="E185" s="5">
        <v>143.69999999999999</v>
      </c>
      <c r="F185" s="5">
        <v>140.6</v>
      </c>
      <c r="G185" s="5">
        <v>141.5</v>
      </c>
      <c r="H185" s="5">
        <v>122.9</v>
      </c>
      <c r="I185" s="5">
        <v>149.4</v>
      </c>
      <c r="J185" s="5">
        <v>142.4</v>
      </c>
      <c r="K185" s="5">
        <v>130.19999999999999</v>
      </c>
      <c r="L185" s="5">
        <v>117.9</v>
      </c>
      <c r="M185" s="5">
        <v>135.6</v>
      </c>
      <c r="N185" s="5">
        <v>130.5</v>
      </c>
      <c r="O185" s="5">
        <v>151.69999999999999</v>
      </c>
      <c r="P185" s="5">
        <v>138.69999999999999</v>
      </c>
      <c r="Q185" s="5">
        <v>153.30000000000001</v>
      </c>
      <c r="R185" s="5">
        <v>148.69999999999999</v>
      </c>
      <c r="S185" s="5">
        <v>142.4</v>
      </c>
      <c r="T185" s="5">
        <v>147.80000000000001</v>
      </c>
      <c r="U185" s="5" t="s">
        <v>67</v>
      </c>
      <c r="V185" s="5">
        <v>142.4</v>
      </c>
      <c r="W185" s="5">
        <v>139.9</v>
      </c>
      <c r="X185" s="5">
        <v>136.19999999999999</v>
      </c>
      <c r="Y185" s="5">
        <v>123.3</v>
      </c>
      <c r="Z185" s="5">
        <v>134.30000000000001</v>
      </c>
      <c r="AA185" s="5">
        <v>141.5</v>
      </c>
      <c r="AB185" s="5">
        <v>128.80000000000001</v>
      </c>
      <c r="AC185" s="5">
        <v>132.5</v>
      </c>
      <c r="AD185" s="6">
        <v>138.5</v>
      </c>
    </row>
    <row r="186" spans="1:30">
      <c r="A186" s="4" t="s">
        <v>68</v>
      </c>
      <c r="B186" s="5">
        <v>2018</v>
      </c>
      <c r="C186" s="5" t="s">
        <v>70</v>
      </c>
      <c r="D186" s="5">
        <v>134.80000000000001</v>
      </c>
      <c r="E186" s="5">
        <v>143</v>
      </c>
      <c r="F186" s="5">
        <v>139.9</v>
      </c>
      <c r="G186" s="5">
        <v>139.9</v>
      </c>
      <c r="H186" s="5">
        <v>116.2</v>
      </c>
      <c r="I186" s="5">
        <v>135.5</v>
      </c>
      <c r="J186" s="5">
        <v>136.9</v>
      </c>
      <c r="K186" s="5">
        <v>117</v>
      </c>
      <c r="L186" s="5">
        <v>115.4</v>
      </c>
      <c r="M186" s="5">
        <v>140.69999999999999</v>
      </c>
      <c r="N186" s="5">
        <v>125.9</v>
      </c>
      <c r="O186" s="5">
        <v>147.1</v>
      </c>
      <c r="P186" s="5">
        <v>135.6</v>
      </c>
      <c r="Q186" s="5">
        <v>159.30000000000001</v>
      </c>
      <c r="R186" s="5">
        <v>136.30000000000001</v>
      </c>
      <c r="S186" s="5">
        <v>126.1</v>
      </c>
      <c r="T186" s="5">
        <v>134.69999999999999</v>
      </c>
      <c r="U186" s="5">
        <v>141.30000000000001</v>
      </c>
      <c r="V186" s="5">
        <v>127.3</v>
      </c>
      <c r="W186" s="5">
        <v>129.9</v>
      </c>
      <c r="X186" s="5">
        <v>129.80000000000001</v>
      </c>
      <c r="Y186" s="5">
        <v>117.4</v>
      </c>
      <c r="Z186" s="5">
        <v>126.5</v>
      </c>
      <c r="AA186" s="5">
        <v>137.19999999999999</v>
      </c>
      <c r="AB186" s="5">
        <v>126.2</v>
      </c>
      <c r="AC186" s="5">
        <v>126.5</v>
      </c>
      <c r="AD186" s="6">
        <v>134</v>
      </c>
    </row>
    <row r="187" spans="1:30">
      <c r="A187" s="4" t="s">
        <v>69</v>
      </c>
      <c r="B187" s="5">
        <v>2018</v>
      </c>
      <c r="C187" s="5" t="s">
        <v>70</v>
      </c>
      <c r="D187" s="5">
        <v>135.9</v>
      </c>
      <c r="E187" s="5">
        <v>143.5</v>
      </c>
      <c r="F187" s="5">
        <v>140.30000000000001</v>
      </c>
      <c r="G187" s="5">
        <v>140.9</v>
      </c>
      <c r="H187" s="5">
        <v>120.4</v>
      </c>
      <c r="I187" s="5">
        <v>142.9</v>
      </c>
      <c r="J187" s="5">
        <v>140.5</v>
      </c>
      <c r="K187" s="5">
        <v>125.8</v>
      </c>
      <c r="L187" s="5">
        <v>117.1</v>
      </c>
      <c r="M187" s="5">
        <v>137.30000000000001</v>
      </c>
      <c r="N187" s="5">
        <v>128.6</v>
      </c>
      <c r="O187" s="5">
        <v>149.6</v>
      </c>
      <c r="P187" s="5">
        <v>137.6</v>
      </c>
      <c r="Q187" s="5">
        <v>154.9</v>
      </c>
      <c r="R187" s="5">
        <v>143.80000000000001</v>
      </c>
      <c r="S187" s="5">
        <v>135.6</v>
      </c>
      <c r="T187" s="5">
        <v>142.6</v>
      </c>
      <c r="U187" s="5">
        <v>141.30000000000001</v>
      </c>
      <c r="V187" s="5">
        <v>136.69999999999999</v>
      </c>
      <c r="W187" s="5">
        <v>135.19999999999999</v>
      </c>
      <c r="X187" s="5">
        <v>133.80000000000001</v>
      </c>
      <c r="Y187" s="5">
        <v>120.2</v>
      </c>
      <c r="Z187" s="5">
        <v>129.9</v>
      </c>
      <c r="AA187" s="5">
        <v>139</v>
      </c>
      <c r="AB187" s="5">
        <v>127.7</v>
      </c>
      <c r="AC187" s="5">
        <v>129.6</v>
      </c>
      <c r="AD187" s="6">
        <v>136.4</v>
      </c>
    </row>
    <row r="188" spans="1:30">
      <c r="A188" s="4" t="s">
        <v>65</v>
      </c>
      <c r="B188" s="5">
        <v>2018</v>
      </c>
      <c r="C188" s="5" t="s">
        <v>71</v>
      </c>
      <c r="D188" s="5">
        <v>136.80000000000001</v>
      </c>
      <c r="E188" s="5">
        <v>143.80000000000001</v>
      </c>
      <c r="F188" s="5">
        <v>140</v>
      </c>
      <c r="G188" s="5">
        <v>142</v>
      </c>
      <c r="H188" s="5">
        <v>123.2</v>
      </c>
      <c r="I188" s="5">
        <v>152.9</v>
      </c>
      <c r="J188" s="5">
        <v>138</v>
      </c>
      <c r="K188" s="5">
        <v>129.30000000000001</v>
      </c>
      <c r="L188" s="5">
        <v>117.1</v>
      </c>
      <c r="M188" s="5">
        <v>136.30000000000001</v>
      </c>
      <c r="N188" s="5">
        <v>131.19999999999999</v>
      </c>
      <c r="O188" s="5">
        <v>152.80000000000001</v>
      </c>
      <c r="P188" s="5">
        <v>138.6</v>
      </c>
      <c r="Q188" s="5">
        <v>155.1</v>
      </c>
      <c r="R188" s="5">
        <v>149.19999999999999</v>
      </c>
      <c r="S188" s="5">
        <v>143</v>
      </c>
      <c r="T188" s="5">
        <v>148.30000000000001</v>
      </c>
      <c r="U188" s="5" t="s">
        <v>67</v>
      </c>
      <c r="V188" s="5">
        <v>142.6</v>
      </c>
      <c r="W188" s="5">
        <v>139.9</v>
      </c>
      <c r="X188" s="5">
        <v>136.69999999999999</v>
      </c>
      <c r="Y188" s="5">
        <v>124.6</v>
      </c>
      <c r="Z188" s="5">
        <v>135.1</v>
      </c>
      <c r="AA188" s="5">
        <v>142.69999999999999</v>
      </c>
      <c r="AB188" s="5">
        <v>129.30000000000001</v>
      </c>
      <c r="AC188" s="5">
        <v>133.30000000000001</v>
      </c>
      <c r="AD188" s="6">
        <v>138.69999999999999</v>
      </c>
    </row>
    <row r="189" spans="1:30">
      <c r="A189" s="4" t="s">
        <v>68</v>
      </c>
      <c r="B189" s="5">
        <v>2018</v>
      </c>
      <c r="C189" s="5" t="s">
        <v>71</v>
      </c>
      <c r="D189" s="5">
        <v>135</v>
      </c>
      <c r="E189" s="5">
        <v>143.1</v>
      </c>
      <c r="F189" s="5">
        <v>135.5</v>
      </c>
      <c r="G189" s="5">
        <v>139.9</v>
      </c>
      <c r="H189" s="5">
        <v>116.5</v>
      </c>
      <c r="I189" s="5">
        <v>138.5</v>
      </c>
      <c r="J189" s="5">
        <v>128</v>
      </c>
      <c r="K189" s="5">
        <v>115.5</v>
      </c>
      <c r="L189" s="5">
        <v>114.2</v>
      </c>
      <c r="M189" s="5">
        <v>140.69999999999999</v>
      </c>
      <c r="N189" s="5">
        <v>126.2</v>
      </c>
      <c r="O189" s="5">
        <v>147.6</v>
      </c>
      <c r="P189" s="5">
        <v>134.80000000000001</v>
      </c>
      <c r="Q189" s="5">
        <v>159.69999999999999</v>
      </c>
      <c r="R189" s="5">
        <v>136.69999999999999</v>
      </c>
      <c r="S189" s="5">
        <v>126.7</v>
      </c>
      <c r="T189" s="5">
        <v>135.19999999999999</v>
      </c>
      <c r="U189" s="5">
        <v>142</v>
      </c>
      <c r="V189" s="5">
        <v>126.4</v>
      </c>
      <c r="W189" s="5">
        <v>130.80000000000001</v>
      </c>
      <c r="X189" s="5">
        <v>130.5</v>
      </c>
      <c r="Y189" s="5">
        <v>117.8</v>
      </c>
      <c r="Z189" s="5">
        <v>126.8</v>
      </c>
      <c r="AA189" s="5">
        <v>137.80000000000001</v>
      </c>
      <c r="AB189" s="5">
        <v>126.7</v>
      </c>
      <c r="AC189" s="5">
        <v>127.1</v>
      </c>
      <c r="AD189" s="6">
        <v>134</v>
      </c>
    </row>
    <row r="190" spans="1:30">
      <c r="A190" s="4" t="s">
        <v>69</v>
      </c>
      <c r="B190" s="5">
        <v>2018</v>
      </c>
      <c r="C190" s="5" t="s">
        <v>71</v>
      </c>
      <c r="D190" s="5">
        <v>136.19999999999999</v>
      </c>
      <c r="E190" s="5">
        <v>143.6</v>
      </c>
      <c r="F190" s="5">
        <v>138.30000000000001</v>
      </c>
      <c r="G190" s="5">
        <v>141.19999999999999</v>
      </c>
      <c r="H190" s="5">
        <v>120.7</v>
      </c>
      <c r="I190" s="5">
        <v>146.19999999999999</v>
      </c>
      <c r="J190" s="5">
        <v>134.6</v>
      </c>
      <c r="K190" s="5">
        <v>124.6</v>
      </c>
      <c r="L190" s="5">
        <v>116.1</v>
      </c>
      <c r="M190" s="5">
        <v>137.80000000000001</v>
      </c>
      <c r="N190" s="5">
        <v>129.1</v>
      </c>
      <c r="O190" s="5">
        <v>150.4</v>
      </c>
      <c r="P190" s="5">
        <v>137.19999999999999</v>
      </c>
      <c r="Q190" s="5">
        <v>156.30000000000001</v>
      </c>
      <c r="R190" s="5">
        <v>144.30000000000001</v>
      </c>
      <c r="S190" s="5">
        <v>136.19999999999999</v>
      </c>
      <c r="T190" s="5">
        <v>143.1</v>
      </c>
      <c r="U190" s="5">
        <v>142</v>
      </c>
      <c r="V190" s="5">
        <v>136.5</v>
      </c>
      <c r="W190" s="5">
        <v>135.6</v>
      </c>
      <c r="X190" s="5">
        <v>134.30000000000001</v>
      </c>
      <c r="Y190" s="5">
        <v>121</v>
      </c>
      <c r="Z190" s="5">
        <v>130.4</v>
      </c>
      <c r="AA190" s="5">
        <v>139.80000000000001</v>
      </c>
      <c r="AB190" s="5">
        <v>128.19999999999999</v>
      </c>
      <c r="AC190" s="5">
        <v>130.30000000000001</v>
      </c>
      <c r="AD190" s="6">
        <v>136.5</v>
      </c>
    </row>
    <row r="191" spans="1:30">
      <c r="A191" s="4" t="s">
        <v>65</v>
      </c>
      <c r="B191" s="5">
        <v>2018</v>
      </c>
      <c r="C191" s="5" t="s">
        <v>72</v>
      </c>
      <c r="D191" s="5">
        <v>137.1</v>
      </c>
      <c r="E191" s="5">
        <v>144.5</v>
      </c>
      <c r="F191" s="5">
        <v>135.9</v>
      </c>
      <c r="G191" s="5">
        <v>142.4</v>
      </c>
      <c r="H191" s="5">
        <v>123.5</v>
      </c>
      <c r="I191" s="5">
        <v>156.4</v>
      </c>
      <c r="J191" s="5">
        <v>135.1</v>
      </c>
      <c r="K191" s="5">
        <v>128.4</v>
      </c>
      <c r="L191" s="5">
        <v>115.2</v>
      </c>
      <c r="M191" s="5">
        <v>137.19999999999999</v>
      </c>
      <c r="N191" s="5">
        <v>131.9</v>
      </c>
      <c r="O191" s="5">
        <v>153.80000000000001</v>
      </c>
      <c r="P191" s="5">
        <v>138.6</v>
      </c>
      <c r="Q191" s="5">
        <v>156.1</v>
      </c>
      <c r="R191" s="5">
        <v>150.1</v>
      </c>
      <c r="S191" s="5">
        <v>143.30000000000001</v>
      </c>
      <c r="T191" s="5">
        <v>149.1</v>
      </c>
      <c r="U191" s="5" t="s">
        <v>67</v>
      </c>
      <c r="V191" s="5">
        <v>143.80000000000001</v>
      </c>
      <c r="W191" s="5">
        <v>140.9</v>
      </c>
      <c r="X191" s="5">
        <v>137.6</v>
      </c>
      <c r="Y191" s="5">
        <v>125.3</v>
      </c>
      <c r="Z191" s="5">
        <v>136</v>
      </c>
      <c r="AA191" s="5">
        <v>143.69999999999999</v>
      </c>
      <c r="AB191" s="5">
        <v>130.4</v>
      </c>
      <c r="AC191" s="5">
        <v>134.19999999999999</v>
      </c>
      <c r="AD191" s="6">
        <v>139.1</v>
      </c>
    </row>
    <row r="192" spans="1:30">
      <c r="A192" s="4" t="s">
        <v>68</v>
      </c>
      <c r="B192" s="5">
        <v>2018</v>
      </c>
      <c r="C192" s="5" t="s">
        <v>72</v>
      </c>
      <c r="D192" s="5">
        <v>135</v>
      </c>
      <c r="E192" s="5">
        <v>144.30000000000001</v>
      </c>
      <c r="F192" s="5">
        <v>130.80000000000001</v>
      </c>
      <c r="G192" s="5">
        <v>140.30000000000001</v>
      </c>
      <c r="H192" s="5">
        <v>116.6</v>
      </c>
      <c r="I192" s="5">
        <v>150.1</v>
      </c>
      <c r="J192" s="5">
        <v>127.6</v>
      </c>
      <c r="K192" s="5">
        <v>114</v>
      </c>
      <c r="L192" s="5">
        <v>110.6</v>
      </c>
      <c r="M192" s="5">
        <v>140.19999999999999</v>
      </c>
      <c r="N192" s="5">
        <v>126.5</v>
      </c>
      <c r="O192" s="5">
        <v>148.30000000000001</v>
      </c>
      <c r="P192" s="5">
        <v>135.69999999999999</v>
      </c>
      <c r="Q192" s="5">
        <v>159.19999999999999</v>
      </c>
      <c r="R192" s="5">
        <v>137.80000000000001</v>
      </c>
      <c r="S192" s="5">
        <v>127.4</v>
      </c>
      <c r="T192" s="5">
        <v>136.19999999999999</v>
      </c>
      <c r="U192" s="5">
        <v>142.9</v>
      </c>
      <c r="V192" s="5">
        <v>124.6</v>
      </c>
      <c r="W192" s="5">
        <v>131.80000000000001</v>
      </c>
      <c r="X192" s="5">
        <v>131.30000000000001</v>
      </c>
      <c r="Y192" s="5">
        <v>118.9</v>
      </c>
      <c r="Z192" s="5">
        <v>127.6</v>
      </c>
      <c r="AA192" s="5">
        <v>139.69999999999999</v>
      </c>
      <c r="AB192" s="5">
        <v>127.6</v>
      </c>
      <c r="AC192" s="5">
        <v>128.19999999999999</v>
      </c>
      <c r="AD192" s="6">
        <v>134.80000000000001</v>
      </c>
    </row>
    <row r="193" spans="1:30">
      <c r="A193" s="4" t="s">
        <v>69</v>
      </c>
      <c r="B193" s="5">
        <v>2018</v>
      </c>
      <c r="C193" s="5" t="s">
        <v>72</v>
      </c>
      <c r="D193" s="5">
        <v>136.4</v>
      </c>
      <c r="E193" s="5">
        <v>144.4</v>
      </c>
      <c r="F193" s="5">
        <v>133.9</v>
      </c>
      <c r="G193" s="5">
        <v>141.6</v>
      </c>
      <c r="H193" s="5">
        <v>121</v>
      </c>
      <c r="I193" s="5">
        <v>153.5</v>
      </c>
      <c r="J193" s="5">
        <v>132.6</v>
      </c>
      <c r="K193" s="5">
        <v>123.5</v>
      </c>
      <c r="L193" s="5">
        <v>113.7</v>
      </c>
      <c r="M193" s="5">
        <v>138.19999999999999</v>
      </c>
      <c r="N193" s="5">
        <v>129.6</v>
      </c>
      <c r="O193" s="5">
        <v>151.19999999999999</v>
      </c>
      <c r="P193" s="5">
        <v>137.5</v>
      </c>
      <c r="Q193" s="5">
        <v>156.9</v>
      </c>
      <c r="R193" s="5">
        <v>145.30000000000001</v>
      </c>
      <c r="S193" s="5">
        <v>136.69999999999999</v>
      </c>
      <c r="T193" s="5">
        <v>144</v>
      </c>
      <c r="U193" s="5">
        <v>142.9</v>
      </c>
      <c r="V193" s="5">
        <v>136.5</v>
      </c>
      <c r="W193" s="5">
        <v>136.6</v>
      </c>
      <c r="X193" s="5">
        <v>135.19999999999999</v>
      </c>
      <c r="Y193" s="5">
        <v>121.9</v>
      </c>
      <c r="Z193" s="5">
        <v>131.30000000000001</v>
      </c>
      <c r="AA193" s="5">
        <v>141.4</v>
      </c>
      <c r="AB193" s="5">
        <v>129.19999999999999</v>
      </c>
      <c r="AC193" s="5">
        <v>131.30000000000001</v>
      </c>
      <c r="AD193" s="6">
        <v>137.1</v>
      </c>
    </row>
    <row r="194" spans="1:30">
      <c r="A194" s="4" t="s">
        <v>65</v>
      </c>
      <c r="B194" s="5">
        <v>2018</v>
      </c>
      <c r="C194" s="5" t="s">
        <v>73</v>
      </c>
      <c r="D194" s="5">
        <v>137.4</v>
      </c>
      <c r="E194" s="5">
        <v>145.69999999999999</v>
      </c>
      <c r="F194" s="5">
        <v>135.5</v>
      </c>
      <c r="G194" s="5">
        <v>142.9</v>
      </c>
      <c r="H194" s="5">
        <v>123.6</v>
      </c>
      <c r="I194" s="5">
        <v>157.5</v>
      </c>
      <c r="J194" s="5">
        <v>137.80000000000001</v>
      </c>
      <c r="K194" s="5">
        <v>127.2</v>
      </c>
      <c r="L194" s="5">
        <v>111.8</v>
      </c>
      <c r="M194" s="5">
        <v>137.4</v>
      </c>
      <c r="N194" s="5">
        <v>132.19999999999999</v>
      </c>
      <c r="O194" s="5">
        <v>154.30000000000001</v>
      </c>
      <c r="P194" s="5">
        <v>139.1</v>
      </c>
      <c r="Q194" s="5">
        <v>157</v>
      </c>
      <c r="R194" s="5">
        <v>150.80000000000001</v>
      </c>
      <c r="S194" s="5">
        <v>144.1</v>
      </c>
      <c r="T194" s="5">
        <v>149.80000000000001</v>
      </c>
      <c r="U194" s="5" t="s">
        <v>67</v>
      </c>
      <c r="V194" s="5">
        <v>144.30000000000001</v>
      </c>
      <c r="W194" s="5">
        <v>141.80000000000001</v>
      </c>
      <c r="X194" s="5">
        <v>138.4</v>
      </c>
      <c r="Y194" s="5">
        <v>126.4</v>
      </c>
      <c r="Z194" s="5">
        <v>136.80000000000001</v>
      </c>
      <c r="AA194" s="5">
        <v>144.4</v>
      </c>
      <c r="AB194" s="5">
        <v>131.19999999999999</v>
      </c>
      <c r="AC194" s="5">
        <v>135.1</v>
      </c>
      <c r="AD194" s="6">
        <v>139.80000000000001</v>
      </c>
    </row>
    <row r="195" spans="1:30">
      <c r="A195" s="4" t="s">
        <v>68</v>
      </c>
      <c r="B195" s="5">
        <v>2018</v>
      </c>
      <c r="C195" s="5" t="s">
        <v>73</v>
      </c>
      <c r="D195" s="5">
        <v>135</v>
      </c>
      <c r="E195" s="5">
        <v>148.19999999999999</v>
      </c>
      <c r="F195" s="5">
        <v>130.5</v>
      </c>
      <c r="G195" s="5">
        <v>140.69999999999999</v>
      </c>
      <c r="H195" s="5">
        <v>116.4</v>
      </c>
      <c r="I195" s="5">
        <v>151.30000000000001</v>
      </c>
      <c r="J195" s="5">
        <v>131.4</v>
      </c>
      <c r="K195" s="5">
        <v>112.8</v>
      </c>
      <c r="L195" s="5">
        <v>105.3</v>
      </c>
      <c r="M195" s="5">
        <v>139.6</v>
      </c>
      <c r="N195" s="5">
        <v>126.6</v>
      </c>
      <c r="O195" s="5">
        <v>148.69999999999999</v>
      </c>
      <c r="P195" s="5">
        <v>136.4</v>
      </c>
      <c r="Q195" s="5">
        <v>160.30000000000001</v>
      </c>
      <c r="R195" s="5">
        <v>138.6</v>
      </c>
      <c r="S195" s="5">
        <v>127.9</v>
      </c>
      <c r="T195" s="5">
        <v>137</v>
      </c>
      <c r="U195" s="5">
        <v>143.19999999999999</v>
      </c>
      <c r="V195" s="5">
        <v>124.7</v>
      </c>
      <c r="W195" s="5">
        <v>132.5</v>
      </c>
      <c r="X195" s="5">
        <v>132</v>
      </c>
      <c r="Y195" s="5">
        <v>119.8</v>
      </c>
      <c r="Z195" s="5">
        <v>128</v>
      </c>
      <c r="AA195" s="5">
        <v>140.4</v>
      </c>
      <c r="AB195" s="5">
        <v>128.1</v>
      </c>
      <c r="AC195" s="5">
        <v>128.9</v>
      </c>
      <c r="AD195" s="6">
        <v>135.4</v>
      </c>
    </row>
    <row r="196" spans="1:30">
      <c r="A196" s="4" t="s">
        <v>69</v>
      </c>
      <c r="B196" s="5">
        <v>2018</v>
      </c>
      <c r="C196" s="5" t="s">
        <v>73</v>
      </c>
      <c r="D196" s="5">
        <v>136.6</v>
      </c>
      <c r="E196" s="5">
        <v>146.6</v>
      </c>
      <c r="F196" s="5">
        <v>133.6</v>
      </c>
      <c r="G196" s="5">
        <v>142.1</v>
      </c>
      <c r="H196" s="5">
        <v>121</v>
      </c>
      <c r="I196" s="5">
        <v>154.6</v>
      </c>
      <c r="J196" s="5">
        <v>135.6</v>
      </c>
      <c r="K196" s="5">
        <v>122.3</v>
      </c>
      <c r="L196" s="5">
        <v>109.6</v>
      </c>
      <c r="M196" s="5">
        <v>138.1</v>
      </c>
      <c r="N196" s="5">
        <v>129.9</v>
      </c>
      <c r="O196" s="5">
        <v>151.69999999999999</v>
      </c>
      <c r="P196" s="5">
        <v>138.1</v>
      </c>
      <c r="Q196" s="5">
        <v>157.9</v>
      </c>
      <c r="R196" s="5">
        <v>146</v>
      </c>
      <c r="S196" s="5">
        <v>137.4</v>
      </c>
      <c r="T196" s="5">
        <v>144.69999999999999</v>
      </c>
      <c r="U196" s="5">
        <v>143.19999999999999</v>
      </c>
      <c r="V196" s="5">
        <v>136.9</v>
      </c>
      <c r="W196" s="5">
        <v>137.4</v>
      </c>
      <c r="X196" s="5">
        <v>136</v>
      </c>
      <c r="Y196" s="5">
        <v>122.9</v>
      </c>
      <c r="Z196" s="5">
        <v>131.80000000000001</v>
      </c>
      <c r="AA196" s="5">
        <v>142.1</v>
      </c>
      <c r="AB196" s="5">
        <v>129.9</v>
      </c>
      <c r="AC196" s="5">
        <v>132.1</v>
      </c>
      <c r="AD196" s="6">
        <v>137.80000000000001</v>
      </c>
    </row>
    <row r="197" spans="1:30">
      <c r="A197" s="4" t="s">
        <v>65</v>
      </c>
      <c r="B197" s="5">
        <v>2018</v>
      </c>
      <c r="C197" s="5" t="s">
        <v>74</v>
      </c>
      <c r="D197" s="5">
        <v>137.6</v>
      </c>
      <c r="E197" s="5">
        <v>148.1</v>
      </c>
      <c r="F197" s="5">
        <v>136.69999999999999</v>
      </c>
      <c r="G197" s="5">
        <v>143.19999999999999</v>
      </c>
      <c r="H197" s="5">
        <v>124</v>
      </c>
      <c r="I197" s="5">
        <v>154.1</v>
      </c>
      <c r="J197" s="5">
        <v>143.5</v>
      </c>
      <c r="K197" s="5">
        <v>126</v>
      </c>
      <c r="L197" s="5">
        <v>112.4</v>
      </c>
      <c r="M197" s="5">
        <v>137.6</v>
      </c>
      <c r="N197" s="5">
        <v>132.80000000000001</v>
      </c>
      <c r="O197" s="5">
        <v>154.30000000000001</v>
      </c>
      <c r="P197" s="5">
        <v>140</v>
      </c>
      <c r="Q197" s="5">
        <v>157.30000000000001</v>
      </c>
      <c r="R197" s="5">
        <v>151.30000000000001</v>
      </c>
      <c r="S197" s="5">
        <v>144.69999999999999</v>
      </c>
      <c r="T197" s="5">
        <v>150.30000000000001</v>
      </c>
      <c r="U197" s="5" t="s">
        <v>67</v>
      </c>
      <c r="V197" s="5">
        <v>145.1</v>
      </c>
      <c r="W197" s="5">
        <v>142.19999999999999</v>
      </c>
      <c r="X197" s="5">
        <v>138.4</v>
      </c>
      <c r="Y197" s="5">
        <v>127.4</v>
      </c>
      <c r="Z197" s="5">
        <v>137.80000000000001</v>
      </c>
      <c r="AA197" s="5">
        <v>145.1</v>
      </c>
      <c r="AB197" s="5">
        <v>131.4</v>
      </c>
      <c r="AC197" s="5">
        <v>135.6</v>
      </c>
      <c r="AD197" s="6">
        <v>140.5</v>
      </c>
    </row>
    <row r="198" spans="1:30">
      <c r="A198" s="4" t="s">
        <v>68</v>
      </c>
      <c r="B198" s="5">
        <v>2018</v>
      </c>
      <c r="C198" s="5" t="s">
        <v>74</v>
      </c>
      <c r="D198" s="5">
        <v>135.30000000000001</v>
      </c>
      <c r="E198" s="5">
        <v>149.69999999999999</v>
      </c>
      <c r="F198" s="5">
        <v>133.9</v>
      </c>
      <c r="G198" s="5">
        <v>140.80000000000001</v>
      </c>
      <c r="H198" s="5">
        <v>116.6</v>
      </c>
      <c r="I198" s="5">
        <v>152.19999999999999</v>
      </c>
      <c r="J198" s="5">
        <v>144</v>
      </c>
      <c r="K198" s="5">
        <v>112.3</v>
      </c>
      <c r="L198" s="5">
        <v>108.4</v>
      </c>
      <c r="M198" s="5">
        <v>140</v>
      </c>
      <c r="N198" s="5">
        <v>126.7</v>
      </c>
      <c r="O198" s="5">
        <v>149</v>
      </c>
      <c r="P198" s="5">
        <v>138.4</v>
      </c>
      <c r="Q198" s="5">
        <v>161</v>
      </c>
      <c r="R198" s="5">
        <v>138.9</v>
      </c>
      <c r="S198" s="5">
        <v>128.69999999999999</v>
      </c>
      <c r="T198" s="5">
        <v>137.4</v>
      </c>
      <c r="U198" s="5">
        <v>142.5</v>
      </c>
      <c r="V198" s="5">
        <v>126.5</v>
      </c>
      <c r="W198" s="5">
        <v>133.1</v>
      </c>
      <c r="X198" s="5">
        <v>132.6</v>
      </c>
      <c r="Y198" s="5">
        <v>120.4</v>
      </c>
      <c r="Z198" s="5">
        <v>128.5</v>
      </c>
      <c r="AA198" s="5">
        <v>141.19999999999999</v>
      </c>
      <c r="AB198" s="5">
        <v>128.19999999999999</v>
      </c>
      <c r="AC198" s="5">
        <v>129.5</v>
      </c>
      <c r="AD198" s="6">
        <v>136.19999999999999</v>
      </c>
    </row>
    <row r="199" spans="1:30">
      <c r="A199" s="4" t="s">
        <v>69</v>
      </c>
      <c r="B199" s="5">
        <v>2018</v>
      </c>
      <c r="C199" s="5" t="s">
        <v>74</v>
      </c>
      <c r="D199" s="5">
        <v>136.9</v>
      </c>
      <c r="E199" s="5">
        <v>148.69999999999999</v>
      </c>
      <c r="F199" s="5">
        <v>135.6</v>
      </c>
      <c r="G199" s="5">
        <v>142.30000000000001</v>
      </c>
      <c r="H199" s="5">
        <v>121.3</v>
      </c>
      <c r="I199" s="5">
        <v>153.19999999999999</v>
      </c>
      <c r="J199" s="5">
        <v>143.69999999999999</v>
      </c>
      <c r="K199" s="5">
        <v>121.4</v>
      </c>
      <c r="L199" s="5">
        <v>111.1</v>
      </c>
      <c r="M199" s="5">
        <v>138.4</v>
      </c>
      <c r="N199" s="5">
        <v>130.30000000000001</v>
      </c>
      <c r="O199" s="5">
        <v>151.80000000000001</v>
      </c>
      <c r="P199" s="5">
        <v>139.4</v>
      </c>
      <c r="Q199" s="5">
        <v>158.30000000000001</v>
      </c>
      <c r="R199" s="5">
        <v>146.4</v>
      </c>
      <c r="S199" s="5">
        <v>138.1</v>
      </c>
      <c r="T199" s="5">
        <v>145.19999999999999</v>
      </c>
      <c r="U199" s="5">
        <v>142.5</v>
      </c>
      <c r="V199" s="5">
        <v>138.1</v>
      </c>
      <c r="W199" s="5">
        <v>137.9</v>
      </c>
      <c r="X199" s="5">
        <v>136.19999999999999</v>
      </c>
      <c r="Y199" s="5">
        <v>123.7</v>
      </c>
      <c r="Z199" s="5">
        <v>132.6</v>
      </c>
      <c r="AA199" s="5">
        <v>142.80000000000001</v>
      </c>
      <c r="AB199" s="5">
        <v>130.1</v>
      </c>
      <c r="AC199" s="5">
        <v>132.6</v>
      </c>
      <c r="AD199" s="6">
        <v>138.5</v>
      </c>
    </row>
    <row r="200" spans="1:30">
      <c r="A200" s="4" t="s">
        <v>65</v>
      </c>
      <c r="B200" s="5">
        <v>2018</v>
      </c>
      <c r="C200" s="5" t="s">
        <v>75</v>
      </c>
      <c r="D200" s="5">
        <v>138.4</v>
      </c>
      <c r="E200" s="5">
        <v>149.30000000000001</v>
      </c>
      <c r="F200" s="5">
        <v>139.30000000000001</v>
      </c>
      <c r="G200" s="5">
        <v>143.4</v>
      </c>
      <c r="H200" s="5">
        <v>124.1</v>
      </c>
      <c r="I200" s="5">
        <v>153.30000000000001</v>
      </c>
      <c r="J200" s="5">
        <v>154.19999999999999</v>
      </c>
      <c r="K200" s="5">
        <v>126.4</v>
      </c>
      <c r="L200" s="5">
        <v>114.3</v>
      </c>
      <c r="M200" s="5">
        <v>138.19999999999999</v>
      </c>
      <c r="N200" s="5">
        <v>132.80000000000001</v>
      </c>
      <c r="O200" s="5">
        <v>154.80000000000001</v>
      </c>
      <c r="P200" s="5">
        <v>142</v>
      </c>
      <c r="Q200" s="5">
        <v>156.1</v>
      </c>
      <c r="R200" s="5">
        <v>151.5</v>
      </c>
      <c r="S200" s="5">
        <v>145.1</v>
      </c>
      <c r="T200" s="5">
        <v>150.6</v>
      </c>
      <c r="U200" s="5" t="s">
        <v>67</v>
      </c>
      <c r="V200" s="5">
        <v>146.80000000000001</v>
      </c>
      <c r="W200" s="5">
        <v>143.1</v>
      </c>
      <c r="X200" s="5">
        <v>139</v>
      </c>
      <c r="Y200" s="5">
        <v>127.5</v>
      </c>
      <c r="Z200" s="5">
        <v>138.4</v>
      </c>
      <c r="AA200" s="5">
        <v>145.80000000000001</v>
      </c>
      <c r="AB200" s="5">
        <v>131.4</v>
      </c>
      <c r="AC200" s="5">
        <v>136</v>
      </c>
      <c r="AD200" s="6">
        <v>141.80000000000001</v>
      </c>
    </row>
    <row r="201" spans="1:30">
      <c r="A201" s="4" t="s">
        <v>68</v>
      </c>
      <c r="B201" s="5">
        <v>2018</v>
      </c>
      <c r="C201" s="5" t="s">
        <v>75</v>
      </c>
      <c r="D201" s="5">
        <v>135.6</v>
      </c>
      <c r="E201" s="5">
        <v>148.6</v>
      </c>
      <c r="F201" s="5">
        <v>139.1</v>
      </c>
      <c r="G201" s="5">
        <v>141</v>
      </c>
      <c r="H201" s="5">
        <v>116.7</v>
      </c>
      <c r="I201" s="5">
        <v>149.69999999999999</v>
      </c>
      <c r="J201" s="5">
        <v>159.19999999999999</v>
      </c>
      <c r="K201" s="5">
        <v>112.6</v>
      </c>
      <c r="L201" s="5">
        <v>111.8</v>
      </c>
      <c r="M201" s="5">
        <v>140.30000000000001</v>
      </c>
      <c r="N201" s="5">
        <v>126.8</v>
      </c>
      <c r="O201" s="5">
        <v>149.4</v>
      </c>
      <c r="P201" s="5">
        <v>140.30000000000001</v>
      </c>
      <c r="Q201" s="5">
        <v>161.4</v>
      </c>
      <c r="R201" s="5">
        <v>139.6</v>
      </c>
      <c r="S201" s="5">
        <v>128.9</v>
      </c>
      <c r="T201" s="5">
        <v>137.9</v>
      </c>
      <c r="U201" s="5">
        <v>143.6</v>
      </c>
      <c r="V201" s="5">
        <v>128.1</v>
      </c>
      <c r="W201" s="5">
        <v>133.6</v>
      </c>
      <c r="X201" s="5">
        <v>133.6</v>
      </c>
      <c r="Y201" s="5">
        <v>120.1</v>
      </c>
      <c r="Z201" s="5">
        <v>129</v>
      </c>
      <c r="AA201" s="5">
        <v>144</v>
      </c>
      <c r="AB201" s="5">
        <v>128.19999999999999</v>
      </c>
      <c r="AC201" s="5">
        <v>130.19999999999999</v>
      </c>
      <c r="AD201" s="6">
        <v>137.5</v>
      </c>
    </row>
    <row r="202" spans="1:30">
      <c r="A202" s="4" t="s">
        <v>69</v>
      </c>
      <c r="B202" s="5">
        <v>2018</v>
      </c>
      <c r="C202" s="5" t="s">
        <v>75</v>
      </c>
      <c r="D202" s="5">
        <v>137.5</v>
      </c>
      <c r="E202" s="5">
        <v>149.1</v>
      </c>
      <c r="F202" s="5">
        <v>139.19999999999999</v>
      </c>
      <c r="G202" s="5">
        <v>142.5</v>
      </c>
      <c r="H202" s="5">
        <v>121.4</v>
      </c>
      <c r="I202" s="5">
        <v>151.6</v>
      </c>
      <c r="J202" s="5">
        <v>155.9</v>
      </c>
      <c r="K202" s="5">
        <v>121.7</v>
      </c>
      <c r="L202" s="5">
        <v>113.5</v>
      </c>
      <c r="M202" s="5">
        <v>138.9</v>
      </c>
      <c r="N202" s="5">
        <v>130.30000000000001</v>
      </c>
      <c r="O202" s="5">
        <v>152.30000000000001</v>
      </c>
      <c r="P202" s="5">
        <v>141.4</v>
      </c>
      <c r="Q202" s="5">
        <v>157.5</v>
      </c>
      <c r="R202" s="5">
        <v>146.80000000000001</v>
      </c>
      <c r="S202" s="5">
        <v>138.4</v>
      </c>
      <c r="T202" s="5">
        <v>145.6</v>
      </c>
      <c r="U202" s="5">
        <v>143.6</v>
      </c>
      <c r="V202" s="5">
        <v>139.69999999999999</v>
      </c>
      <c r="W202" s="5">
        <v>138.6</v>
      </c>
      <c r="X202" s="5">
        <v>137</v>
      </c>
      <c r="Y202" s="5">
        <v>123.6</v>
      </c>
      <c r="Z202" s="5">
        <v>133.1</v>
      </c>
      <c r="AA202" s="5">
        <v>144.69999999999999</v>
      </c>
      <c r="AB202" s="5">
        <v>130.1</v>
      </c>
      <c r="AC202" s="5">
        <v>133.19999999999999</v>
      </c>
      <c r="AD202" s="6">
        <v>139.80000000000001</v>
      </c>
    </row>
    <row r="203" spans="1:30">
      <c r="A203" s="4" t="s">
        <v>65</v>
      </c>
      <c r="B203" s="5">
        <v>2018</v>
      </c>
      <c r="C203" s="5" t="s">
        <v>76</v>
      </c>
      <c r="D203" s="5">
        <v>139.19999999999999</v>
      </c>
      <c r="E203" s="5">
        <v>148.80000000000001</v>
      </c>
      <c r="F203" s="5">
        <v>139.1</v>
      </c>
      <c r="G203" s="5">
        <v>143.5</v>
      </c>
      <c r="H203" s="5">
        <v>125</v>
      </c>
      <c r="I203" s="5">
        <v>154.4</v>
      </c>
      <c r="J203" s="5">
        <v>156.30000000000001</v>
      </c>
      <c r="K203" s="5">
        <v>126.8</v>
      </c>
      <c r="L203" s="5">
        <v>115.4</v>
      </c>
      <c r="M203" s="5">
        <v>138.6</v>
      </c>
      <c r="N203" s="5">
        <v>133.80000000000001</v>
      </c>
      <c r="O203" s="5">
        <v>155.19999999999999</v>
      </c>
      <c r="P203" s="5">
        <v>142.69999999999999</v>
      </c>
      <c r="Q203" s="5">
        <v>156.4</v>
      </c>
      <c r="R203" s="5">
        <v>152.1</v>
      </c>
      <c r="S203" s="5">
        <v>145.80000000000001</v>
      </c>
      <c r="T203" s="5">
        <v>151.30000000000001</v>
      </c>
      <c r="U203" s="5" t="s">
        <v>67</v>
      </c>
      <c r="V203" s="5">
        <v>147.69999999999999</v>
      </c>
      <c r="W203" s="5">
        <v>143.80000000000001</v>
      </c>
      <c r="X203" s="5">
        <v>139.4</v>
      </c>
      <c r="Y203" s="5">
        <v>128.30000000000001</v>
      </c>
      <c r="Z203" s="5">
        <v>138.6</v>
      </c>
      <c r="AA203" s="5">
        <v>146.9</v>
      </c>
      <c r="AB203" s="5">
        <v>131.30000000000001</v>
      </c>
      <c r="AC203" s="5">
        <v>136.6</v>
      </c>
      <c r="AD203" s="6">
        <v>142.5</v>
      </c>
    </row>
    <row r="204" spans="1:30">
      <c r="A204" s="4" t="s">
        <v>68</v>
      </c>
      <c r="B204" s="5">
        <v>2018</v>
      </c>
      <c r="C204" s="5" t="s">
        <v>76</v>
      </c>
      <c r="D204" s="5">
        <v>136.5</v>
      </c>
      <c r="E204" s="5">
        <v>146.4</v>
      </c>
      <c r="F204" s="5">
        <v>136.6</v>
      </c>
      <c r="G204" s="5">
        <v>141.19999999999999</v>
      </c>
      <c r="H204" s="5">
        <v>117.4</v>
      </c>
      <c r="I204" s="5">
        <v>146.30000000000001</v>
      </c>
      <c r="J204" s="5">
        <v>157.30000000000001</v>
      </c>
      <c r="K204" s="5">
        <v>113.6</v>
      </c>
      <c r="L204" s="5">
        <v>113.3</v>
      </c>
      <c r="M204" s="5">
        <v>141.1</v>
      </c>
      <c r="N204" s="5">
        <v>127.4</v>
      </c>
      <c r="O204" s="5">
        <v>150.4</v>
      </c>
      <c r="P204" s="5">
        <v>140.1</v>
      </c>
      <c r="Q204" s="5">
        <v>162.1</v>
      </c>
      <c r="R204" s="5">
        <v>140</v>
      </c>
      <c r="S204" s="5">
        <v>129</v>
      </c>
      <c r="T204" s="5">
        <v>138.30000000000001</v>
      </c>
      <c r="U204" s="5">
        <v>144.6</v>
      </c>
      <c r="V204" s="5">
        <v>129.80000000000001</v>
      </c>
      <c r="W204" s="5">
        <v>134.4</v>
      </c>
      <c r="X204" s="5">
        <v>134.9</v>
      </c>
      <c r="Y204" s="5">
        <v>120.7</v>
      </c>
      <c r="Z204" s="5">
        <v>129.80000000000001</v>
      </c>
      <c r="AA204" s="5">
        <v>145.30000000000001</v>
      </c>
      <c r="AB204" s="5">
        <v>128.30000000000001</v>
      </c>
      <c r="AC204" s="5">
        <v>131</v>
      </c>
      <c r="AD204" s="6">
        <v>138</v>
      </c>
    </row>
    <row r="205" spans="1:30">
      <c r="A205" s="4" t="s">
        <v>69</v>
      </c>
      <c r="B205" s="5">
        <v>2018</v>
      </c>
      <c r="C205" s="5" t="s">
        <v>76</v>
      </c>
      <c r="D205" s="5">
        <v>138.30000000000001</v>
      </c>
      <c r="E205" s="5">
        <v>148</v>
      </c>
      <c r="F205" s="5">
        <v>138.1</v>
      </c>
      <c r="G205" s="5">
        <v>142.6</v>
      </c>
      <c r="H205" s="5">
        <v>122.2</v>
      </c>
      <c r="I205" s="5">
        <v>150.6</v>
      </c>
      <c r="J205" s="5">
        <v>156.6</v>
      </c>
      <c r="K205" s="5">
        <v>122.4</v>
      </c>
      <c r="L205" s="5">
        <v>114.7</v>
      </c>
      <c r="M205" s="5">
        <v>139.4</v>
      </c>
      <c r="N205" s="5">
        <v>131.1</v>
      </c>
      <c r="O205" s="5">
        <v>153</v>
      </c>
      <c r="P205" s="5">
        <v>141.69999999999999</v>
      </c>
      <c r="Q205" s="5">
        <v>157.9</v>
      </c>
      <c r="R205" s="5">
        <v>147.30000000000001</v>
      </c>
      <c r="S205" s="5">
        <v>138.80000000000001</v>
      </c>
      <c r="T205" s="5">
        <v>146.1</v>
      </c>
      <c r="U205" s="5">
        <v>144.6</v>
      </c>
      <c r="V205" s="5">
        <v>140.9</v>
      </c>
      <c r="W205" s="5">
        <v>139.4</v>
      </c>
      <c r="X205" s="5">
        <v>137.69999999999999</v>
      </c>
      <c r="Y205" s="5">
        <v>124.3</v>
      </c>
      <c r="Z205" s="5">
        <v>133.6</v>
      </c>
      <c r="AA205" s="5">
        <v>146</v>
      </c>
      <c r="AB205" s="5">
        <v>130.1</v>
      </c>
      <c r="AC205" s="5">
        <v>133.9</v>
      </c>
      <c r="AD205" s="6">
        <v>140.4</v>
      </c>
    </row>
    <row r="206" spans="1:30">
      <c r="A206" s="4" t="s">
        <v>65</v>
      </c>
      <c r="B206" s="5">
        <v>2018</v>
      </c>
      <c r="C206" s="5" t="s">
        <v>77</v>
      </c>
      <c r="D206" s="5">
        <v>139.4</v>
      </c>
      <c r="E206" s="5">
        <v>147.19999999999999</v>
      </c>
      <c r="F206" s="5">
        <v>136.6</v>
      </c>
      <c r="G206" s="5">
        <v>143.69999999999999</v>
      </c>
      <c r="H206" s="5">
        <v>124.6</v>
      </c>
      <c r="I206" s="5">
        <v>150.1</v>
      </c>
      <c r="J206" s="5">
        <v>149.4</v>
      </c>
      <c r="K206" s="5">
        <v>125.4</v>
      </c>
      <c r="L206" s="5">
        <v>114.4</v>
      </c>
      <c r="M206" s="5">
        <v>138.69999999999999</v>
      </c>
      <c r="N206" s="5">
        <v>133.1</v>
      </c>
      <c r="O206" s="5">
        <v>155.9</v>
      </c>
      <c r="P206" s="5">
        <v>141.30000000000001</v>
      </c>
      <c r="Q206" s="5">
        <v>157.69999999999999</v>
      </c>
      <c r="R206" s="5">
        <v>152.1</v>
      </c>
      <c r="S206" s="5">
        <v>146.1</v>
      </c>
      <c r="T206" s="5">
        <v>151.30000000000001</v>
      </c>
      <c r="U206" s="5" t="s">
        <v>67</v>
      </c>
      <c r="V206" s="5">
        <v>149</v>
      </c>
      <c r="W206" s="5">
        <v>144</v>
      </c>
      <c r="X206" s="5">
        <v>140</v>
      </c>
      <c r="Y206" s="5">
        <v>129.9</v>
      </c>
      <c r="Z206" s="5">
        <v>140</v>
      </c>
      <c r="AA206" s="5">
        <v>147.6</v>
      </c>
      <c r="AB206" s="5">
        <v>132</v>
      </c>
      <c r="AC206" s="5">
        <v>137.4</v>
      </c>
      <c r="AD206" s="6">
        <v>142.1</v>
      </c>
    </row>
    <row r="207" spans="1:30">
      <c r="A207" s="4" t="s">
        <v>68</v>
      </c>
      <c r="B207" s="5">
        <v>2018</v>
      </c>
      <c r="C207" s="5" t="s">
        <v>77</v>
      </c>
      <c r="D207" s="5">
        <v>137</v>
      </c>
      <c r="E207" s="5">
        <v>143.1</v>
      </c>
      <c r="F207" s="5">
        <v>132.80000000000001</v>
      </c>
      <c r="G207" s="5">
        <v>141.5</v>
      </c>
      <c r="H207" s="5">
        <v>117.8</v>
      </c>
      <c r="I207" s="5">
        <v>140</v>
      </c>
      <c r="J207" s="5">
        <v>151.30000000000001</v>
      </c>
      <c r="K207" s="5">
        <v>113.5</v>
      </c>
      <c r="L207" s="5">
        <v>112.3</v>
      </c>
      <c r="M207" s="5">
        <v>141.19999999999999</v>
      </c>
      <c r="N207" s="5">
        <v>127.7</v>
      </c>
      <c r="O207" s="5">
        <v>151.30000000000001</v>
      </c>
      <c r="P207" s="5">
        <v>138.9</v>
      </c>
      <c r="Q207" s="5">
        <v>163.30000000000001</v>
      </c>
      <c r="R207" s="5">
        <v>140.80000000000001</v>
      </c>
      <c r="S207" s="5">
        <v>129.30000000000001</v>
      </c>
      <c r="T207" s="5">
        <v>139.1</v>
      </c>
      <c r="U207" s="5">
        <v>145.30000000000001</v>
      </c>
      <c r="V207" s="5">
        <v>131.19999999999999</v>
      </c>
      <c r="W207" s="5">
        <v>134.9</v>
      </c>
      <c r="X207" s="5">
        <v>135.69999999999999</v>
      </c>
      <c r="Y207" s="5">
        <v>122.5</v>
      </c>
      <c r="Z207" s="5">
        <v>130.19999999999999</v>
      </c>
      <c r="AA207" s="5">
        <v>145.19999999999999</v>
      </c>
      <c r="AB207" s="5">
        <v>129.30000000000001</v>
      </c>
      <c r="AC207" s="5">
        <v>131.9</v>
      </c>
      <c r="AD207" s="6">
        <v>138.1</v>
      </c>
    </row>
    <row r="208" spans="1:30">
      <c r="A208" s="4" t="s">
        <v>69</v>
      </c>
      <c r="B208" s="5">
        <v>2018</v>
      </c>
      <c r="C208" s="5" t="s">
        <v>77</v>
      </c>
      <c r="D208" s="5">
        <v>138.6</v>
      </c>
      <c r="E208" s="5">
        <v>145.80000000000001</v>
      </c>
      <c r="F208" s="5">
        <v>135.1</v>
      </c>
      <c r="G208" s="5">
        <v>142.9</v>
      </c>
      <c r="H208" s="5">
        <v>122.1</v>
      </c>
      <c r="I208" s="5">
        <v>145.4</v>
      </c>
      <c r="J208" s="5">
        <v>150</v>
      </c>
      <c r="K208" s="5">
        <v>121.4</v>
      </c>
      <c r="L208" s="5">
        <v>113.7</v>
      </c>
      <c r="M208" s="5">
        <v>139.5</v>
      </c>
      <c r="N208" s="5">
        <v>130.80000000000001</v>
      </c>
      <c r="O208" s="5">
        <v>153.80000000000001</v>
      </c>
      <c r="P208" s="5">
        <v>140.4</v>
      </c>
      <c r="Q208" s="5">
        <v>159.19999999999999</v>
      </c>
      <c r="R208" s="5">
        <v>147.69999999999999</v>
      </c>
      <c r="S208" s="5">
        <v>139.1</v>
      </c>
      <c r="T208" s="5">
        <v>146.5</v>
      </c>
      <c r="U208" s="5">
        <v>145.30000000000001</v>
      </c>
      <c r="V208" s="5">
        <v>142.30000000000001</v>
      </c>
      <c r="W208" s="5">
        <v>139.69999999999999</v>
      </c>
      <c r="X208" s="5">
        <v>138.4</v>
      </c>
      <c r="Y208" s="5">
        <v>126</v>
      </c>
      <c r="Z208" s="5">
        <v>134.5</v>
      </c>
      <c r="AA208" s="5">
        <v>146.19999999999999</v>
      </c>
      <c r="AB208" s="5">
        <v>130.9</v>
      </c>
      <c r="AC208" s="5">
        <v>134.69999999999999</v>
      </c>
      <c r="AD208" s="6">
        <v>140.19999999999999</v>
      </c>
    </row>
    <row r="209" spans="1:30">
      <c r="A209" s="4" t="s">
        <v>65</v>
      </c>
      <c r="B209" s="5">
        <v>2018</v>
      </c>
      <c r="C209" s="5" t="s">
        <v>78</v>
      </c>
      <c r="D209" s="5">
        <v>139.30000000000001</v>
      </c>
      <c r="E209" s="5">
        <v>147.6</v>
      </c>
      <c r="F209" s="5">
        <v>134.6</v>
      </c>
      <c r="G209" s="5">
        <v>141.9</v>
      </c>
      <c r="H209" s="5">
        <v>123.5</v>
      </c>
      <c r="I209" s="5">
        <v>144.5</v>
      </c>
      <c r="J209" s="5">
        <v>147.6</v>
      </c>
      <c r="K209" s="5">
        <v>121.4</v>
      </c>
      <c r="L209" s="5">
        <v>112.3</v>
      </c>
      <c r="M209" s="5">
        <v>139.5</v>
      </c>
      <c r="N209" s="5">
        <v>134.6</v>
      </c>
      <c r="O209" s="5">
        <v>155.19999999999999</v>
      </c>
      <c r="P209" s="5">
        <v>140.19999999999999</v>
      </c>
      <c r="Q209" s="5">
        <v>159.6</v>
      </c>
      <c r="R209" s="5">
        <v>150.69999999999999</v>
      </c>
      <c r="S209" s="5">
        <v>144.5</v>
      </c>
      <c r="T209" s="5">
        <v>149.80000000000001</v>
      </c>
      <c r="U209" s="5" t="s">
        <v>67</v>
      </c>
      <c r="V209" s="5">
        <v>149.69999999999999</v>
      </c>
      <c r="W209" s="5">
        <v>147.5</v>
      </c>
      <c r="X209" s="5">
        <v>144.80000000000001</v>
      </c>
      <c r="Y209" s="5">
        <v>130.80000000000001</v>
      </c>
      <c r="Z209" s="5">
        <v>140.1</v>
      </c>
      <c r="AA209" s="5">
        <v>148</v>
      </c>
      <c r="AB209" s="5">
        <v>134.4</v>
      </c>
      <c r="AC209" s="5">
        <v>139.80000000000001</v>
      </c>
      <c r="AD209" s="6">
        <v>142.19999999999999</v>
      </c>
    </row>
    <row r="210" spans="1:30">
      <c r="A210" s="4" t="s">
        <v>68</v>
      </c>
      <c r="B210" s="5">
        <v>2018</v>
      </c>
      <c r="C210" s="5" t="s">
        <v>78</v>
      </c>
      <c r="D210" s="5">
        <v>137.6</v>
      </c>
      <c r="E210" s="5">
        <v>144.9</v>
      </c>
      <c r="F210" s="5">
        <v>133.5</v>
      </c>
      <c r="G210" s="5">
        <v>141.5</v>
      </c>
      <c r="H210" s="5">
        <v>118</v>
      </c>
      <c r="I210" s="5">
        <v>139.5</v>
      </c>
      <c r="J210" s="5">
        <v>153</v>
      </c>
      <c r="K210" s="5">
        <v>113.2</v>
      </c>
      <c r="L210" s="5">
        <v>112.8</v>
      </c>
      <c r="M210" s="5">
        <v>141.1</v>
      </c>
      <c r="N210" s="5">
        <v>127.6</v>
      </c>
      <c r="O210" s="5">
        <v>152</v>
      </c>
      <c r="P210" s="5">
        <v>139.4</v>
      </c>
      <c r="Q210" s="5">
        <v>164</v>
      </c>
      <c r="R210" s="5">
        <v>141.5</v>
      </c>
      <c r="S210" s="5">
        <v>129.80000000000001</v>
      </c>
      <c r="T210" s="5">
        <v>139.69999999999999</v>
      </c>
      <c r="U210" s="5">
        <v>146.30000000000001</v>
      </c>
      <c r="V210" s="5">
        <v>133.4</v>
      </c>
      <c r="W210" s="5">
        <v>135.1</v>
      </c>
      <c r="X210" s="5">
        <v>136.19999999999999</v>
      </c>
      <c r="Y210" s="5">
        <v>123.3</v>
      </c>
      <c r="Z210" s="5">
        <v>130.69999999999999</v>
      </c>
      <c r="AA210" s="5">
        <v>145.5</v>
      </c>
      <c r="AB210" s="5">
        <v>130.4</v>
      </c>
      <c r="AC210" s="5">
        <v>132.5</v>
      </c>
      <c r="AD210" s="6">
        <v>138.9</v>
      </c>
    </row>
    <row r="211" spans="1:30">
      <c r="A211" s="4" t="s">
        <v>69</v>
      </c>
      <c r="B211" s="5">
        <v>2018</v>
      </c>
      <c r="C211" s="5" t="s">
        <v>78</v>
      </c>
      <c r="D211" s="5">
        <v>137.4</v>
      </c>
      <c r="E211" s="5">
        <v>149.5</v>
      </c>
      <c r="F211" s="5">
        <v>137.30000000000001</v>
      </c>
      <c r="G211" s="5">
        <v>141.9</v>
      </c>
      <c r="H211" s="5">
        <v>121.1</v>
      </c>
      <c r="I211" s="5">
        <v>142.5</v>
      </c>
      <c r="J211" s="5">
        <v>146.69999999999999</v>
      </c>
      <c r="K211" s="5">
        <v>119.1</v>
      </c>
      <c r="L211" s="5">
        <v>111.9</v>
      </c>
      <c r="M211" s="5">
        <v>141</v>
      </c>
      <c r="N211" s="5">
        <v>133.6</v>
      </c>
      <c r="O211" s="5">
        <v>154.5</v>
      </c>
      <c r="P211" s="5">
        <v>139.69999999999999</v>
      </c>
      <c r="Q211" s="5">
        <v>162.6</v>
      </c>
      <c r="R211" s="5">
        <v>148</v>
      </c>
      <c r="S211" s="5">
        <v>139.19999999999999</v>
      </c>
      <c r="T211" s="5">
        <v>146.80000000000001</v>
      </c>
      <c r="U211" s="5">
        <v>146.9</v>
      </c>
      <c r="V211" s="5">
        <v>145.30000000000001</v>
      </c>
      <c r="W211" s="5">
        <v>142.19999999999999</v>
      </c>
      <c r="X211" s="5">
        <v>142.1</v>
      </c>
      <c r="Y211" s="5">
        <v>125.5</v>
      </c>
      <c r="Z211" s="5">
        <v>136.5</v>
      </c>
      <c r="AA211" s="5">
        <v>147.80000000000001</v>
      </c>
      <c r="AB211" s="5">
        <v>132</v>
      </c>
      <c r="AC211" s="5">
        <v>136.30000000000001</v>
      </c>
      <c r="AD211" s="6">
        <v>140.80000000000001</v>
      </c>
    </row>
    <row r="212" spans="1:30">
      <c r="A212" s="4" t="s">
        <v>65</v>
      </c>
      <c r="B212" s="5">
        <v>2018</v>
      </c>
      <c r="C212" s="5" t="s">
        <v>79</v>
      </c>
      <c r="D212" s="5">
        <v>137.1</v>
      </c>
      <c r="E212" s="5">
        <v>150.80000000000001</v>
      </c>
      <c r="F212" s="5">
        <v>136.69999999999999</v>
      </c>
      <c r="G212" s="5">
        <v>141.9</v>
      </c>
      <c r="H212" s="5">
        <v>122.8</v>
      </c>
      <c r="I212" s="5">
        <v>143.9</v>
      </c>
      <c r="J212" s="5">
        <v>147.5</v>
      </c>
      <c r="K212" s="5">
        <v>121</v>
      </c>
      <c r="L212" s="5">
        <v>111.6</v>
      </c>
      <c r="M212" s="5">
        <v>140.6</v>
      </c>
      <c r="N212" s="5">
        <v>137.5</v>
      </c>
      <c r="O212" s="5">
        <v>156.1</v>
      </c>
      <c r="P212" s="5">
        <v>140</v>
      </c>
      <c r="Q212" s="5">
        <v>161.9</v>
      </c>
      <c r="R212" s="5">
        <v>151.69999999999999</v>
      </c>
      <c r="S212" s="5">
        <v>145.5</v>
      </c>
      <c r="T212" s="5">
        <v>150.80000000000001</v>
      </c>
      <c r="U212" s="5" t="s">
        <v>67</v>
      </c>
      <c r="V212" s="5">
        <v>150.30000000000001</v>
      </c>
      <c r="W212" s="5">
        <v>148</v>
      </c>
      <c r="X212" s="5">
        <v>145.4</v>
      </c>
      <c r="Y212" s="5">
        <v>130.30000000000001</v>
      </c>
      <c r="Z212" s="5">
        <v>143.1</v>
      </c>
      <c r="AA212" s="5">
        <v>150.19999999999999</v>
      </c>
      <c r="AB212" s="5">
        <v>133.1</v>
      </c>
      <c r="AC212" s="5">
        <v>140.1</v>
      </c>
      <c r="AD212" s="6">
        <v>142.4</v>
      </c>
    </row>
    <row r="213" spans="1:30">
      <c r="A213" s="4" t="s">
        <v>68</v>
      </c>
      <c r="B213" s="5">
        <v>2018</v>
      </c>
      <c r="C213" s="5" t="s">
        <v>79</v>
      </c>
      <c r="D213" s="5">
        <v>138.1</v>
      </c>
      <c r="E213" s="5">
        <v>146.30000000000001</v>
      </c>
      <c r="F213" s="5">
        <v>137.80000000000001</v>
      </c>
      <c r="G213" s="5">
        <v>141.6</v>
      </c>
      <c r="H213" s="5">
        <v>118.1</v>
      </c>
      <c r="I213" s="5">
        <v>141.5</v>
      </c>
      <c r="J213" s="5">
        <v>145.19999999999999</v>
      </c>
      <c r="K213" s="5">
        <v>115.3</v>
      </c>
      <c r="L213" s="5">
        <v>112.5</v>
      </c>
      <c r="M213" s="5">
        <v>141.4</v>
      </c>
      <c r="N213" s="5">
        <v>128</v>
      </c>
      <c r="O213" s="5">
        <v>152.6</v>
      </c>
      <c r="P213" s="5">
        <v>139.1</v>
      </c>
      <c r="Q213" s="5">
        <v>164.4</v>
      </c>
      <c r="R213" s="5">
        <v>142.4</v>
      </c>
      <c r="S213" s="5">
        <v>130.19999999999999</v>
      </c>
      <c r="T213" s="5">
        <v>140.5</v>
      </c>
      <c r="U213" s="5">
        <v>146.9</v>
      </c>
      <c r="V213" s="5">
        <v>136.69999999999999</v>
      </c>
      <c r="W213" s="5">
        <v>135.80000000000001</v>
      </c>
      <c r="X213" s="5">
        <v>136.80000000000001</v>
      </c>
      <c r="Y213" s="5">
        <v>121.2</v>
      </c>
      <c r="Z213" s="5">
        <v>131.30000000000001</v>
      </c>
      <c r="AA213" s="5">
        <v>146.1</v>
      </c>
      <c r="AB213" s="5">
        <v>130.5</v>
      </c>
      <c r="AC213" s="5">
        <v>132.19999999999999</v>
      </c>
      <c r="AD213" s="6">
        <v>139</v>
      </c>
    </row>
    <row r="214" spans="1:30">
      <c r="A214" s="4" t="s">
        <v>69</v>
      </c>
      <c r="B214" s="5">
        <v>2018</v>
      </c>
      <c r="C214" s="5" t="s">
        <v>79</v>
      </c>
      <c r="D214" s="5">
        <v>137.4</v>
      </c>
      <c r="E214" s="5">
        <v>149.19999999999999</v>
      </c>
      <c r="F214" s="5">
        <v>137.1</v>
      </c>
      <c r="G214" s="5">
        <v>141.80000000000001</v>
      </c>
      <c r="H214" s="5">
        <v>121.1</v>
      </c>
      <c r="I214" s="5">
        <v>142.80000000000001</v>
      </c>
      <c r="J214" s="5">
        <v>146.69999999999999</v>
      </c>
      <c r="K214" s="5">
        <v>119.1</v>
      </c>
      <c r="L214" s="5">
        <v>111.9</v>
      </c>
      <c r="M214" s="5">
        <v>140.9</v>
      </c>
      <c r="N214" s="5">
        <v>133.5</v>
      </c>
      <c r="O214" s="5">
        <v>154.5</v>
      </c>
      <c r="P214" s="5">
        <v>139.69999999999999</v>
      </c>
      <c r="Q214" s="5">
        <v>162.6</v>
      </c>
      <c r="R214" s="5">
        <v>148</v>
      </c>
      <c r="S214" s="5">
        <v>139.1</v>
      </c>
      <c r="T214" s="5">
        <v>146.69999999999999</v>
      </c>
      <c r="U214" s="5">
        <v>146.9</v>
      </c>
      <c r="V214" s="5">
        <v>145.1</v>
      </c>
      <c r="W214" s="5">
        <v>142.19999999999999</v>
      </c>
      <c r="X214" s="5">
        <v>142.1</v>
      </c>
      <c r="Y214" s="5">
        <v>125.5</v>
      </c>
      <c r="Z214" s="5">
        <v>136.5</v>
      </c>
      <c r="AA214" s="5">
        <v>147.80000000000001</v>
      </c>
      <c r="AB214" s="5">
        <v>132</v>
      </c>
      <c r="AC214" s="5">
        <v>136.30000000000001</v>
      </c>
      <c r="AD214" s="6">
        <v>140.80000000000001</v>
      </c>
    </row>
    <row r="215" spans="1:30">
      <c r="A215" s="4" t="s">
        <v>65</v>
      </c>
      <c r="B215" s="5">
        <v>2018</v>
      </c>
      <c r="C215" s="5" t="s">
        <v>80</v>
      </c>
      <c r="D215" s="5">
        <v>137.1</v>
      </c>
      <c r="E215" s="5">
        <v>151.9</v>
      </c>
      <c r="F215" s="5">
        <v>137.4</v>
      </c>
      <c r="G215" s="5">
        <v>142.4</v>
      </c>
      <c r="H215" s="5">
        <v>124.2</v>
      </c>
      <c r="I215" s="5">
        <v>140.19999999999999</v>
      </c>
      <c r="J215" s="5">
        <v>136.6</v>
      </c>
      <c r="K215" s="5">
        <v>120.9</v>
      </c>
      <c r="L215" s="5">
        <v>109.9</v>
      </c>
      <c r="M215" s="5">
        <v>140.19999999999999</v>
      </c>
      <c r="N215" s="5">
        <v>137.80000000000001</v>
      </c>
      <c r="O215" s="5">
        <v>156</v>
      </c>
      <c r="P215" s="5">
        <v>138.5</v>
      </c>
      <c r="Q215" s="5">
        <v>162.4</v>
      </c>
      <c r="R215" s="5">
        <v>151.6</v>
      </c>
      <c r="S215" s="5">
        <v>145.9</v>
      </c>
      <c r="T215" s="5">
        <v>150.80000000000001</v>
      </c>
      <c r="U215" s="5" t="s">
        <v>67</v>
      </c>
      <c r="V215" s="5">
        <v>149</v>
      </c>
      <c r="W215" s="5">
        <v>149.5</v>
      </c>
      <c r="X215" s="5">
        <v>149.6</v>
      </c>
      <c r="Y215" s="5">
        <v>128.9</v>
      </c>
      <c r="Z215" s="5">
        <v>143.30000000000001</v>
      </c>
      <c r="AA215" s="5">
        <v>155.1</v>
      </c>
      <c r="AB215" s="5">
        <v>133.19999999999999</v>
      </c>
      <c r="AC215" s="5">
        <v>141.6</v>
      </c>
      <c r="AD215" s="6">
        <v>141.9</v>
      </c>
    </row>
    <row r="216" spans="1:30">
      <c r="A216" s="4" t="s">
        <v>68</v>
      </c>
      <c r="B216" s="5">
        <v>2018</v>
      </c>
      <c r="C216" s="5" t="s">
        <v>80</v>
      </c>
      <c r="D216" s="5">
        <v>138.5</v>
      </c>
      <c r="E216" s="5">
        <v>147.80000000000001</v>
      </c>
      <c r="F216" s="5">
        <v>141.1</v>
      </c>
      <c r="G216" s="5">
        <v>141.6</v>
      </c>
      <c r="H216" s="5">
        <v>118.1</v>
      </c>
      <c r="I216" s="5">
        <v>138.5</v>
      </c>
      <c r="J216" s="5">
        <v>132.4</v>
      </c>
      <c r="K216" s="5">
        <v>117.5</v>
      </c>
      <c r="L216" s="5">
        <v>111</v>
      </c>
      <c r="M216" s="5">
        <v>141.5</v>
      </c>
      <c r="N216" s="5">
        <v>128.1</v>
      </c>
      <c r="O216" s="5">
        <v>152.9</v>
      </c>
      <c r="P216" s="5">
        <v>137.6</v>
      </c>
      <c r="Q216" s="5">
        <v>164.6</v>
      </c>
      <c r="R216" s="5">
        <v>142.69999999999999</v>
      </c>
      <c r="S216" s="5">
        <v>130.30000000000001</v>
      </c>
      <c r="T216" s="5">
        <v>140.80000000000001</v>
      </c>
      <c r="U216" s="5">
        <v>146.5</v>
      </c>
      <c r="V216" s="5">
        <v>132.4</v>
      </c>
      <c r="W216" s="5">
        <v>136.19999999999999</v>
      </c>
      <c r="X216" s="5">
        <v>137.30000000000001</v>
      </c>
      <c r="Y216" s="5">
        <v>118.8</v>
      </c>
      <c r="Z216" s="5">
        <v>131.69999999999999</v>
      </c>
      <c r="AA216" s="5">
        <v>146.5</v>
      </c>
      <c r="AB216" s="5">
        <v>130.80000000000001</v>
      </c>
      <c r="AC216" s="5">
        <v>131.69999999999999</v>
      </c>
      <c r="AD216" s="6">
        <v>138</v>
      </c>
    </row>
    <row r="217" spans="1:30">
      <c r="A217" s="4" t="s">
        <v>69</v>
      </c>
      <c r="B217" s="5">
        <v>2018</v>
      </c>
      <c r="C217" s="5" t="s">
        <v>80</v>
      </c>
      <c r="D217" s="5">
        <v>137.5</v>
      </c>
      <c r="E217" s="5">
        <v>150.5</v>
      </c>
      <c r="F217" s="5">
        <v>138.80000000000001</v>
      </c>
      <c r="G217" s="5">
        <v>142.1</v>
      </c>
      <c r="H217" s="5">
        <v>122</v>
      </c>
      <c r="I217" s="5">
        <v>139.4</v>
      </c>
      <c r="J217" s="5">
        <v>135.19999999999999</v>
      </c>
      <c r="K217" s="5">
        <v>119.8</v>
      </c>
      <c r="L217" s="5">
        <v>110.3</v>
      </c>
      <c r="M217" s="5">
        <v>140.6</v>
      </c>
      <c r="N217" s="5">
        <v>133.80000000000001</v>
      </c>
      <c r="O217" s="5">
        <v>154.6</v>
      </c>
      <c r="P217" s="5">
        <v>138.19999999999999</v>
      </c>
      <c r="Q217" s="5">
        <v>163</v>
      </c>
      <c r="R217" s="5">
        <v>148.1</v>
      </c>
      <c r="S217" s="5">
        <v>139.4</v>
      </c>
      <c r="T217" s="5">
        <v>146.80000000000001</v>
      </c>
      <c r="U217" s="5">
        <v>146.5</v>
      </c>
      <c r="V217" s="5">
        <v>142.69999999999999</v>
      </c>
      <c r="W217" s="5">
        <v>143.19999999999999</v>
      </c>
      <c r="X217" s="5">
        <v>144.9</v>
      </c>
      <c r="Y217" s="5">
        <v>123.6</v>
      </c>
      <c r="Z217" s="5">
        <v>136.80000000000001</v>
      </c>
      <c r="AA217" s="5">
        <v>150.1</v>
      </c>
      <c r="AB217" s="5">
        <v>132.19999999999999</v>
      </c>
      <c r="AC217" s="5">
        <v>136.80000000000001</v>
      </c>
      <c r="AD217" s="6">
        <v>140.1</v>
      </c>
    </row>
    <row r="218" spans="1:30">
      <c r="A218" s="4" t="s">
        <v>65</v>
      </c>
      <c r="B218" s="5">
        <v>2019</v>
      </c>
      <c r="C218" s="5" t="s">
        <v>66</v>
      </c>
      <c r="D218" s="5">
        <v>136.6</v>
      </c>
      <c r="E218" s="5">
        <v>152.5</v>
      </c>
      <c r="F218" s="5">
        <v>138.19999999999999</v>
      </c>
      <c r="G218" s="5">
        <v>142.4</v>
      </c>
      <c r="H218" s="5">
        <v>123.9</v>
      </c>
      <c r="I218" s="5">
        <v>135.5</v>
      </c>
      <c r="J218" s="5">
        <v>131.69999999999999</v>
      </c>
      <c r="K218" s="5">
        <v>121.3</v>
      </c>
      <c r="L218" s="5">
        <v>108.4</v>
      </c>
      <c r="M218" s="5">
        <v>138.9</v>
      </c>
      <c r="N218" s="5">
        <v>137</v>
      </c>
      <c r="O218" s="5">
        <v>155.80000000000001</v>
      </c>
      <c r="P218" s="5">
        <v>137.4</v>
      </c>
      <c r="Q218" s="5">
        <v>162.69999999999999</v>
      </c>
      <c r="R218" s="5">
        <v>150.6</v>
      </c>
      <c r="S218" s="5">
        <v>145.1</v>
      </c>
      <c r="T218" s="5">
        <v>149.9</v>
      </c>
      <c r="U218" s="5" t="s">
        <v>67</v>
      </c>
      <c r="V218" s="5">
        <v>146.19999999999999</v>
      </c>
      <c r="W218" s="5">
        <v>150.1</v>
      </c>
      <c r="X218" s="5">
        <v>149.6</v>
      </c>
      <c r="Y218" s="5">
        <v>128.6</v>
      </c>
      <c r="Z218" s="5">
        <v>142.9</v>
      </c>
      <c r="AA218" s="5">
        <v>155.19999999999999</v>
      </c>
      <c r="AB218" s="5">
        <v>133.5</v>
      </c>
      <c r="AC218" s="5">
        <v>141.69999999999999</v>
      </c>
      <c r="AD218" s="6">
        <v>141</v>
      </c>
    </row>
    <row r="219" spans="1:30">
      <c r="A219" s="4" t="s">
        <v>68</v>
      </c>
      <c r="B219" s="5">
        <v>2019</v>
      </c>
      <c r="C219" s="5" t="s">
        <v>66</v>
      </c>
      <c r="D219" s="5">
        <v>138.30000000000001</v>
      </c>
      <c r="E219" s="5">
        <v>149.4</v>
      </c>
      <c r="F219" s="5">
        <v>143.5</v>
      </c>
      <c r="G219" s="5">
        <v>141.69999999999999</v>
      </c>
      <c r="H219" s="5">
        <v>118.1</v>
      </c>
      <c r="I219" s="5">
        <v>135.19999999999999</v>
      </c>
      <c r="J219" s="5">
        <v>130.5</v>
      </c>
      <c r="K219" s="5">
        <v>118.2</v>
      </c>
      <c r="L219" s="5">
        <v>110.4</v>
      </c>
      <c r="M219" s="5">
        <v>140.4</v>
      </c>
      <c r="N219" s="5">
        <v>128.1</v>
      </c>
      <c r="O219" s="5">
        <v>153.19999999999999</v>
      </c>
      <c r="P219" s="5">
        <v>137.30000000000001</v>
      </c>
      <c r="Q219" s="5">
        <v>164.7</v>
      </c>
      <c r="R219" s="5">
        <v>143</v>
      </c>
      <c r="S219" s="5">
        <v>130.4</v>
      </c>
      <c r="T219" s="5">
        <v>141.1</v>
      </c>
      <c r="U219" s="5">
        <v>147.69999999999999</v>
      </c>
      <c r="V219" s="5">
        <v>128.6</v>
      </c>
      <c r="W219" s="5">
        <v>136.30000000000001</v>
      </c>
      <c r="X219" s="5">
        <v>137.80000000000001</v>
      </c>
      <c r="Y219" s="5">
        <v>118.6</v>
      </c>
      <c r="Z219" s="5">
        <v>131.9</v>
      </c>
      <c r="AA219" s="5">
        <v>146.6</v>
      </c>
      <c r="AB219" s="5">
        <v>131.69999999999999</v>
      </c>
      <c r="AC219" s="5">
        <v>131.80000000000001</v>
      </c>
      <c r="AD219" s="6">
        <v>138</v>
      </c>
    </row>
    <row r="220" spans="1:30">
      <c r="A220" s="4" t="s">
        <v>69</v>
      </c>
      <c r="B220" s="5">
        <v>2019</v>
      </c>
      <c r="C220" s="5" t="s">
        <v>66</v>
      </c>
      <c r="D220" s="5">
        <v>137.1</v>
      </c>
      <c r="E220" s="5">
        <v>151.4</v>
      </c>
      <c r="F220" s="5">
        <v>140.19999999999999</v>
      </c>
      <c r="G220" s="5">
        <v>142.1</v>
      </c>
      <c r="H220" s="5">
        <v>121.8</v>
      </c>
      <c r="I220" s="5">
        <v>135.4</v>
      </c>
      <c r="J220" s="5">
        <v>131.30000000000001</v>
      </c>
      <c r="K220" s="5">
        <v>120.3</v>
      </c>
      <c r="L220" s="5">
        <v>109.1</v>
      </c>
      <c r="M220" s="5">
        <v>139.4</v>
      </c>
      <c r="N220" s="5">
        <v>133.30000000000001</v>
      </c>
      <c r="O220" s="5">
        <v>154.6</v>
      </c>
      <c r="P220" s="5">
        <v>137.4</v>
      </c>
      <c r="Q220" s="5">
        <v>163.19999999999999</v>
      </c>
      <c r="R220" s="5">
        <v>147.6</v>
      </c>
      <c r="S220" s="5">
        <v>139</v>
      </c>
      <c r="T220" s="5">
        <v>146.4</v>
      </c>
      <c r="U220" s="5">
        <v>147.69999999999999</v>
      </c>
      <c r="V220" s="5">
        <v>139.5</v>
      </c>
      <c r="W220" s="5">
        <v>143.6</v>
      </c>
      <c r="X220" s="5">
        <v>145.1</v>
      </c>
      <c r="Y220" s="5">
        <v>123.3</v>
      </c>
      <c r="Z220" s="5">
        <v>136.69999999999999</v>
      </c>
      <c r="AA220" s="5">
        <v>150.19999999999999</v>
      </c>
      <c r="AB220" s="5">
        <v>132.80000000000001</v>
      </c>
      <c r="AC220" s="5">
        <v>136.9</v>
      </c>
      <c r="AD220" s="6">
        <v>139.6</v>
      </c>
    </row>
    <row r="221" spans="1:30">
      <c r="A221" s="4" t="s">
        <v>65</v>
      </c>
      <c r="B221" s="5">
        <v>2019</v>
      </c>
      <c r="C221" s="5" t="s">
        <v>70</v>
      </c>
      <c r="D221" s="5">
        <v>136.80000000000001</v>
      </c>
      <c r="E221" s="5">
        <v>153</v>
      </c>
      <c r="F221" s="5">
        <v>139.1</v>
      </c>
      <c r="G221" s="5">
        <v>142.5</v>
      </c>
      <c r="H221" s="5">
        <v>124.1</v>
      </c>
      <c r="I221" s="5">
        <v>135.80000000000001</v>
      </c>
      <c r="J221" s="5">
        <v>128.69999999999999</v>
      </c>
      <c r="K221" s="5">
        <v>121.5</v>
      </c>
      <c r="L221" s="5">
        <v>108.3</v>
      </c>
      <c r="M221" s="5">
        <v>139.19999999999999</v>
      </c>
      <c r="N221" s="5">
        <v>137.4</v>
      </c>
      <c r="O221" s="5">
        <v>156.19999999999999</v>
      </c>
      <c r="P221" s="5">
        <v>137.19999999999999</v>
      </c>
      <c r="Q221" s="5">
        <v>162.80000000000001</v>
      </c>
      <c r="R221" s="5">
        <v>150.5</v>
      </c>
      <c r="S221" s="5">
        <v>146.1</v>
      </c>
      <c r="T221" s="5">
        <v>149.9</v>
      </c>
      <c r="U221" s="5" t="s">
        <v>67</v>
      </c>
      <c r="V221" s="5">
        <v>145.30000000000001</v>
      </c>
      <c r="W221" s="5">
        <v>150.1</v>
      </c>
      <c r="X221" s="5">
        <v>149.9</v>
      </c>
      <c r="Y221" s="5">
        <v>129.19999999999999</v>
      </c>
      <c r="Z221" s="5">
        <v>143.4</v>
      </c>
      <c r="AA221" s="5">
        <v>155.5</v>
      </c>
      <c r="AB221" s="5">
        <v>134.9</v>
      </c>
      <c r="AC221" s="5">
        <v>142.19999999999999</v>
      </c>
      <c r="AD221" s="6">
        <v>141</v>
      </c>
    </row>
    <row r="222" spans="1:30">
      <c r="A222" s="4" t="s">
        <v>68</v>
      </c>
      <c r="B222" s="5">
        <v>2019</v>
      </c>
      <c r="C222" s="5" t="s">
        <v>70</v>
      </c>
      <c r="D222" s="5">
        <v>139.4</v>
      </c>
      <c r="E222" s="5">
        <v>150.1</v>
      </c>
      <c r="F222" s="5">
        <v>145.30000000000001</v>
      </c>
      <c r="G222" s="5">
        <v>141.69999999999999</v>
      </c>
      <c r="H222" s="5">
        <v>118.4</v>
      </c>
      <c r="I222" s="5">
        <v>137</v>
      </c>
      <c r="J222" s="5">
        <v>131.6</v>
      </c>
      <c r="K222" s="5">
        <v>119.9</v>
      </c>
      <c r="L222" s="5">
        <v>110.4</v>
      </c>
      <c r="M222" s="5">
        <v>140.80000000000001</v>
      </c>
      <c r="N222" s="5">
        <v>128.30000000000001</v>
      </c>
      <c r="O222" s="5">
        <v>153.5</v>
      </c>
      <c r="P222" s="5">
        <v>138</v>
      </c>
      <c r="Q222" s="5">
        <v>164.9</v>
      </c>
      <c r="R222" s="5">
        <v>143.30000000000001</v>
      </c>
      <c r="S222" s="5">
        <v>130.80000000000001</v>
      </c>
      <c r="T222" s="5">
        <v>141.4</v>
      </c>
      <c r="U222" s="5">
        <v>148.5</v>
      </c>
      <c r="V222" s="5">
        <v>127.1</v>
      </c>
      <c r="W222" s="5">
        <v>136.6</v>
      </c>
      <c r="X222" s="5">
        <v>138.5</v>
      </c>
      <c r="Y222" s="5">
        <v>119.2</v>
      </c>
      <c r="Z222" s="5">
        <v>132.19999999999999</v>
      </c>
      <c r="AA222" s="5">
        <v>146.6</v>
      </c>
      <c r="AB222" s="5">
        <v>133</v>
      </c>
      <c r="AC222" s="5">
        <v>132.4</v>
      </c>
      <c r="AD222" s="6">
        <v>138.6</v>
      </c>
    </row>
    <row r="223" spans="1:30">
      <c r="A223" s="4" t="s">
        <v>69</v>
      </c>
      <c r="B223" s="5">
        <v>2019</v>
      </c>
      <c r="C223" s="5" t="s">
        <v>70</v>
      </c>
      <c r="D223" s="5">
        <v>137.6</v>
      </c>
      <c r="E223" s="5">
        <v>152</v>
      </c>
      <c r="F223" s="5">
        <v>141.5</v>
      </c>
      <c r="G223" s="5">
        <v>142.19999999999999</v>
      </c>
      <c r="H223" s="5">
        <v>122</v>
      </c>
      <c r="I223" s="5">
        <v>136.4</v>
      </c>
      <c r="J223" s="5">
        <v>129.69999999999999</v>
      </c>
      <c r="K223" s="5">
        <v>121</v>
      </c>
      <c r="L223" s="5">
        <v>109</v>
      </c>
      <c r="M223" s="5">
        <v>139.69999999999999</v>
      </c>
      <c r="N223" s="5">
        <v>133.6</v>
      </c>
      <c r="O223" s="5">
        <v>154.9</v>
      </c>
      <c r="P223" s="5">
        <v>137.5</v>
      </c>
      <c r="Q223" s="5">
        <v>163.4</v>
      </c>
      <c r="R223" s="5">
        <v>147.69999999999999</v>
      </c>
      <c r="S223" s="5">
        <v>139.69999999999999</v>
      </c>
      <c r="T223" s="5">
        <v>146.5</v>
      </c>
      <c r="U223" s="5">
        <v>148.5</v>
      </c>
      <c r="V223" s="5">
        <v>138.4</v>
      </c>
      <c r="W223" s="5">
        <v>143.69999999999999</v>
      </c>
      <c r="X223" s="5">
        <v>145.6</v>
      </c>
      <c r="Y223" s="5">
        <v>123.9</v>
      </c>
      <c r="Z223" s="5">
        <v>137.1</v>
      </c>
      <c r="AA223" s="5">
        <v>150.30000000000001</v>
      </c>
      <c r="AB223" s="5">
        <v>134.1</v>
      </c>
      <c r="AC223" s="5">
        <v>137.4</v>
      </c>
      <c r="AD223" s="6">
        <v>139.9</v>
      </c>
    </row>
    <row r="224" spans="1:30">
      <c r="A224" s="4" t="s">
        <v>65</v>
      </c>
      <c r="B224" s="5">
        <v>2019</v>
      </c>
      <c r="C224" s="5" t="s">
        <v>71</v>
      </c>
      <c r="D224" s="5">
        <v>136.9</v>
      </c>
      <c r="E224" s="5">
        <v>154.1</v>
      </c>
      <c r="F224" s="5">
        <v>138.69999999999999</v>
      </c>
      <c r="G224" s="5">
        <v>142.5</v>
      </c>
      <c r="H224" s="5">
        <v>124.1</v>
      </c>
      <c r="I224" s="5">
        <v>136.1</v>
      </c>
      <c r="J224" s="5">
        <v>128.19999999999999</v>
      </c>
      <c r="K224" s="5">
        <v>122.3</v>
      </c>
      <c r="L224" s="5">
        <v>108.3</v>
      </c>
      <c r="M224" s="5">
        <v>138.9</v>
      </c>
      <c r="N224" s="5">
        <v>137.4</v>
      </c>
      <c r="O224" s="5">
        <v>156.4</v>
      </c>
      <c r="P224" s="5">
        <v>137.30000000000001</v>
      </c>
      <c r="Q224" s="5">
        <v>162.9</v>
      </c>
      <c r="R224" s="5">
        <v>150.80000000000001</v>
      </c>
      <c r="S224" s="5">
        <v>146.1</v>
      </c>
      <c r="T224" s="5">
        <v>150.1</v>
      </c>
      <c r="U224" s="5" t="s">
        <v>67</v>
      </c>
      <c r="V224" s="5">
        <v>146.4</v>
      </c>
      <c r="W224" s="5">
        <v>150</v>
      </c>
      <c r="X224" s="5">
        <v>150.4</v>
      </c>
      <c r="Y224" s="5">
        <v>129.9</v>
      </c>
      <c r="Z224" s="5">
        <v>143.80000000000001</v>
      </c>
      <c r="AA224" s="5">
        <v>155.5</v>
      </c>
      <c r="AB224" s="5">
        <v>134</v>
      </c>
      <c r="AC224" s="5">
        <v>142.4</v>
      </c>
      <c r="AD224" s="6">
        <v>141.19999999999999</v>
      </c>
    </row>
    <row r="225" spans="1:30">
      <c r="A225" s="4" t="s">
        <v>68</v>
      </c>
      <c r="B225" s="5">
        <v>2019</v>
      </c>
      <c r="C225" s="5" t="s">
        <v>71</v>
      </c>
      <c r="D225" s="5">
        <v>139.69999999999999</v>
      </c>
      <c r="E225" s="5">
        <v>151.1</v>
      </c>
      <c r="F225" s="5">
        <v>142.9</v>
      </c>
      <c r="G225" s="5">
        <v>141.9</v>
      </c>
      <c r="H225" s="5">
        <v>118.4</v>
      </c>
      <c r="I225" s="5">
        <v>139.4</v>
      </c>
      <c r="J225" s="5">
        <v>141.19999999999999</v>
      </c>
      <c r="K225" s="5">
        <v>120.7</v>
      </c>
      <c r="L225" s="5">
        <v>110.4</v>
      </c>
      <c r="M225" s="5">
        <v>140.69999999999999</v>
      </c>
      <c r="N225" s="5">
        <v>128.5</v>
      </c>
      <c r="O225" s="5">
        <v>153.9</v>
      </c>
      <c r="P225" s="5">
        <v>139.6</v>
      </c>
      <c r="Q225" s="5">
        <v>165.3</v>
      </c>
      <c r="R225" s="5">
        <v>143.5</v>
      </c>
      <c r="S225" s="5">
        <v>131.19999999999999</v>
      </c>
      <c r="T225" s="5">
        <v>141.6</v>
      </c>
      <c r="U225" s="5">
        <v>149</v>
      </c>
      <c r="V225" s="5">
        <v>128.80000000000001</v>
      </c>
      <c r="W225" s="5">
        <v>136.80000000000001</v>
      </c>
      <c r="X225" s="5">
        <v>139.19999999999999</v>
      </c>
      <c r="Y225" s="5">
        <v>119.9</v>
      </c>
      <c r="Z225" s="5">
        <v>133</v>
      </c>
      <c r="AA225" s="5">
        <v>146.69999999999999</v>
      </c>
      <c r="AB225" s="5">
        <v>132.5</v>
      </c>
      <c r="AC225" s="5">
        <v>132.80000000000001</v>
      </c>
      <c r="AD225" s="6">
        <v>139.5</v>
      </c>
    </row>
    <row r="226" spans="1:30">
      <c r="A226" s="4" t="s">
        <v>69</v>
      </c>
      <c r="B226" s="5">
        <v>2019</v>
      </c>
      <c r="C226" s="5" t="s">
        <v>71</v>
      </c>
      <c r="D226" s="5">
        <v>137.80000000000001</v>
      </c>
      <c r="E226" s="5">
        <v>153</v>
      </c>
      <c r="F226" s="5">
        <v>140.30000000000001</v>
      </c>
      <c r="G226" s="5">
        <v>142.30000000000001</v>
      </c>
      <c r="H226" s="5">
        <v>122</v>
      </c>
      <c r="I226" s="5">
        <v>137.6</v>
      </c>
      <c r="J226" s="5">
        <v>132.6</v>
      </c>
      <c r="K226" s="5">
        <v>121.8</v>
      </c>
      <c r="L226" s="5">
        <v>109</v>
      </c>
      <c r="M226" s="5">
        <v>139.5</v>
      </c>
      <c r="N226" s="5">
        <v>133.69999999999999</v>
      </c>
      <c r="O226" s="5">
        <v>155.19999999999999</v>
      </c>
      <c r="P226" s="5">
        <v>138.1</v>
      </c>
      <c r="Q226" s="5">
        <v>163.5</v>
      </c>
      <c r="R226" s="5">
        <v>147.9</v>
      </c>
      <c r="S226" s="5">
        <v>139.9</v>
      </c>
      <c r="T226" s="5">
        <v>146.69999999999999</v>
      </c>
      <c r="U226" s="5">
        <v>149</v>
      </c>
      <c r="V226" s="5">
        <v>139.69999999999999</v>
      </c>
      <c r="W226" s="5">
        <v>143.80000000000001</v>
      </c>
      <c r="X226" s="5">
        <v>146.19999999999999</v>
      </c>
      <c r="Y226" s="5">
        <v>124.6</v>
      </c>
      <c r="Z226" s="5">
        <v>137.69999999999999</v>
      </c>
      <c r="AA226" s="5">
        <v>150.30000000000001</v>
      </c>
      <c r="AB226" s="5">
        <v>133.4</v>
      </c>
      <c r="AC226" s="5">
        <v>137.69999999999999</v>
      </c>
      <c r="AD226" s="6">
        <v>140.4</v>
      </c>
    </row>
    <row r="227" spans="1:30">
      <c r="A227" s="4" t="s">
        <v>65</v>
      </c>
      <c r="B227" s="5">
        <v>2019</v>
      </c>
      <c r="C227" s="5" t="s">
        <v>73</v>
      </c>
      <c r="D227" s="5">
        <v>137.4</v>
      </c>
      <c r="E227" s="5">
        <v>159.5</v>
      </c>
      <c r="F227" s="5">
        <v>134.5</v>
      </c>
      <c r="G227" s="5">
        <v>142.6</v>
      </c>
      <c r="H227" s="5">
        <v>124</v>
      </c>
      <c r="I227" s="5">
        <v>143.69999999999999</v>
      </c>
      <c r="J227" s="5">
        <v>133.4</v>
      </c>
      <c r="K227" s="5">
        <v>125.1</v>
      </c>
      <c r="L227" s="5">
        <v>109.3</v>
      </c>
      <c r="M227" s="5">
        <v>139.30000000000001</v>
      </c>
      <c r="N227" s="5">
        <v>137.69999999999999</v>
      </c>
      <c r="O227" s="5">
        <v>156.4</v>
      </c>
      <c r="P227" s="5">
        <v>139.19999999999999</v>
      </c>
      <c r="Q227" s="5">
        <v>163.30000000000001</v>
      </c>
      <c r="R227" s="5">
        <v>151.30000000000001</v>
      </c>
      <c r="S227" s="5">
        <v>146.6</v>
      </c>
      <c r="T227" s="5">
        <v>150.69999999999999</v>
      </c>
      <c r="U227" s="5" t="s">
        <v>67</v>
      </c>
      <c r="V227" s="5">
        <v>146.9</v>
      </c>
      <c r="W227" s="5">
        <v>149.5</v>
      </c>
      <c r="X227" s="5">
        <v>151.30000000000001</v>
      </c>
      <c r="Y227" s="5">
        <v>130.19999999999999</v>
      </c>
      <c r="Z227" s="5">
        <v>145.9</v>
      </c>
      <c r="AA227" s="5">
        <v>156.69999999999999</v>
      </c>
      <c r="AB227" s="5">
        <v>133.9</v>
      </c>
      <c r="AC227" s="5">
        <v>142.9</v>
      </c>
      <c r="AD227" s="6">
        <v>142.4</v>
      </c>
    </row>
    <row r="228" spans="1:30">
      <c r="A228" s="4" t="s">
        <v>68</v>
      </c>
      <c r="B228" s="5">
        <v>2019</v>
      </c>
      <c r="C228" s="5" t="s">
        <v>73</v>
      </c>
      <c r="D228" s="5">
        <v>140.4</v>
      </c>
      <c r="E228" s="5">
        <v>156.69999999999999</v>
      </c>
      <c r="F228" s="5">
        <v>138.30000000000001</v>
      </c>
      <c r="G228" s="5">
        <v>142.4</v>
      </c>
      <c r="H228" s="5">
        <v>118.6</v>
      </c>
      <c r="I228" s="5">
        <v>149.69999999999999</v>
      </c>
      <c r="J228" s="5">
        <v>161.6</v>
      </c>
      <c r="K228" s="5">
        <v>124.4</v>
      </c>
      <c r="L228" s="5">
        <v>111.2</v>
      </c>
      <c r="M228" s="5">
        <v>141</v>
      </c>
      <c r="N228" s="5">
        <v>128.9</v>
      </c>
      <c r="O228" s="5">
        <v>154.5</v>
      </c>
      <c r="P228" s="5">
        <v>143.80000000000001</v>
      </c>
      <c r="Q228" s="5">
        <v>166.2</v>
      </c>
      <c r="R228" s="5">
        <v>144</v>
      </c>
      <c r="S228" s="5">
        <v>131.69999999999999</v>
      </c>
      <c r="T228" s="5">
        <v>142.19999999999999</v>
      </c>
      <c r="U228" s="5">
        <v>150.1</v>
      </c>
      <c r="V228" s="5">
        <v>129.4</v>
      </c>
      <c r="W228" s="5">
        <v>137.19999999999999</v>
      </c>
      <c r="X228" s="5">
        <v>139.80000000000001</v>
      </c>
      <c r="Y228" s="5">
        <v>120.1</v>
      </c>
      <c r="Z228" s="5">
        <v>134</v>
      </c>
      <c r="AA228" s="5">
        <v>148</v>
      </c>
      <c r="AB228" s="5">
        <v>132.6</v>
      </c>
      <c r="AC228" s="5">
        <v>133.30000000000001</v>
      </c>
      <c r="AD228" s="6">
        <v>141.5</v>
      </c>
    </row>
    <row r="229" spans="1:30">
      <c r="A229" s="4" t="s">
        <v>69</v>
      </c>
      <c r="B229" s="5">
        <v>2019</v>
      </c>
      <c r="C229" s="5" t="s">
        <v>73</v>
      </c>
      <c r="D229" s="5">
        <v>138.30000000000001</v>
      </c>
      <c r="E229" s="5">
        <v>158.5</v>
      </c>
      <c r="F229" s="5">
        <v>136</v>
      </c>
      <c r="G229" s="5">
        <v>142.5</v>
      </c>
      <c r="H229" s="5">
        <v>122</v>
      </c>
      <c r="I229" s="5">
        <v>146.5</v>
      </c>
      <c r="J229" s="5">
        <v>143</v>
      </c>
      <c r="K229" s="5">
        <v>124.9</v>
      </c>
      <c r="L229" s="5">
        <v>109.9</v>
      </c>
      <c r="M229" s="5">
        <v>139.9</v>
      </c>
      <c r="N229" s="5">
        <v>134</v>
      </c>
      <c r="O229" s="5">
        <v>155.5</v>
      </c>
      <c r="P229" s="5">
        <v>140.9</v>
      </c>
      <c r="Q229" s="5">
        <v>164.1</v>
      </c>
      <c r="R229" s="5">
        <v>148.4</v>
      </c>
      <c r="S229" s="5">
        <v>140.4</v>
      </c>
      <c r="T229" s="5">
        <v>147.30000000000001</v>
      </c>
      <c r="U229" s="5">
        <v>150.1</v>
      </c>
      <c r="V229" s="5">
        <v>140.30000000000001</v>
      </c>
      <c r="W229" s="5">
        <v>143.69999999999999</v>
      </c>
      <c r="X229" s="5">
        <v>146.9</v>
      </c>
      <c r="Y229" s="5">
        <v>124.9</v>
      </c>
      <c r="Z229" s="5">
        <v>139.19999999999999</v>
      </c>
      <c r="AA229" s="5">
        <v>151.6</v>
      </c>
      <c r="AB229" s="5">
        <v>133.4</v>
      </c>
      <c r="AC229" s="5">
        <v>138.19999999999999</v>
      </c>
      <c r="AD229" s="6">
        <v>142</v>
      </c>
    </row>
    <row r="230" spans="1:30">
      <c r="A230" s="4" t="s">
        <v>65</v>
      </c>
      <c r="B230" s="5">
        <v>2019</v>
      </c>
      <c r="C230" s="5" t="s">
        <v>74</v>
      </c>
      <c r="D230" s="5">
        <v>137.80000000000001</v>
      </c>
      <c r="E230" s="5">
        <v>163.5</v>
      </c>
      <c r="F230" s="5">
        <v>136.19999999999999</v>
      </c>
      <c r="G230" s="5">
        <v>143.19999999999999</v>
      </c>
      <c r="H230" s="5">
        <v>124.3</v>
      </c>
      <c r="I230" s="5">
        <v>143.30000000000001</v>
      </c>
      <c r="J230" s="5">
        <v>140.6</v>
      </c>
      <c r="K230" s="5">
        <v>128.69999999999999</v>
      </c>
      <c r="L230" s="5">
        <v>110.6</v>
      </c>
      <c r="M230" s="5">
        <v>140.4</v>
      </c>
      <c r="N230" s="5">
        <v>138</v>
      </c>
      <c r="O230" s="5">
        <v>156.6</v>
      </c>
      <c r="P230" s="5">
        <v>141</v>
      </c>
      <c r="Q230" s="5">
        <v>164.2</v>
      </c>
      <c r="R230" s="5">
        <v>151.4</v>
      </c>
      <c r="S230" s="5">
        <v>146.5</v>
      </c>
      <c r="T230" s="5">
        <v>150.69999999999999</v>
      </c>
      <c r="U230" s="5" t="s">
        <v>67</v>
      </c>
      <c r="V230" s="5">
        <v>147.80000000000001</v>
      </c>
      <c r="W230" s="5">
        <v>149.6</v>
      </c>
      <c r="X230" s="5">
        <v>151.69999999999999</v>
      </c>
      <c r="Y230" s="5">
        <v>130.19999999999999</v>
      </c>
      <c r="Z230" s="5">
        <v>146.4</v>
      </c>
      <c r="AA230" s="5">
        <v>157.69999999999999</v>
      </c>
      <c r="AB230" s="5">
        <v>134.80000000000001</v>
      </c>
      <c r="AC230" s="5">
        <v>143.30000000000001</v>
      </c>
      <c r="AD230" s="6">
        <v>143.6</v>
      </c>
    </row>
    <row r="231" spans="1:30">
      <c r="A231" s="4" t="s">
        <v>68</v>
      </c>
      <c r="B231" s="5">
        <v>2019</v>
      </c>
      <c r="C231" s="5" t="s">
        <v>74</v>
      </c>
      <c r="D231" s="5">
        <v>140.69999999999999</v>
      </c>
      <c r="E231" s="5">
        <v>159.6</v>
      </c>
      <c r="F231" s="5">
        <v>140.4</v>
      </c>
      <c r="G231" s="5">
        <v>143.4</v>
      </c>
      <c r="H231" s="5">
        <v>118.6</v>
      </c>
      <c r="I231" s="5">
        <v>150.9</v>
      </c>
      <c r="J231" s="5">
        <v>169.8</v>
      </c>
      <c r="K231" s="5">
        <v>127.4</v>
      </c>
      <c r="L231" s="5">
        <v>111.8</v>
      </c>
      <c r="M231" s="5">
        <v>141</v>
      </c>
      <c r="N231" s="5">
        <v>129</v>
      </c>
      <c r="O231" s="5">
        <v>155.1</v>
      </c>
      <c r="P231" s="5">
        <v>145.6</v>
      </c>
      <c r="Q231" s="5">
        <v>166.7</v>
      </c>
      <c r="R231" s="5">
        <v>144.30000000000001</v>
      </c>
      <c r="S231" s="5">
        <v>131.69999999999999</v>
      </c>
      <c r="T231" s="5">
        <v>142.4</v>
      </c>
      <c r="U231" s="5">
        <v>149.4</v>
      </c>
      <c r="V231" s="5">
        <v>130.5</v>
      </c>
      <c r="W231" s="5">
        <v>137.4</v>
      </c>
      <c r="X231" s="5">
        <v>140.30000000000001</v>
      </c>
      <c r="Y231" s="5">
        <v>119.6</v>
      </c>
      <c r="Z231" s="5">
        <v>134.30000000000001</v>
      </c>
      <c r="AA231" s="5">
        <v>148.9</v>
      </c>
      <c r="AB231" s="5">
        <v>133.69999999999999</v>
      </c>
      <c r="AC231" s="5">
        <v>133.6</v>
      </c>
      <c r="AD231" s="6">
        <v>142.1</v>
      </c>
    </row>
    <row r="232" spans="1:30">
      <c r="A232" s="4" t="s">
        <v>69</v>
      </c>
      <c r="B232" s="5">
        <v>2019</v>
      </c>
      <c r="C232" s="5" t="s">
        <v>74</v>
      </c>
      <c r="D232" s="5">
        <v>138.69999999999999</v>
      </c>
      <c r="E232" s="5">
        <v>162.1</v>
      </c>
      <c r="F232" s="5">
        <v>137.80000000000001</v>
      </c>
      <c r="G232" s="5">
        <v>143.30000000000001</v>
      </c>
      <c r="H232" s="5">
        <v>122.2</v>
      </c>
      <c r="I232" s="5">
        <v>146.80000000000001</v>
      </c>
      <c r="J232" s="5">
        <v>150.5</v>
      </c>
      <c r="K232" s="5">
        <v>128.30000000000001</v>
      </c>
      <c r="L232" s="5">
        <v>111</v>
      </c>
      <c r="M232" s="5">
        <v>140.6</v>
      </c>
      <c r="N232" s="5">
        <v>134.19999999999999</v>
      </c>
      <c r="O232" s="5">
        <v>155.9</v>
      </c>
      <c r="P232" s="5">
        <v>142.69999999999999</v>
      </c>
      <c r="Q232" s="5">
        <v>164.9</v>
      </c>
      <c r="R232" s="5">
        <v>148.6</v>
      </c>
      <c r="S232" s="5">
        <v>140.4</v>
      </c>
      <c r="T232" s="5">
        <v>147.4</v>
      </c>
      <c r="U232" s="5">
        <v>149.4</v>
      </c>
      <c r="V232" s="5">
        <v>141.19999999999999</v>
      </c>
      <c r="W232" s="5">
        <v>143.80000000000001</v>
      </c>
      <c r="X232" s="5">
        <v>147.4</v>
      </c>
      <c r="Y232" s="5">
        <v>124.6</v>
      </c>
      <c r="Z232" s="5">
        <v>139.6</v>
      </c>
      <c r="AA232" s="5">
        <v>152.5</v>
      </c>
      <c r="AB232" s="5">
        <v>134.30000000000001</v>
      </c>
      <c r="AC232" s="5">
        <v>138.6</v>
      </c>
      <c r="AD232" s="6">
        <v>142.9</v>
      </c>
    </row>
    <row r="233" spans="1:30">
      <c r="A233" s="4" t="s">
        <v>65</v>
      </c>
      <c r="B233" s="5">
        <v>2019</v>
      </c>
      <c r="C233" s="5" t="s">
        <v>75</v>
      </c>
      <c r="D233" s="5">
        <v>138.4</v>
      </c>
      <c r="E233" s="5">
        <v>164</v>
      </c>
      <c r="F233" s="5">
        <v>138.4</v>
      </c>
      <c r="G233" s="5">
        <v>143.9</v>
      </c>
      <c r="H233" s="5">
        <v>124.4</v>
      </c>
      <c r="I233" s="5">
        <v>146.4</v>
      </c>
      <c r="J233" s="5">
        <v>150.1</v>
      </c>
      <c r="K233" s="5">
        <v>130.6</v>
      </c>
      <c r="L233" s="5">
        <v>110.8</v>
      </c>
      <c r="M233" s="5">
        <v>141.69999999999999</v>
      </c>
      <c r="N233" s="5">
        <v>138.5</v>
      </c>
      <c r="O233" s="5">
        <v>156.69999999999999</v>
      </c>
      <c r="P233" s="5">
        <v>143</v>
      </c>
      <c r="Q233" s="5">
        <v>164.5</v>
      </c>
      <c r="R233" s="5">
        <v>151.6</v>
      </c>
      <c r="S233" s="5">
        <v>146.6</v>
      </c>
      <c r="T233" s="5">
        <v>150.9</v>
      </c>
      <c r="U233" s="5" t="s">
        <v>67</v>
      </c>
      <c r="V233" s="5">
        <v>146.80000000000001</v>
      </c>
      <c r="W233" s="5">
        <v>150</v>
      </c>
      <c r="X233" s="5">
        <v>152.19999999999999</v>
      </c>
      <c r="Y233" s="5">
        <v>131.19999999999999</v>
      </c>
      <c r="Z233" s="5">
        <v>147.5</v>
      </c>
      <c r="AA233" s="5">
        <v>159.1</v>
      </c>
      <c r="AB233" s="5">
        <v>136.1</v>
      </c>
      <c r="AC233" s="5">
        <v>144.19999999999999</v>
      </c>
      <c r="AD233" s="6">
        <v>144.9</v>
      </c>
    </row>
    <row r="234" spans="1:30">
      <c r="A234" s="4" t="s">
        <v>68</v>
      </c>
      <c r="B234" s="5">
        <v>2019</v>
      </c>
      <c r="C234" s="5" t="s">
        <v>75</v>
      </c>
      <c r="D234" s="5">
        <v>141.4</v>
      </c>
      <c r="E234" s="5">
        <v>160.19999999999999</v>
      </c>
      <c r="F234" s="5">
        <v>142.5</v>
      </c>
      <c r="G234" s="5">
        <v>144.1</v>
      </c>
      <c r="H234" s="5">
        <v>119.3</v>
      </c>
      <c r="I234" s="5">
        <v>154.69999999999999</v>
      </c>
      <c r="J234" s="5">
        <v>180.1</v>
      </c>
      <c r="K234" s="5">
        <v>128.9</v>
      </c>
      <c r="L234" s="5">
        <v>111.8</v>
      </c>
      <c r="M234" s="5">
        <v>141.6</v>
      </c>
      <c r="N234" s="5">
        <v>129.5</v>
      </c>
      <c r="O234" s="5">
        <v>155.6</v>
      </c>
      <c r="P234" s="5">
        <v>147.69999999999999</v>
      </c>
      <c r="Q234" s="5">
        <v>167.2</v>
      </c>
      <c r="R234" s="5">
        <v>144.69999999999999</v>
      </c>
      <c r="S234" s="5">
        <v>131.9</v>
      </c>
      <c r="T234" s="5">
        <v>142.69999999999999</v>
      </c>
      <c r="U234" s="5">
        <v>150.6</v>
      </c>
      <c r="V234" s="5">
        <v>127</v>
      </c>
      <c r="W234" s="5">
        <v>137.69999999999999</v>
      </c>
      <c r="X234" s="5">
        <v>140.80000000000001</v>
      </c>
      <c r="Y234" s="5">
        <v>120.6</v>
      </c>
      <c r="Z234" s="5">
        <v>135</v>
      </c>
      <c r="AA234" s="5">
        <v>150.4</v>
      </c>
      <c r="AB234" s="5">
        <v>135.1</v>
      </c>
      <c r="AC234" s="5">
        <v>134.5</v>
      </c>
      <c r="AD234" s="6">
        <v>143.30000000000001</v>
      </c>
    </row>
    <row r="235" spans="1:30">
      <c r="A235" s="4" t="s">
        <v>69</v>
      </c>
      <c r="B235" s="5">
        <v>2019</v>
      </c>
      <c r="C235" s="5" t="s">
        <v>75</v>
      </c>
      <c r="D235" s="5">
        <v>139.30000000000001</v>
      </c>
      <c r="E235" s="5">
        <v>162.69999999999999</v>
      </c>
      <c r="F235" s="5">
        <v>140</v>
      </c>
      <c r="G235" s="5">
        <v>144</v>
      </c>
      <c r="H235" s="5">
        <v>122.5</v>
      </c>
      <c r="I235" s="5">
        <v>150.30000000000001</v>
      </c>
      <c r="J235" s="5">
        <v>160.30000000000001</v>
      </c>
      <c r="K235" s="5">
        <v>130</v>
      </c>
      <c r="L235" s="5">
        <v>111.1</v>
      </c>
      <c r="M235" s="5">
        <v>141.69999999999999</v>
      </c>
      <c r="N235" s="5">
        <v>134.69999999999999</v>
      </c>
      <c r="O235" s="5">
        <v>156.19999999999999</v>
      </c>
      <c r="P235" s="5">
        <v>144.69999999999999</v>
      </c>
      <c r="Q235" s="5">
        <v>165.2</v>
      </c>
      <c r="R235" s="5">
        <v>148.9</v>
      </c>
      <c r="S235" s="5">
        <v>140.5</v>
      </c>
      <c r="T235" s="5">
        <v>147.6</v>
      </c>
      <c r="U235" s="5">
        <v>150.6</v>
      </c>
      <c r="V235" s="5">
        <v>139.30000000000001</v>
      </c>
      <c r="W235" s="5">
        <v>144.19999999999999</v>
      </c>
      <c r="X235" s="5">
        <v>147.9</v>
      </c>
      <c r="Y235" s="5">
        <v>125.6</v>
      </c>
      <c r="Z235" s="5">
        <v>140.5</v>
      </c>
      <c r="AA235" s="5">
        <v>154</v>
      </c>
      <c r="AB235" s="5">
        <v>135.69999999999999</v>
      </c>
      <c r="AC235" s="5">
        <v>139.5</v>
      </c>
      <c r="AD235" s="6">
        <v>144.19999999999999</v>
      </c>
    </row>
    <row r="236" spans="1:30">
      <c r="A236" s="4" t="s">
        <v>65</v>
      </c>
      <c r="B236" s="5">
        <v>2019</v>
      </c>
      <c r="C236" s="5" t="s">
        <v>76</v>
      </c>
      <c r="D236" s="5">
        <v>139.19999999999999</v>
      </c>
      <c r="E236" s="5">
        <v>161.9</v>
      </c>
      <c r="F236" s="5">
        <v>137.1</v>
      </c>
      <c r="G236" s="5">
        <v>144.6</v>
      </c>
      <c r="H236" s="5">
        <v>124.7</v>
      </c>
      <c r="I236" s="5">
        <v>145.5</v>
      </c>
      <c r="J236" s="5">
        <v>156.19999999999999</v>
      </c>
      <c r="K236" s="5">
        <v>131.5</v>
      </c>
      <c r="L236" s="5">
        <v>111.7</v>
      </c>
      <c r="M236" s="5">
        <v>142.69999999999999</v>
      </c>
      <c r="N236" s="5">
        <v>138.5</v>
      </c>
      <c r="O236" s="5">
        <v>156.9</v>
      </c>
      <c r="P236" s="5">
        <v>144</v>
      </c>
      <c r="Q236" s="5">
        <v>165.1</v>
      </c>
      <c r="R236" s="5">
        <v>151.80000000000001</v>
      </c>
      <c r="S236" s="5">
        <v>146.6</v>
      </c>
      <c r="T236" s="5">
        <v>151.1</v>
      </c>
      <c r="U236" s="5" t="s">
        <v>67</v>
      </c>
      <c r="V236" s="5">
        <v>146.4</v>
      </c>
      <c r="W236" s="5">
        <v>150.19999999999999</v>
      </c>
      <c r="X236" s="5">
        <v>152.69999999999999</v>
      </c>
      <c r="Y236" s="5">
        <v>131.4</v>
      </c>
      <c r="Z236" s="5">
        <v>148</v>
      </c>
      <c r="AA236" s="5">
        <v>159.69999999999999</v>
      </c>
      <c r="AB236" s="5">
        <v>138.80000000000001</v>
      </c>
      <c r="AC236" s="5">
        <v>144.9</v>
      </c>
      <c r="AD236" s="6">
        <v>145.69999999999999</v>
      </c>
    </row>
    <row r="237" spans="1:30">
      <c r="A237" s="4" t="s">
        <v>68</v>
      </c>
      <c r="B237" s="5">
        <v>2019</v>
      </c>
      <c r="C237" s="5" t="s">
        <v>76</v>
      </c>
      <c r="D237" s="5">
        <v>142.1</v>
      </c>
      <c r="E237" s="5">
        <v>158.30000000000001</v>
      </c>
      <c r="F237" s="5">
        <v>140.80000000000001</v>
      </c>
      <c r="G237" s="5">
        <v>144.9</v>
      </c>
      <c r="H237" s="5">
        <v>119.9</v>
      </c>
      <c r="I237" s="5">
        <v>153.9</v>
      </c>
      <c r="J237" s="5">
        <v>189.1</v>
      </c>
      <c r="K237" s="5">
        <v>129.80000000000001</v>
      </c>
      <c r="L237" s="5">
        <v>112.7</v>
      </c>
      <c r="M237" s="5">
        <v>142.5</v>
      </c>
      <c r="N237" s="5">
        <v>129.80000000000001</v>
      </c>
      <c r="O237" s="5">
        <v>156.19999999999999</v>
      </c>
      <c r="P237" s="5">
        <v>149.1</v>
      </c>
      <c r="Q237" s="5">
        <v>167.9</v>
      </c>
      <c r="R237" s="5">
        <v>145</v>
      </c>
      <c r="S237" s="5">
        <v>132.19999999999999</v>
      </c>
      <c r="T237" s="5">
        <v>143</v>
      </c>
      <c r="U237" s="5">
        <v>151.6</v>
      </c>
      <c r="V237" s="5">
        <v>125.5</v>
      </c>
      <c r="W237" s="5">
        <v>138.1</v>
      </c>
      <c r="X237" s="5">
        <v>141.5</v>
      </c>
      <c r="Y237" s="5">
        <v>120.8</v>
      </c>
      <c r="Z237" s="5">
        <v>135.4</v>
      </c>
      <c r="AA237" s="5">
        <v>151.5</v>
      </c>
      <c r="AB237" s="5">
        <v>137.80000000000001</v>
      </c>
      <c r="AC237" s="5">
        <v>135.30000000000001</v>
      </c>
      <c r="AD237" s="6">
        <v>144.19999999999999</v>
      </c>
    </row>
    <row r="238" spans="1:30">
      <c r="A238" s="4" t="s">
        <v>69</v>
      </c>
      <c r="B238" s="5">
        <v>2019</v>
      </c>
      <c r="C238" s="5" t="s">
        <v>76</v>
      </c>
      <c r="D238" s="5">
        <v>140.1</v>
      </c>
      <c r="E238" s="5">
        <v>160.6</v>
      </c>
      <c r="F238" s="5">
        <v>138.5</v>
      </c>
      <c r="G238" s="5">
        <v>144.69999999999999</v>
      </c>
      <c r="H238" s="5">
        <v>122.9</v>
      </c>
      <c r="I238" s="5">
        <v>149.4</v>
      </c>
      <c r="J238" s="5">
        <v>167.4</v>
      </c>
      <c r="K238" s="5">
        <v>130.9</v>
      </c>
      <c r="L238" s="5">
        <v>112</v>
      </c>
      <c r="M238" s="5">
        <v>142.6</v>
      </c>
      <c r="N238" s="5">
        <v>134.9</v>
      </c>
      <c r="O238" s="5">
        <v>156.6</v>
      </c>
      <c r="P238" s="5">
        <v>145.9</v>
      </c>
      <c r="Q238" s="5">
        <v>165.8</v>
      </c>
      <c r="R238" s="5">
        <v>149.1</v>
      </c>
      <c r="S238" s="5">
        <v>140.6</v>
      </c>
      <c r="T238" s="5">
        <v>147.9</v>
      </c>
      <c r="U238" s="5">
        <v>151.6</v>
      </c>
      <c r="V238" s="5">
        <v>138.5</v>
      </c>
      <c r="W238" s="5">
        <v>144.5</v>
      </c>
      <c r="X238" s="5">
        <v>148.5</v>
      </c>
      <c r="Y238" s="5">
        <v>125.8</v>
      </c>
      <c r="Z238" s="5">
        <v>140.9</v>
      </c>
      <c r="AA238" s="5">
        <v>154.9</v>
      </c>
      <c r="AB238" s="5">
        <v>138.4</v>
      </c>
      <c r="AC238" s="5">
        <v>140.19999999999999</v>
      </c>
      <c r="AD238" s="6">
        <v>145</v>
      </c>
    </row>
    <row r="239" spans="1:30">
      <c r="A239" s="4" t="s">
        <v>65</v>
      </c>
      <c r="B239" s="5">
        <v>2019</v>
      </c>
      <c r="C239" s="5" t="s">
        <v>77</v>
      </c>
      <c r="D239" s="5">
        <v>140.1</v>
      </c>
      <c r="E239" s="5">
        <v>161.9</v>
      </c>
      <c r="F239" s="5">
        <v>138.30000000000001</v>
      </c>
      <c r="G239" s="5">
        <v>145.69999999999999</v>
      </c>
      <c r="H239" s="5">
        <v>125.1</v>
      </c>
      <c r="I239" s="5">
        <v>143.80000000000001</v>
      </c>
      <c r="J239" s="5">
        <v>163.4</v>
      </c>
      <c r="K239" s="5">
        <v>132.19999999999999</v>
      </c>
      <c r="L239" s="5">
        <v>112.8</v>
      </c>
      <c r="M239" s="5">
        <v>144.19999999999999</v>
      </c>
      <c r="N239" s="5">
        <v>138.5</v>
      </c>
      <c r="O239" s="5">
        <v>157.19999999999999</v>
      </c>
      <c r="P239" s="5">
        <v>145.5</v>
      </c>
      <c r="Q239" s="5">
        <v>165.7</v>
      </c>
      <c r="R239" s="5">
        <v>151.69999999999999</v>
      </c>
      <c r="S239" s="5">
        <v>146.6</v>
      </c>
      <c r="T239" s="5">
        <v>151</v>
      </c>
      <c r="U239" s="5" t="s">
        <v>67</v>
      </c>
      <c r="V239" s="5">
        <v>146.9</v>
      </c>
      <c r="W239" s="5">
        <v>150.30000000000001</v>
      </c>
      <c r="X239" s="5">
        <v>153.4</v>
      </c>
      <c r="Y239" s="5">
        <v>131.6</v>
      </c>
      <c r="Z239" s="5">
        <v>148.30000000000001</v>
      </c>
      <c r="AA239" s="5">
        <v>160.19999999999999</v>
      </c>
      <c r="AB239" s="5">
        <v>140.19999999999999</v>
      </c>
      <c r="AC239" s="5">
        <v>145.4</v>
      </c>
      <c r="AD239" s="6">
        <v>146.69999999999999</v>
      </c>
    </row>
    <row r="240" spans="1:30">
      <c r="A240" s="4" t="s">
        <v>68</v>
      </c>
      <c r="B240" s="5">
        <v>2019</v>
      </c>
      <c r="C240" s="5" t="s">
        <v>77</v>
      </c>
      <c r="D240" s="5">
        <v>142.69999999999999</v>
      </c>
      <c r="E240" s="5">
        <v>158.69999999999999</v>
      </c>
      <c r="F240" s="5">
        <v>141.6</v>
      </c>
      <c r="G240" s="5">
        <v>144.9</v>
      </c>
      <c r="H240" s="5">
        <v>120.8</v>
      </c>
      <c r="I240" s="5">
        <v>149.80000000000001</v>
      </c>
      <c r="J240" s="5">
        <v>192.4</v>
      </c>
      <c r="K240" s="5">
        <v>130.30000000000001</v>
      </c>
      <c r="L240" s="5">
        <v>114</v>
      </c>
      <c r="M240" s="5">
        <v>143.80000000000001</v>
      </c>
      <c r="N240" s="5">
        <v>130</v>
      </c>
      <c r="O240" s="5">
        <v>156.4</v>
      </c>
      <c r="P240" s="5">
        <v>149.5</v>
      </c>
      <c r="Q240" s="5">
        <v>168.6</v>
      </c>
      <c r="R240" s="5">
        <v>145.30000000000001</v>
      </c>
      <c r="S240" s="5">
        <v>132.19999999999999</v>
      </c>
      <c r="T240" s="5">
        <v>143.30000000000001</v>
      </c>
      <c r="U240" s="5">
        <v>152.19999999999999</v>
      </c>
      <c r="V240" s="5">
        <v>126.6</v>
      </c>
      <c r="W240" s="5">
        <v>138.30000000000001</v>
      </c>
      <c r="X240" s="5">
        <v>141.9</v>
      </c>
      <c r="Y240" s="5">
        <v>121.2</v>
      </c>
      <c r="Z240" s="5">
        <v>135.9</v>
      </c>
      <c r="AA240" s="5">
        <v>151.6</v>
      </c>
      <c r="AB240" s="5">
        <v>139</v>
      </c>
      <c r="AC240" s="5">
        <v>135.69999999999999</v>
      </c>
      <c r="AD240" s="6">
        <v>144.69999999999999</v>
      </c>
    </row>
    <row r="241" spans="1:30">
      <c r="A241" s="4" t="s">
        <v>69</v>
      </c>
      <c r="B241" s="5">
        <v>2019</v>
      </c>
      <c r="C241" s="5" t="s">
        <v>77</v>
      </c>
      <c r="D241" s="5">
        <v>140.9</v>
      </c>
      <c r="E241" s="5">
        <v>160.80000000000001</v>
      </c>
      <c r="F241" s="5">
        <v>139.6</v>
      </c>
      <c r="G241" s="5">
        <v>145.4</v>
      </c>
      <c r="H241" s="5">
        <v>123.5</v>
      </c>
      <c r="I241" s="5">
        <v>146.6</v>
      </c>
      <c r="J241" s="5">
        <v>173.2</v>
      </c>
      <c r="K241" s="5">
        <v>131.6</v>
      </c>
      <c r="L241" s="5">
        <v>113.2</v>
      </c>
      <c r="M241" s="5">
        <v>144.1</v>
      </c>
      <c r="N241" s="5">
        <v>135</v>
      </c>
      <c r="O241" s="5">
        <v>156.80000000000001</v>
      </c>
      <c r="P241" s="5">
        <v>147</v>
      </c>
      <c r="Q241" s="5">
        <v>166.5</v>
      </c>
      <c r="R241" s="5">
        <v>149.19999999999999</v>
      </c>
      <c r="S241" s="5">
        <v>140.6</v>
      </c>
      <c r="T241" s="5">
        <v>147.9</v>
      </c>
      <c r="U241" s="5">
        <v>152.19999999999999</v>
      </c>
      <c r="V241" s="5">
        <v>139.19999999999999</v>
      </c>
      <c r="W241" s="5">
        <v>144.6</v>
      </c>
      <c r="X241" s="5">
        <v>149</v>
      </c>
      <c r="Y241" s="5">
        <v>126.1</v>
      </c>
      <c r="Z241" s="5">
        <v>141.30000000000001</v>
      </c>
      <c r="AA241" s="5">
        <v>155.19999999999999</v>
      </c>
      <c r="AB241" s="5">
        <v>139.69999999999999</v>
      </c>
      <c r="AC241" s="5">
        <v>140.69999999999999</v>
      </c>
      <c r="AD241" s="6">
        <v>145.80000000000001</v>
      </c>
    </row>
    <row r="242" spans="1:30">
      <c r="A242" s="4" t="s">
        <v>65</v>
      </c>
      <c r="B242" s="5">
        <v>2019</v>
      </c>
      <c r="C242" s="5" t="s">
        <v>78</v>
      </c>
      <c r="D242" s="5">
        <v>141</v>
      </c>
      <c r="E242" s="5">
        <v>161.6</v>
      </c>
      <c r="F242" s="5">
        <v>141.19999999999999</v>
      </c>
      <c r="G242" s="5">
        <v>146.5</v>
      </c>
      <c r="H242" s="5">
        <v>125.6</v>
      </c>
      <c r="I242" s="5">
        <v>145.69999999999999</v>
      </c>
      <c r="J242" s="5">
        <v>178.8</v>
      </c>
      <c r="K242" s="5">
        <v>133.1</v>
      </c>
      <c r="L242" s="5">
        <v>113.6</v>
      </c>
      <c r="M242" s="5">
        <v>145.5</v>
      </c>
      <c r="N242" s="5">
        <v>138.6</v>
      </c>
      <c r="O242" s="5">
        <v>157.4</v>
      </c>
      <c r="P242" s="5">
        <v>148.30000000000001</v>
      </c>
      <c r="Q242" s="5">
        <v>166.3</v>
      </c>
      <c r="R242" s="5">
        <v>151.69999999999999</v>
      </c>
      <c r="S242" s="5">
        <v>146.69999999999999</v>
      </c>
      <c r="T242" s="5">
        <v>151</v>
      </c>
      <c r="U242" s="5" t="s">
        <v>67</v>
      </c>
      <c r="V242" s="5">
        <v>147.69999999999999</v>
      </c>
      <c r="W242" s="5">
        <v>150.6</v>
      </c>
      <c r="X242" s="5">
        <v>153.69999999999999</v>
      </c>
      <c r="Y242" s="5">
        <v>131.69999999999999</v>
      </c>
      <c r="Z242" s="5">
        <v>148.69999999999999</v>
      </c>
      <c r="AA242" s="5">
        <v>160.69999999999999</v>
      </c>
      <c r="AB242" s="5">
        <v>140.30000000000001</v>
      </c>
      <c r="AC242" s="5">
        <v>145.69999999999999</v>
      </c>
      <c r="AD242" s="6">
        <v>148.30000000000001</v>
      </c>
    </row>
    <row r="243" spans="1:30">
      <c r="A243" s="4" t="s">
        <v>68</v>
      </c>
      <c r="B243" s="5">
        <v>2019</v>
      </c>
      <c r="C243" s="5" t="s">
        <v>78</v>
      </c>
      <c r="D243" s="5">
        <v>143.5</v>
      </c>
      <c r="E243" s="5">
        <v>159.80000000000001</v>
      </c>
      <c r="F243" s="5">
        <v>144.69999999999999</v>
      </c>
      <c r="G243" s="5">
        <v>145.6</v>
      </c>
      <c r="H243" s="5">
        <v>121.1</v>
      </c>
      <c r="I243" s="5">
        <v>150.6</v>
      </c>
      <c r="J243" s="5">
        <v>207.2</v>
      </c>
      <c r="K243" s="5">
        <v>131.19999999999999</v>
      </c>
      <c r="L243" s="5">
        <v>114.8</v>
      </c>
      <c r="M243" s="5">
        <v>145.19999999999999</v>
      </c>
      <c r="N243" s="5">
        <v>130.19999999999999</v>
      </c>
      <c r="O243" s="5">
        <v>156.80000000000001</v>
      </c>
      <c r="P243" s="5">
        <v>151.9</v>
      </c>
      <c r="Q243" s="5">
        <v>169.3</v>
      </c>
      <c r="R243" s="5">
        <v>145.9</v>
      </c>
      <c r="S243" s="5">
        <v>132.4</v>
      </c>
      <c r="T243" s="5">
        <v>143.9</v>
      </c>
      <c r="U243" s="5">
        <v>153</v>
      </c>
      <c r="V243" s="5">
        <v>128.9</v>
      </c>
      <c r="W243" s="5">
        <v>138.69999999999999</v>
      </c>
      <c r="X243" s="5">
        <v>142.4</v>
      </c>
      <c r="Y243" s="5">
        <v>121.5</v>
      </c>
      <c r="Z243" s="5">
        <v>136.19999999999999</v>
      </c>
      <c r="AA243" s="5">
        <v>151.69999999999999</v>
      </c>
      <c r="AB243" s="5">
        <v>139.5</v>
      </c>
      <c r="AC243" s="5">
        <v>136</v>
      </c>
      <c r="AD243" s="6">
        <v>146</v>
      </c>
    </row>
    <row r="244" spans="1:30">
      <c r="A244" s="4" t="s">
        <v>69</v>
      </c>
      <c r="B244" s="5">
        <v>2019</v>
      </c>
      <c r="C244" s="5" t="s">
        <v>78</v>
      </c>
      <c r="D244" s="5">
        <v>141.80000000000001</v>
      </c>
      <c r="E244" s="5">
        <v>161</v>
      </c>
      <c r="F244" s="5">
        <v>142.6</v>
      </c>
      <c r="G244" s="5">
        <v>146.19999999999999</v>
      </c>
      <c r="H244" s="5">
        <v>123.9</v>
      </c>
      <c r="I244" s="5">
        <v>148</v>
      </c>
      <c r="J244" s="5">
        <v>188.4</v>
      </c>
      <c r="K244" s="5">
        <v>132.5</v>
      </c>
      <c r="L244" s="5">
        <v>114</v>
      </c>
      <c r="M244" s="5">
        <v>145.4</v>
      </c>
      <c r="N244" s="5">
        <v>135.1</v>
      </c>
      <c r="O244" s="5">
        <v>157.1</v>
      </c>
      <c r="P244" s="5">
        <v>149.6</v>
      </c>
      <c r="Q244" s="5">
        <v>167.1</v>
      </c>
      <c r="R244" s="5">
        <v>149.4</v>
      </c>
      <c r="S244" s="5">
        <v>140.80000000000001</v>
      </c>
      <c r="T244" s="5">
        <v>148.19999999999999</v>
      </c>
      <c r="U244" s="5">
        <v>153</v>
      </c>
      <c r="V244" s="5">
        <v>140.6</v>
      </c>
      <c r="W244" s="5">
        <v>145</v>
      </c>
      <c r="X244" s="5">
        <v>149.4</v>
      </c>
      <c r="Y244" s="5">
        <v>126.3</v>
      </c>
      <c r="Z244" s="5">
        <v>141.69999999999999</v>
      </c>
      <c r="AA244" s="5">
        <v>155.4</v>
      </c>
      <c r="AB244" s="5">
        <v>140</v>
      </c>
      <c r="AC244" s="5">
        <v>141</v>
      </c>
      <c r="AD244" s="6">
        <v>147.19999999999999</v>
      </c>
    </row>
    <row r="245" spans="1:30">
      <c r="A245" s="4" t="s">
        <v>65</v>
      </c>
      <c r="B245" s="5">
        <v>2019</v>
      </c>
      <c r="C245" s="5" t="s">
        <v>79</v>
      </c>
      <c r="D245" s="5">
        <v>141.80000000000001</v>
      </c>
      <c r="E245" s="5">
        <v>163.69999999999999</v>
      </c>
      <c r="F245" s="5">
        <v>143.80000000000001</v>
      </c>
      <c r="G245" s="5">
        <v>147.1</v>
      </c>
      <c r="H245" s="5">
        <v>126</v>
      </c>
      <c r="I245" s="5">
        <v>146.19999999999999</v>
      </c>
      <c r="J245" s="5">
        <v>191.4</v>
      </c>
      <c r="K245" s="5">
        <v>136.19999999999999</v>
      </c>
      <c r="L245" s="5">
        <v>113.8</v>
      </c>
      <c r="M245" s="5">
        <v>147.30000000000001</v>
      </c>
      <c r="N245" s="5">
        <v>138.69999999999999</v>
      </c>
      <c r="O245" s="5">
        <v>157.69999999999999</v>
      </c>
      <c r="P245" s="5">
        <v>150.9</v>
      </c>
      <c r="Q245" s="5">
        <v>167.2</v>
      </c>
      <c r="R245" s="5">
        <v>152.30000000000001</v>
      </c>
      <c r="S245" s="5">
        <v>147</v>
      </c>
      <c r="T245" s="5">
        <v>151.5</v>
      </c>
      <c r="U245" s="5" t="s">
        <v>67</v>
      </c>
      <c r="V245" s="5">
        <v>148.4</v>
      </c>
      <c r="W245" s="5">
        <v>150.9</v>
      </c>
      <c r="X245" s="5">
        <v>154.30000000000001</v>
      </c>
      <c r="Y245" s="5">
        <v>132.1</v>
      </c>
      <c r="Z245" s="5">
        <v>149.1</v>
      </c>
      <c r="AA245" s="5">
        <v>160.80000000000001</v>
      </c>
      <c r="AB245" s="5">
        <v>140.6</v>
      </c>
      <c r="AC245" s="5">
        <v>146.1</v>
      </c>
      <c r="AD245" s="6">
        <v>149.9</v>
      </c>
    </row>
    <row r="246" spans="1:30">
      <c r="A246" s="4" t="s">
        <v>68</v>
      </c>
      <c r="B246" s="5">
        <v>2019</v>
      </c>
      <c r="C246" s="5" t="s">
        <v>79</v>
      </c>
      <c r="D246" s="5">
        <v>144.1</v>
      </c>
      <c r="E246" s="5">
        <v>162.4</v>
      </c>
      <c r="F246" s="5">
        <v>148.4</v>
      </c>
      <c r="G246" s="5">
        <v>145.9</v>
      </c>
      <c r="H246" s="5">
        <v>121.5</v>
      </c>
      <c r="I246" s="5">
        <v>148.80000000000001</v>
      </c>
      <c r="J246" s="5">
        <v>215.7</v>
      </c>
      <c r="K246" s="5">
        <v>134.6</v>
      </c>
      <c r="L246" s="5">
        <v>115</v>
      </c>
      <c r="M246" s="5">
        <v>146.30000000000001</v>
      </c>
      <c r="N246" s="5">
        <v>130.5</v>
      </c>
      <c r="O246" s="5">
        <v>157.19999999999999</v>
      </c>
      <c r="P246" s="5">
        <v>153.6</v>
      </c>
      <c r="Q246" s="5">
        <v>169.9</v>
      </c>
      <c r="R246" s="5">
        <v>146.30000000000001</v>
      </c>
      <c r="S246" s="5">
        <v>132.6</v>
      </c>
      <c r="T246" s="5">
        <v>144.19999999999999</v>
      </c>
      <c r="U246" s="5">
        <v>153.5</v>
      </c>
      <c r="V246" s="5">
        <v>132.19999999999999</v>
      </c>
      <c r="W246" s="5">
        <v>139.1</v>
      </c>
      <c r="X246" s="5">
        <v>142.80000000000001</v>
      </c>
      <c r="Y246" s="5">
        <v>121.7</v>
      </c>
      <c r="Z246" s="5">
        <v>136.69999999999999</v>
      </c>
      <c r="AA246" s="5">
        <v>151.80000000000001</v>
      </c>
      <c r="AB246" s="5">
        <v>139.80000000000001</v>
      </c>
      <c r="AC246" s="5">
        <v>136.30000000000001</v>
      </c>
      <c r="AD246" s="6">
        <v>147</v>
      </c>
    </row>
    <row r="247" spans="1:30">
      <c r="A247" s="4" t="s">
        <v>69</v>
      </c>
      <c r="B247" s="5">
        <v>2019</v>
      </c>
      <c r="C247" s="5" t="s">
        <v>79</v>
      </c>
      <c r="D247" s="5">
        <v>142.5</v>
      </c>
      <c r="E247" s="5">
        <v>163.19999999999999</v>
      </c>
      <c r="F247" s="5">
        <v>145.6</v>
      </c>
      <c r="G247" s="5">
        <v>146.69999999999999</v>
      </c>
      <c r="H247" s="5">
        <v>124.3</v>
      </c>
      <c r="I247" s="5">
        <v>147.4</v>
      </c>
      <c r="J247" s="5">
        <v>199.6</v>
      </c>
      <c r="K247" s="5">
        <v>135.69999999999999</v>
      </c>
      <c r="L247" s="5">
        <v>114.2</v>
      </c>
      <c r="M247" s="5">
        <v>147</v>
      </c>
      <c r="N247" s="5">
        <v>135.30000000000001</v>
      </c>
      <c r="O247" s="5">
        <v>157.5</v>
      </c>
      <c r="P247" s="5">
        <v>151.9</v>
      </c>
      <c r="Q247" s="5">
        <v>167.9</v>
      </c>
      <c r="R247" s="5">
        <v>149.9</v>
      </c>
      <c r="S247" s="5">
        <v>141</v>
      </c>
      <c r="T247" s="5">
        <v>148.6</v>
      </c>
      <c r="U247" s="5">
        <v>153.5</v>
      </c>
      <c r="V247" s="5">
        <v>142.30000000000001</v>
      </c>
      <c r="W247" s="5">
        <v>145.30000000000001</v>
      </c>
      <c r="X247" s="5">
        <v>149.9</v>
      </c>
      <c r="Y247" s="5">
        <v>126.6</v>
      </c>
      <c r="Z247" s="5">
        <v>142.1</v>
      </c>
      <c r="AA247" s="5">
        <v>155.5</v>
      </c>
      <c r="AB247" s="5">
        <v>140.30000000000001</v>
      </c>
      <c r="AC247" s="5">
        <v>141.30000000000001</v>
      </c>
      <c r="AD247" s="6">
        <v>148.6</v>
      </c>
    </row>
    <row r="248" spans="1:30">
      <c r="A248" s="4" t="s">
        <v>65</v>
      </c>
      <c r="B248" s="5">
        <v>2019</v>
      </c>
      <c r="C248" s="5" t="s">
        <v>80</v>
      </c>
      <c r="D248" s="5">
        <v>142.80000000000001</v>
      </c>
      <c r="E248" s="5">
        <v>165.3</v>
      </c>
      <c r="F248" s="5">
        <v>149.5</v>
      </c>
      <c r="G248" s="5">
        <v>148.69999999999999</v>
      </c>
      <c r="H248" s="5">
        <v>127.5</v>
      </c>
      <c r="I248" s="5">
        <v>144.30000000000001</v>
      </c>
      <c r="J248" s="5">
        <v>209.5</v>
      </c>
      <c r="K248" s="5">
        <v>138.80000000000001</v>
      </c>
      <c r="L248" s="5">
        <v>113.6</v>
      </c>
      <c r="M248" s="5">
        <v>149.1</v>
      </c>
      <c r="N248" s="5">
        <v>139.30000000000001</v>
      </c>
      <c r="O248" s="5">
        <v>158.30000000000001</v>
      </c>
      <c r="P248" s="5">
        <v>154.30000000000001</v>
      </c>
      <c r="Q248" s="5">
        <v>167.8</v>
      </c>
      <c r="R248" s="5">
        <v>152.6</v>
      </c>
      <c r="S248" s="5">
        <v>147.30000000000001</v>
      </c>
      <c r="T248" s="5">
        <v>151.9</v>
      </c>
      <c r="U248" s="5" t="s">
        <v>67</v>
      </c>
      <c r="V248" s="5">
        <v>149.9</v>
      </c>
      <c r="W248" s="5">
        <v>151.19999999999999</v>
      </c>
      <c r="X248" s="5">
        <v>154.80000000000001</v>
      </c>
      <c r="Y248" s="5">
        <v>135</v>
      </c>
      <c r="Z248" s="5">
        <v>149.5</v>
      </c>
      <c r="AA248" s="5">
        <v>161.1</v>
      </c>
      <c r="AB248" s="5">
        <v>140.6</v>
      </c>
      <c r="AC248" s="5">
        <v>147.1</v>
      </c>
      <c r="AD248" s="6">
        <v>152.30000000000001</v>
      </c>
    </row>
    <row r="249" spans="1:30">
      <c r="A249" s="4" t="s">
        <v>68</v>
      </c>
      <c r="B249" s="5">
        <v>2019</v>
      </c>
      <c r="C249" s="5" t="s">
        <v>80</v>
      </c>
      <c r="D249" s="5">
        <v>144.9</v>
      </c>
      <c r="E249" s="5">
        <v>164.5</v>
      </c>
      <c r="F249" s="5">
        <v>153.69999999999999</v>
      </c>
      <c r="G249" s="5">
        <v>147.5</v>
      </c>
      <c r="H249" s="5">
        <v>122.7</v>
      </c>
      <c r="I249" s="5">
        <v>147.19999999999999</v>
      </c>
      <c r="J249" s="5">
        <v>231.5</v>
      </c>
      <c r="K249" s="5">
        <v>137.19999999999999</v>
      </c>
      <c r="L249" s="5">
        <v>114.7</v>
      </c>
      <c r="M249" s="5">
        <v>148</v>
      </c>
      <c r="N249" s="5">
        <v>130.80000000000001</v>
      </c>
      <c r="O249" s="5">
        <v>157.69999999999999</v>
      </c>
      <c r="P249" s="5">
        <v>156.30000000000001</v>
      </c>
      <c r="Q249" s="5">
        <v>170.4</v>
      </c>
      <c r="R249" s="5">
        <v>146.80000000000001</v>
      </c>
      <c r="S249" s="5">
        <v>132.80000000000001</v>
      </c>
      <c r="T249" s="5">
        <v>144.6</v>
      </c>
      <c r="U249" s="5">
        <v>152.80000000000001</v>
      </c>
      <c r="V249" s="5">
        <v>133.6</v>
      </c>
      <c r="W249" s="5">
        <v>139.80000000000001</v>
      </c>
      <c r="X249" s="5">
        <v>143.19999999999999</v>
      </c>
      <c r="Y249" s="5">
        <v>125.2</v>
      </c>
      <c r="Z249" s="5">
        <v>136.80000000000001</v>
      </c>
      <c r="AA249" s="5">
        <v>151.9</v>
      </c>
      <c r="AB249" s="5">
        <v>140.19999999999999</v>
      </c>
      <c r="AC249" s="5">
        <v>137.69999999999999</v>
      </c>
      <c r="AD249" s="6">
        <v>148.30000000000001</v>
      </c>
    </row>
    <row r="250" spans="1:30">
      <c r="A250" s="4" t="s">
        <v>69</v>
      </c>
      <c r="B250" s="5">
        <v>2019</v>
      </c>
      <c r="C250" s="5" t="s">
        <v>80</v>
      </c>
      <c r="D250" s="5">
        <v>143.5</v>
      </c>
      <c r="E250" s="5">
        <v>165</v>
      </c>
      <c r="F250" s="5">
        <v>151.1</v>
      </c>
      <c r="G250" s="5">
        <v>148.30000000000001</v>
      </c>
      <c r="H250" s="5">
        <v>125.7</v>
      </c>
      <c r="I250" s="5">
        <v>145.69999999999999</v>
      </c>
      <c r="J250" s="5">
        <v>217</v>
      </c>
      <c r="K250" s="5">
        <v>138.30000000000001</v>
      </c>
      <c r="L250" s="5">
        <v>114</v>
      </c>
      <c r="M250" s="5">
        <v>148.69999999999999</v>
      </c>
      <c r="N250" s="5">
        <v>135.80000000000001</v>
      </c>
      <c r="O250" s="5">
        <v>158</v>
      </c>
      <c r="P250" s="5">
        <v>155</v>
      </c>
      <c r="Q250" s="5">
        <v>168.5</v>
      </c>
      <c r="R250" s="5">
        <v>150.30000000000001</v>
      </c>
      <c r="S250" s="5">
        <v>141.30000000000001</v>
      </c>
      <c r="T250" s="5">
        <v>149</v>
      </c>
      <c r="U250" s="5">
        <v>152.80000000000001</v>
      </c>
      <c r="V250" s="5">
        <v>143.69999999999999</v>
      </c>
      <c r="W250" s="5">
        <v>145.80000000000001</v>
      </c>
      <c r="X250" s="5">
        <v>150.4</v>
      </c>
      <c r="Y250" s="5">
        <v>129.80000000000001</v>
      </c>
      <c r="Z250" s="5">
        <v>142.30000000000001</v>
      </c>
      <c r="AA250" s="5">
        <v>155.69999999999999</v>
      </c>
      <c r="AB250" s="5">
        <v>140.4</v>
      </c>
      <c r="AC250" s="5">
        <v>142.5</v>
      </c>
      <c r="AD250" s="6">
        <v>150.4</v>
      </c>
    </row>
    <row r="251" spans="1:30">
      <c r="A251" s="4" t="s">
        <v>65</v>
      </c>
      <c r="B251" s="5">
        <v>2020</v>
      </c>
      <c r="C251" s="5" t="s">
        <v>66</v>
      </c>
      <c r="D251" s="5">
        <v>143.69999999999999</v>
      </c>
      <c r="E251" s="5">
        <v>167.3</v>
      </c>
      <c r="F251" s="5">
        <v>153.5</v>
      </c>
      <c r="G251" s="5">
        <v>150.5</v>
      </c>
      <c r="H251" s="5">
        <v>132</v>
      </c>
      <c r="I251" s="5">
        <v>142.19999999999999</v>
      </c>
      <c r="J251" s="5">
        <v>191.5</v>
      </c>
      <c r="K251" s="5">
        <v>141.1</v>
      </c>
      <c r="L251" s="5">
        <v>113.8</v>
      </c>
      <c r="M251" s="5">
        <v>151.6</v>
      </c>
      <c r="N251" s="5">
        <v>139.69999999999999</v>
      </c>
      <c r="O251" s="5">
        <v>158.69999999999999</v>
      </c>
      <c r="P251" s="5">
        <v>153</v>
      </c>
      <c r="Q251" s="5">
        <v>168.6</v>
      </c>
      <c r="R251" s="5">
        <v>152.80000000000001</v>
      </c>
      <c r="S251" s="5">
        <v>147.4</v>
      </c>
      <c r="T251" s="5">
        <v>152.1</v>
      </c>
      <c r="U251" s="5" t="s">
        <v>67</v>
      </c>
      <c r="V251" s="5">
        <v>150.4</v>
      </c>
      <c r="W251" s="5">
        <v>151.69999999999999</v>
      </c>
      <c r="X251" s="5">
        <v>155.69999999999999</v>
      </c>
      <c r="Y251" s="5">
        <v>136.30000000000001</v>
      </c>
      <c r="Z251" s="5">
        <v>150.1</v>
      </c>
      <c r="AA251" s="5">
        <v>161.69999999999999</v>
      </c>
      <c r="AB251" s="5">
        <v>142.5</v>
      </c>
      <c r="AC251" s="5">
        <v>148.1</v>
      </c>
      <c r="AD251" s="6">
        <v>151.9</v>
      </c>
    </row>
    <row r="252" spans="1:30">
      <c r="A252" s="4" t="s">
        <v>68</v>
      </c>
      <c r="B252" s="5">
        <v>2020</v>
      </c>
      <c r="C252" s="5" t="s">
        <v>66</v>
      </c>
      <c r="D252" s="5">
        <v>145.6</v>
      </c>
      <c r="E252" s="5">
        <v>167.6</v>
      </c>
      <c r="F252" s="5">
        <v>157</v>
      </c>
      <c r="G252" s="5">
        <v>149.30000000000001</v>
      </c>
      <c r="H252" s="5">
        <v>126.3</v>
      </c>
      <c r="I252" s="5">
        <v>144.4</v>
      </c>
      <c r="J252" s="5">
        <v>207.8</v>
      </c>
      <c r="K252" s="5">
        <v>139.1</v>
      </c>
      <c r="L252" s="5">
        <v>114.8</v>
      </c>
      <c r="M252" s="5">
        <v>149.5</v>
      </c>
      <c r="N252" s="5">
        <v>131.1</v>
      </c>
      <c r="O252" s="5">
        <v>158.5</v>
      </c>
      <c r="P252" s="5">
        <v>154.4</v>
      </c>
      <c r="Q252" s="5">
        <v>170.8</v>
      </c>
      <c r="R252" s="5">
        <v>147</v>
      </c>
      <c r="S252" s="5">
        <v>133.19999999999999</v>
      </c>
      <c r="T252" s="5">
        <v>144.9</v>
      </c>
      <c r="U252" s="5">
        <v>153.9</v>
      </c>
      <c r="V252" s="5">
        <v>135.1</v>
      </c>
      <c r="W252" s="5">
        <v>140.1</v>
      </c>
      <c r="X252" s="5">
        <v>143.80000000000001</v>
      </c>
      <c r="Y252" s="5">
        <v>126.1</v>
      </c>
      <c r="Z252" s="5">
        <v>137.19999999999999</v>
      </c>
      <c r="AA252" s="5">
        <v>152.1</v>
      </c>
      <c r="AB252" s="5">
        <v>142.1</v>
      </c>
      <c r="AC252" s="5">
        <v>138.4</v>
      </c>
      <c r="AD252" s="6">
        <v>148.19999999999999</v>
      </c>
    </row>
    <row r="253" spans="1:30">
      <c r="A253" s="4" t="s">
        <v>69</v>
      </c>
      <c r="B253" s="5">
        <v>2020</v>
      </c>
      <c r="C253" s="5" t="s">
        <v>66</v>
      </c>
      <c r="D253" s="5">
        <v>144.30000000000001</v>
      </c>
      <c r="E253" s="5">
        <v>167.4</v>
      </c>
      <c r="F253" s="5">
        <v>154.9</v>
      </c>
      <c r="G253" s="5">
        <v>150.1</v>
      </c>
      <c r="H253" s="5">
        <v>129.9</v>
      </c>
      <c r="I253" s="5">
        <v>143.19999999999999</v>
      </c>
      <c r="J253" s="5">
        <v>197</v>
      </c>
      <c r="K253" s="5">
        <v>140.4</v>
      </c>
      <c r="L253" s="5">
        <v>114.1</v>
      </c>
      <c r="M253" s="5">
        <v>150.9</v>
      </c>
      <c r="N253" s="5">
        <v>136.1</v>
      </c>
      <c r="O253" s="5">
        <v>158.6</v>
      </c>
      <c r="P253" s="5">
        <v>153.5</v>
      </c>
      <c r="Q253" s="5">
        <v>169.2</v>
      </c>
      <c r="R253" s="5">
        <v>150.5</v>
      </c>
      <c r="S253" s="5">
        <v>141.5</v>
      </c>
      <c r="T253" s="5">
        <v>149.19999999999999</v>
      </c>
      <c r="U253" s="5">
        <v>153.9</v>
      </c>
      <c r="V253" s="5">
        <v>144.6</v>
      </c>
      <c r="W253" s="5">
        <v>146.19999999999999</v>
      </c>
      <c r="X253" s="5">
        <v>151.19999999999999</v>
      </c>
      <c r="Y253" s="5">
        <v>130.9</v>
      </c>
      <c r="Z253" s="5">
        <v>142.80000000000001</v>
      </c>
      <c r="AA253" s="5">
        <v>156.1</v>
      </c>
      <c r="AB253" s="5">
        <v>142.30000000000001</v>
      </c>
      <c r="AC253" s="5">
        <v>143.4</v>
      </c>
      <c r="AD253" s="6">
        <v>150.19999999999999</v>
      </c>
    </row>
    <row r="254" spans="1:30">
      <c r="A254" s="4" t="s">
        <v>65</v>
      </c>
      <c r="B254" s="5">
        <v>2020</v>
      </c>
      <c r="C254" s="5" t="s">
        <v>70</v>
      </c>
      <c r="D254" s="5">
        <v>144.19999999999999</v>
      </c>
      <c r="E254" s="5">
        <v>167.5</v>
      </c>
      <c r="F254" s="5">
        <v>150.9</v>
      </c>
      <c r="G254" s="5">
        <v>150.9</v>
      </c>
      <c r="H254" s="5">
        <v>133.69999999999999</v>
      </c>
      <c r="I254" s="5">
        <v>140.69999999999999</v>
      </c>
      <c r="J254" s="5">
        <v>165.1</v>
      </c>
      <c r="K254" s="5">
        <v>141.80000000000001</v>
      </c>
      <c r="L254" s="5">
        <v>113.1</v>
      </c>
      <c r="M254" s="5">
        <v>152.80000000000001</v>
      </c>
      <c r="N254" s="5">
        <v>140.1</v>
      </c>
      <c r="O254" s="5">
        <v>159.19999999999999</v>
      </c>
      <c r="P254" s="5">
        <v>149.80000000000001</v>
      </c>
      <c r="Q254" s="5">
        <v>169.4</v>
      </c>
      <c r="R254" s="5">
        <v>153</v>
      </c>
      <c r="S254" s="5">
        <v>147.5</v>
      </c>
      <c r="T254" s="5">
        <v>152.30000000000001</v>
      </c>
      <c r="U254" s="5" t="s">
        <v>67</v>
      </c>
      <c r="V254" s="5">
        <v>152.30000000000001</v>
      </c>
      <c r="W254" s="5">
        <v>151.80000000000001</v>
      </c>
      <c r="X254" s="5">
        <v>156.19999999999999</v>
      </c>
      <c r="Y254" s="5">
        <v>136</v>
      </c>
      <c r="Z254" s="5">
        <v>150.4</v>
      </c>
      <c r="AA254" s="5">
        <v>161.9</v>
      </c>
      <c r="AB254" s="5">
        <v>143.4</v>
      </c>
      <c r="AC254" s="5">
        <v>148.4</v>
      </c>
      <c r="AD254" s="6">
        <v>150.4</v>
      </c>
    </row>
    <row r="255" spans="1:30">
      <c r="A255" s="4" t="s">
        <v>68</v>
      </c>
      <c r="B255" s="5">
        <v>2020</v>
      </c>
      <c r="C255" s="5" t="s">
        <v>70</v>
      </c>
      <c r="D255" s="5">
        <v>146.19999999999999</v>
      </c>
      <c r="E255" s="5">
        <v>167.6</v>
      </c>
      <c r="F255" s="5">
        <v>153.1</v>
      </c>
      <c r="G255" s="5">
        <v>150.69999999999999</v>
      </c>
      <c r="H255" s="5">
        <v>127.4</v>
      </c>
      <c r="I255" s="5">
        <v>143.1</v>
      </c>
      <c r="J255" s="5">
        <v>181.7</v>
      </c>
      <c r="K255" s="5">
        <v>139.6</v>
      </c>
      <c r="L255" s="5">
        <v>114.6</v>
      </c>
      <c r="M255" s="5">
        <v>150.4</v>
      </c>
      <c r="N255" s="5">
        <v>131.5</v>
      </c>
      <c r="O255" s="5">
        <v>159</v>
      </c>
      <c r="P255" s="5">
        <v>151.69999999999999</v>
      </c>
      <c r="Q255" s="5">
        <v>172</v>
      </c>
      <c r="R255" s="5">
        <v>147.30000000000001</v>
      </c>
      <c r="S255" s="5">
        <v>133.5</v>
      </c>
      <c r="T255" s="5">
        <v>145.19999999999999</v>
      </c>
      <c r="U255" s="5">
        <v>154.80000000000001</v>
      </c>
      <c r="V255" s="5">
        <v>138.9</v>
      </c>
      <c r="W255" s="5">
        <v>140.4</v>
      </c>
      <c r="X255" s="5">
        <v>144.4</v>
      </c>
      <c r="Y255" s="5">
        <v>125.2</v>
      </c>
      <c r="Z255" s="5">
        <v>137.69999999999999</v>
      </c>
      <c r="AA255" s="5">
        <v>152.19999999999999</v>
      </c>
      <c r="AB255" s="5">
        <v>143.5</v>
      </c>
      <c r="AC255" s="5">
        <v>138.4</v>
      </c>
      <c r="AD255" s="6">
        <v>147.69999999999999</v>
      </c>
    </row>
    <row r="256" spans="1:30">
      <c r="A256" s="4" t="s">
        <v>69</v>
      </c>
      <c r="B256" s="5">
        <v>2020</v>
      </c>
      <c r="C256" s="5" t="s">
        <v>70</v>
      </c>
      <c r="D256" s="5">
        <v>144.80000000000001</v>
      </c>
      <c r="E256" s="5">
        <v>167.5</v>
      </c>
      <c r="F256" s="5">
        <v>151.80000000000001</v>
      </c>
      <c r="G256" s="5">
        <v>150.80000000000001</v>
      </c>
      <c r="H256" s="5">
        <v>131.4</v>
      </c>
      <c r="I256" s="5">
        <v>141.80000000000001</v>
      </c>
      <c r="J256" s="5">
        <v>170.7</v>
      </c>
      <c r="K256" s="5">
        <v>141.1</v>
      </c>
      <c r="L256" s="5">
        <v>113.6</v>
      </c>
      <c r="M256" s="5">
        <v>152</v>
      </c>
      <c r="N256" s="5">
        <v>136.5</v>
      </c>
      <c r="O256" s="5">
        <v>159.1</v>
      </c>
      <c r="P256" s="5">
        <v>150.5</v>
      </c>
      <c r="Q256" s="5">
        <v>170.1</v>
      </c>
      <c r="R256" s="5">
        <v>150.80000000000001</v>
      </c>
      <c r="S256" s="5">
        <v>141.69999999999999</v>
      </c>
      <c r="T256" s="5">
        <v>149.5</v>
      </c>
      <c r="U256" s="5">
        <v>154.80000000000001</v>
      </c>
      <c r="V256" s="5">
        <v>147.19999999999999</v>
      </c>
      <c r="W256" s="5">
        <v>146.4</v>
      </c>
      <c r="X256" s="5">
        <v>151.69999999999999</v>
      </c>
      <c r="Y256" s="5">
        <v>130.30000000000001</v>
      </c>
      <c r="Z256" s="5">
        <v>143.19999999999999</v>
      </c>
      <c r="AA256" s="5">
        <v>156.19999999999999</v>
      </c>
      <c r="AB256" s="5">
        <v>143.4</v>
      </c>
      <c r="AC256" s="5">
        <v>143.6</v>
      </c>
      <c r="AD256" s="6">
        <v>149.1</v>
      </c>
    </row>
    <row r="257" spans="1:30">
      <c r="A257" s="4" t="s">
        <v>65</v>
      </c>
      <c r="B257" s="5">
        <v>2020</v>
      </c>
      <c r="C257" s="5" t="s">
        <v>71</v>
      </c>
      <c r="D257" s="5">
        <v>144.4</v>
      </c>
      <c r="E257" s="5">
        <v>166.8</v>
      </c>
      <c r="F257" s="5">
        <v>147.6</v>
      </c>
      <c r="G257" s="5">
        <v>151.69999999999999</v>
      </c>
      <c r="H257" s="5">
        <v>133.30000000000001</v>
      </c>
      <c r="I257" s="5">
        <v>141.80000000000001</v>
      </c>
      <c r="J257" s="5">
        <v>152.30000000000001</v>
      </c>
      <c r="K257" s="5">
        <v>141.80000000000001</v>
      </c>
      <c r="L257" s="5">
        <v>112.6</v>
      </c>
      <c r="M257" s="5">
        <v>154</v>
      </c>
      <c r="N257" s="5">
        <v>140.1</v>
      </c>
      <c r="O257" s="5">
        <v>160</v>
      </c>
      <c r="P257" s="5">
        <v>148.19999999999999</v>
      </c>
      <c r="Q257" s="5">
        <v>170.5</v>
      </c>
      <c r="R257" s="5">
        <v>153.4</v>
      </c>
      <c r="S257" s="5">
        <v>147.6</v>
      </c>
      <c r="T257" s="5">
        <v>152.5</v>
      </c>
      <c r="U257" s="5" t="s">
        <v>67</v>
      </c>
      <c r="V257" s="5">
        <v>153.4</v>
      </c>
      <c r="W257" s="5">
        <v>151.5</v>
      </c>
      <c r="X257" s="5">
        <v>156.69999999999999</v>
      </c>
      <c r="Y257" s="5">
        <v>135.80000000000001</v>
      </c>
      <c r="Z257" s="5">
        <v>151.19999999999999</v>
      </c>
      <c r="AA257" s="5">
        <v>161.19999999999999</v>
      </c>
      <c r="AB257" s="5">
        <v>145.1</v>
      </c>
      <c r="AC257" s="5">
        <v>148.6</v>
      </c>
      <c r="AD257" s="6">
        <v>149.80000000000001</v>
      </c>
    </row>
    <row r="258" spans="1:30">
      <c r="A258" s="4" t="s">
        <v>68</v>
      </c>
      <c r="B258" s="5">
        <v>2020</v>
      </c>
      <c r="C258" s="5" t="s">
        <v>71</v>
      </c>
      <c r="D258" s="5">
        <v>146.5</v>
      </c>
      <c r="E258" s="5">
        <v>167.5</v>
      </c>
      <c r="F258" s="5">
        <v>148.9</v>
      </c>
      <c r="G258" s="5">
        <v>151.1</v>
      </c>
      <c r="H258" s="5">
        <v>127.5</v>
      </c>
      <c r="I258" s="5">
        <v>143.30000000000001</v>
      </c>
      <c r="J258" s="5">
        <v>167</v>
      </c>
      <c r="K258" s="5">
        <v>139.69999999999999</v>
      </c>
      <c r="L258" s="5">
        <v>114.4</v>
      </c>
      <c r="M258" s="5">
        <v>151.5</v>
      </c>
      <c r="N258" s="5">
        <v>131.9</v>
      </c>
      <c r="O258" s="5">
        <v>159.1</v>
      </c>
      <c r="P258" s="5">
        <v>150.1</v>
      </c>
      <c r="Q258" s="5">
        <v>173.3</v>
      </c>
      <c r="R258" s="5">
        <v>147.69999999999999</v>
      </c>
      <c r="S258" s="5">
        <v>133.80000000000001</v>
      </c>
      <c r="T258" s="5">
        <v>145.6</v>
      </c>
      <c r="U258" s="5">
        <v>154.5</v>
      </c>
      <c r="V258" s="5">
        <v>141.4</v>
      </c>
      <c r="W258" s="5">
        <v>140.80000000000001</v>
      </c>
      <c r="X258" s="5">
        <v>145</v>
      </c>
      <c r="Y258" s="5">
        <v>124.6</v>
      </c>
      <c r="Z258" s="5">
        <v>137.9</v>
      </c>
      <c r="AA258" s="5">
        <v>152.5</v>
      </c>
      <c r="AB258" s="5">
        <v>145.30000000000001</v>
      </c>
      <c r="AC258" s="5">
        <v>138.69999999999999</v>
      </c>
      <c r="AD258" s="6">
        <v>147.30000000000001</v>
      </c>
    </row>
    <row r="259" spans="1:30">
      <c r="A259" s="4" t="s">
        <v>69</v>
      </c>
      <c r="B259" s="5">
        <v>2020</v>
      </c>
      <c r="C259" s="5" t="s">
        <v>71</v>
      </c>
      <c r="D259" s="5">
        <v>145.1</v>
      </c>
      <c r="E259" s="5">
        <v>167</v>
      </c>
      <c r="F259" s="5">
        <v>148.1</v>
      </c>
      <c r="G259" s="5">
        <v>151.5</v>
      </c>
      <c r="H259" s="5">
        <v>131.19999999999999</v>
      </c>
      <c r="I259" s="5">
        <v>142.5</v>
      </c>
      <c r="J259" s="5">
        <v>157.30000000000001</v>
      </c>
      <c r="K259" s="5">
        <v>141.1</v>
      </c>
      <c r="L259" s="5">
        <v>113.2</v>
      </c>
      <c r="M259" s="5">
        <v>153.19999999999999</v>
      </c>
      <c r="N259" s="5">
        <v>136.69999999999999</v>
      </c>
      <c r="O259" s="5">
        <v>159.6</v>
      </c>
      <c r="P259" s="5">
        <v>148.9</v>
      </c>
      <c r="Q259" s="5">
        <v>171.2</v>
      </c>
      <c r="R259" s="5">
        <v>151.19999999999999</v>
      </c>
      <c r="S259" s="5">
        <v>141.9</v>
      </c>
      <c r="T259" s="5">
        <v>149.80000000000001</v>
      </c>
      <c r="U259" s="5">
        <v>154.5</v>
      </c>
      <c r="V259" s="5">
        <v>148.9</v>
      </c>
      <c r="W259" s="5">
        <v>146.4</v>
      </c>
      <c r="X259" s="5">
        <v>152.30000000000001</v>
      </c>
      <c r="Y259" s="5">
        <v>129.9</v>
      </c>
      <c r="Z259" s="5">
        <v>143.69999999999999</v>
      </c>
      <c r="AA259" s="5">
        <v>156.1</v>
      </c>
      <c r="AB259" s="5">
        <v>145.19999999999999</v>
      </c>
      <c r="AC259" s="5">
        <v>143.80000000000001</v>
      </c>
      <c r="AD259" s="6">
        <v>148.6</v>
      </c>
    </row>
    <row r="260" spans="1:30">
      <c r="A260" s="4" t="s">
        <v>65</v>
      </c>
      <c r="B260" s="5">
        <v>2020</v>
      </c>
      <c r="C260" s="5" t="s">
        <v>72</v>
      </c>
      <c r="D260" s="5">
        <v>147.19999999999999</v>
      </c>
      <c r="E260" s="5" t="s">
        <v>67</v>
      </c>
      <c r="F260" s="5">
        <v>146.9</v>
      </c>
      <c r="G260" s="5">
        <v>155.6</v>
      </c>
      <c r="H260" s="5">
        <v>137.1</v>
      </c>
      <c r="I260" s="5">
        <v>147.30000000000001</v>
      </c>
      <c r="J260" s="5">
        <v>162.69999999999999</v>
      </c>
      <c r="K260" s="5">
        <v>150.19999999999999</v>
      </c>
      <c r="L260" s="5">
        <v>119.8</v>
      </c>
      <c r="M260" s="5">
        <v>158.69999999999999</v>
      </c>
      <c r="N260" s="5">
        <v>139.19999999999999</v>
      </c>
      <c r="O260" s="5" t="s">
        <v>67</v>
      </c>
      <c r="P260" s="5">
        <v>150.1</v>
      </c>
      <c r="Q260" s="5" t="s">
        <v>67</v>
      </c>
      <c r="R260" s="5" t="s">
        <v>67</v>
      </c>
      <c r="S260" s="5" t="s">
        <v>67</v>
      </c>
      <c r="T260" s="5" t="s">
        <v>67</v>
      </c>
      <c r="U260" s="5" t="s">
        <v>67</v>
      </c>
      <c r="V260" s="5">
        <v>148.4</v>
      </c>
      <c r="W260" s="5" t="s">
        <v>67</v>
      </c>
      <c r="X260" s="5">
        <v>154.30000000000001</v>
      </c>
      <c r="Y260" s="5" t="s">
        <v>67</v>
      </c>
      <c r="Z260" s="5" t="s">
        <v>67</v>
      </c>
      <c r="AA260" s="5" t="s">
        <v>67</v>
      </c>
      <c r="AB260" s="5" t="s">
        <v>67</v>
      </c>
      <c r="AC260" s="5" t="s">
        <v>67</v>
      </c>
      <c r="AD260" s="6" t="s">
        <v>67</v>
      </c>
    </row>
    <row r="261" spans="1:30">
      <c r="A261" s="4" t="s">
        <v>68</v>
      </c>
      <c r="B261" s="5">
        <v>2020</v>
      </c>
      <c r="C261" s="5" t="s">
        <v>72</v>
      </c>
      <c r="D261" s="5">
        <v>151.80000000000001</v>
      </c>
      <c r="E261" s="5" t="s">
        <v>67</v>
      </c>
      <c r="F261" s="5">
        <v>151.9</v>
      </c>
      <c r="G261" s="5">
        <v>155.5</v>
      </c>
      <c r="H261" s="5">
        <v>131.6</v>
      </c>
      <c r="I261" s="5">
        <v>152.9</v>
      </c>
      <c r="J261" s="5">
        <v>180</v>
      </c>
      <c r="K261" s="5">
        <v>150.80000000000001</v>
      </c>
      <c r="L261" s="5">
        <v>121.2</v>
      </c>
      <c r="M261" s="5">
        <v>154</v>
      </c>
      <c r="N261" s="5">
        <v>133.5</v>
      </c>
      <c r="O261" s="5" t="s">
        <v>67</v>
      </c>
      <c r="P261" s="5">
        <v>153.5</v>
      </c>
      <c r="Q261" s="5" t="s">
        <v>67</v>
      </c>
      <c r="R261" s="5" t="s">
        <v>67</v>
      </c>
      <c r="S261" s="5" t="s">
        <v>67</v>
      </c>
      <c r="T261" s="5" t="s">
        <v>67</v>
      </c>
      <c r="U261" s="5">
        <v>155.6</v>
      </c>
      <c r="V261" s="5">
        <v>137.1</v>
      </c>
      <c r="W261" s="5" t="s">
        <v>67</v>
      </c>
      <c r="X261" s="5">
        <v>144.80000000000001</v>
      </c>
      <c r="Y261" s="5" t="s">
        <v>67</v>
      </c>
      <c r="Z261" s="5" t="s">
        <v>67</v>
      </c>
      <c r="AA261" s="5" t="s">
        <v>67</v>
      </c>
      <c r="AB261" s="5" t="s">
        <v>67</v>
      </c>
      <c r="AC261" s="5" t="s">
        <v>67</v>
      </c>
      <c r="AD261" s="6" t="s">
        <v>67</v>
      </c>
    </row>
    <row r="262" spans="1:30">
      <c r="A262" s="4" t="s">
        <v>69</v>
      </c>
      <c r="B262" s="5">
        <v>2020</v>
      </c>
      <c r="C262" s="5" t="s">
        <v>72</v>
      </c>
      <c r="D262" s="5">
        <v>148.69999999999999</v>
      </c>
      <c r="E262" s="5" t="s">
        <v>67</v>
      </c>
      <c r="F262" s="5">
        <v>148.80000000000001</v>
      </c>
      <c r="G262" s="5">
        <v>155.6</v>
      </c>
      <c r="H262" s="5">
        <v>135.1</v>
      </c>
      <c r="I262" s="5">
        <v>149.9</v>
      </c>
      <c r="J262" s="5">
        <v>168.6</v>
      </c>
      <c r="K262" s="5">
        <v>150.4</v>
      </c>
      <c r="L262" s="5">
        <v>120.3</v>
      </c>
      <c r="M262" s="5">
        <v>157.1</v>
      </c>
      <c r="N262" s="5">
        <v>136.80000000000001</v>
      </c>
      <c r="O262" s="5" t="s">
        <v>67</v>
      </c>
      <c r="P262" s="5">
        <v>151.4</v>
      </c>
      <c r="Q262" s="5" t="s">
        <v>67</v>
      </c>
      <c r="R262" s="5" t="s">
        <v>67</v>
      </c>
      <c r="S262" s="5" t="s">
        <v>67</v>
      </c>
      <c r="T262" s="5" t="s">
        <v>67</v>
      </c>
      <c r="U262" s="5">
        <v>155.6</v>
      </c>
      <c r="V262" s="5">
        <v>144.1</v>
      </c>
      <c r="W262" s="5" t="s">
        <v>67</v>
      </c>
      <c r="X262" s="5">
        <v>150.69999999999999</v>
      </c>
      <c r="Y262" s="5" t="s">
        <v>67</v>
      </c>
      <c r="Z262" s="5" t="s">
        <v>67</v>
      </c>
      <c r="AA262" s="5" t="s">
        <v>67</v>
      </c>
      <c r="AB262" s="5" t="s">
        <v>67</v>
      </c>
      <c r="AC262" s="5" t="s">
        <v>67</v>
      </c>
      <c r="AD262" s="6" t="s">
        <v>67</v>
      </c>
    </row>
    <row r="263" spans="1:30">
      <c r="A263" s="4" t="s">
        <v>65</v>
      </c>
      <c r="B263" s="5">
        <v>2020</v>
      </c>
      <c r="C263" s="5" t="s">
        <v>73</v>
      </c>
      <c r="D263" s="5" t="s">
        <v>67</v>
      </c>
      <c r="E263" s="5" t="s">
        <v>67</v>
      </c>
      <c r="F263" s="5" t="s">
        <v>67</v>
      </c>
      <c r="G263" s="5" t="s">
        <v>67</v>
      </c>
      <c r="H263" s="5" t="s">
        <v>67</v>
      </c>
      <c r="I263" s="5" t="s">
        <v>67</v>
      </c>
      <c r="J263" s="5" t="s">
        <v>67</v>
      </c>
      <c r="K263" s="5" t="s">
        <v>67</v>
      </c>
      <c r="L263" s="5" t="s">
        <v>67</v>
      </c>
      <c r="M263" s="5" t="s">
        <v>67</v>
      </c>
      <c r="N263" s="5" t="s">
        <v>67</v>
      </c>
      <c r="O263" s="5" t="s">
        <v>67</v>
      </c>
      <c r="P263" s="5" t="s">
        <v>67</v>
      </c>
      <c r="Q263" s="5" t="s">
        <v>67</v>
      </c>
      <c r="R263" s="5" t="s">
        <v>67</v>
      </c>
      <c r="S263" s="5" t="s">
        <v>67</v>
      </c>
      <c r="T263" s="5" t="s">
        <v>67</v>
      </c>
      <c r="U263" s="5" t="s">
        <v>67</v>
      </c>
      <c r="V263" s="5" t="s">
        <v>67</v>
      </c>
      <c r="W263" s="5" t="s">
        <v>67</v>
      </c>
      <c r="X263" s="5" t="s">
        <v>67</v>
      </c>
      <c r="Y263" s="5" t="s">
        <v>67</v>
      </c>
      <c r="Z263" s="5" t="s">
        <v>67</v>
      </c>
      <c r="AA263" s="5" t="s">
        <v>67</v>
      </c>
      <c r="AB263" s="5" t="s">
        <v>67</v>
      </c>
      <c r="AC263" s="5" t="s">
        <v>67</v>
      </c>
      <c r="AD263" s="6" t="s">
        <v>67</v>
      </c>
    </row>
    <row r="264" spans="1:30">
      <c r="A264" s="4" t="s">
        <v>68</v>
      </c>
      <c r="B264" s="5">
        <v>2020</v>
      </c>
      <c r="C264" s="5" t="s">
        <v>73</v>
      </c>
      <c r="D264" s="5" t="s">
        <v>67</v>
      </c>
      <c r="E264" s="5" t="s">
        <v>67</v>
      </c>
      <c r="F264" s="5" t="s">
        <v>67</v>
      </c>
      <c r="G264" s="5" t="s">
        <v>67</v>
      </c>
      <c r="H264" s="5" t="s">
        <v>67</v>
      </c>
      <c r="I264" s="5" t="s">
        <v>67</v>
      </c>
      <c r="J264" s="5" t="s">
        <v>67</v>
      </c>
      <c r="K264" s="5" t="s">
        <v>67</v>
      </c>
      <c r="L264" s="5" t="s">
        <v>67</v>
      </c>
      <c r="M264" s="5" t="s">
        <v>67</v>
      </c>
      <c r="N264" s="5" t="s">
        <v>67</v>
      </c>
      <c r="O264" s="5" t="s">
        <v>67</v>
      </c>
      <c r="P264" s="5" t="s">
        <v>67</v>
      </c>
      <c r="Q264" s="5" t="s">
        <v>67</v>
      </c>
      <c r="R264" s="5" t="s">
        <v>67</v>
      </c>
      <c r="S264" s="5" t="s">
        <v>67</v>
      </c>
      <c r="T264" s="5" t="s">
        <v>67</v>
      </c>
      <c r="U264" s="5" t="s">
        <v>67</v>
      </c>
      <c r="V264" s="5" t="s">
        <v>67</v>
      </c>
      <c r="W264" s="5" t="s">
        <v>67</v>
      </c>
      <c r="X264" s="5" t="s">
        <v>67</v>
      </c>
      <c r="Y264" s="5" t="s">
        <v>67</v>
      </c>
      <c r="Z264" s="5" t="s">
        <v>67</v>
      </c>
      <c r="AA264" s="5" t="s">
        <v>67</v>
      </c>
      <c r="AB264" s="5" t="s">
        <v>67</v>
      </c>
      <c r="AC264" s="5" t="s">
        <v>67</v>
      </c>
      <c r="AD264" s="6" t="s">
        <v>67</v>
      </c>
    </row>
    <row r="265" spans="1:30">
      <c r="A265" s="4" t="s">
        <v>69</v>
      </c>
      <c r="B265" s="5">
        <v>2020</v>
      </c>
      <c r="C265" s="5" t="s">
        <v>73</v>
      </c>
      <c r="D265" s="5" t="s">
        <v>67</v>
      </c>
      <c r="E265" s="5" t="s">
        <v>67</v>
      </c>
      <c r="F265" s="5" t="s">
        <v>67</v>
      </c>
      <c r="G265" s="5" t="s">
        <v>67</v>
      </c>
      <c r="H265" s="5" t="s">
        <v>67</v>
      </c>
      <c r="I265" s="5" t="s">
        <v>67</v>
      </c>
      <c r="J265" s="5" t="s">
        <v>67</v>
      </c>
      <c r="K265" s="5" t="s">
        <v>67</v>
      </c>
      <c r="L265" s="5" t="s">
        <v>67</v>
      </c>
      <c r="M265" s="5" t="s">
        <v>67</v>
      </c>
      <c r="N265" s="5" t="s">
        <v>67</v>
      </c>
      <c r="O265" s="5" t="s">
        <v>67</v>
      </c>
      <c r="P265" s="5" t="s">
        <v>67</v>
      </c>
      <c r="Q265" s="5" t="s">
        <v>67</v>
      </c>
      <c r="R265" s="5" t="s">
        <v>67</v>
      </c>
      <c r="S265" s="5" t="s">
        <v>67</v>
      </c>
      <c r="T265" s="5" t="s">
        <v>67</v>
      </c>
      <c r="U265" s="5" t="s">
        <v>67</v>
      </c>
      <c r="V265" s="5" t="s">
        <v>67</v>
      </c>
      <c r="W265" s="5" t="s">
        <v>67</v>
      </c>
      <c r="X265" s="5" t="s">
        <v>67</v>
      </c>
      <c r="Y265" s="5" t="s">
        <v>67</v>
      </c>
      <c r="Z265" s="5" t="s">
        <v>67</v>
      </c>
      <c r="AA265" s="5" t="s">
        <v>67</v>
      </c>
      <c r="AB265" s="5" t="s">
        <v>67</v>
      </c>
      <c r="AC265" s="5" t="s">
        <v>67</v>
      </c>
      <c r="AD265" s="6" t="s">
        <v>67</v>
      </c>
    </row>
    <row r="266" spans="1:30">
      <c r="A266" s="4" t="s">
        <v>65</v>
      </c>
      <c r="B266" s="5">
        <v>2020</v>
      </c>
      <c r="C266" s="5" t="s">
        <v>74</v>
      </c>
      <c r="D266" s="5">
        <v>148.19999999999999</v>
      </c>
      <c r="E266" s="5">
        <v>190.3</v>
      </c>
      <c r="F266" s="5">
        <v>149.4</v>
      </c>
      <c r="G266" s="5">
        <v>153.30000000000001</v>
      </c>
      <c r="H266" s="5">
        <v>138.19999999999999</v>
      </c>
      <c r="I266" s="5">
        <v>143.19999999999999</v>
      </c>
      <c r="J266" s="5">
        <v>148.9</v>
      </c>
      <c r="K266" s="5">
        <v>150.30000000000001</v>
      </c>
      <c r="L266" s="5">
        <v>113.2</v>
      </c>
      <c r="M266" s="5">
        <v>159.80000000000001</v>
      </c>
      <c r="N266" s="5">
        <v>142.1</v>
      </c>
      <c r="O266" s="5">
        <v>161.80000000000001</v>
      </c>
      <c r="P266" s="5">
        <v>152.30000000000001</v>
      </c>
      <c r="Q266" s="5">
        <v>182.4</v>
      </c>
      <c r="R266" s="5">
        <v>154.69999999999999</v>
      </c>
      <c r="S266" s="5">
        <v>150</v>
      </c>
      <c r="T266" s="5">
        <v>154.1</v>
      </c>
      <c r="U266" s="5" t="s">
        <v>67</v>
      </c>
      <c r="V266" s="5">
        <v>144.9</v>
      </c>
      <c r="W266" s="5">
        <v>151.69999999999999</v>
      </c>
      <c r="X266" s="5">
        <v>158.19999999999999</v>
      </c>
      <c r="Y266" s="5">
        <v>141.4</v>
      </c>
      <c r="Z266" s="5">
        <v>153.19999999999999</v>
      </c>
      <c r="AA266" s="5">
        <v>161.80000000000001</v>
      </c>
      <c r="AB266" s="5">
        <v>151.19999999999999</v>
      </c>
      <c r="AC266" s="5">
        <v>151.69999999999999</v>
      </c>
      <c r="AD266" s="6">
        <v>152.69999999999999</v>
      </c>
    </row>
    <row r="267" spans="1:30">
      <c r="A267" s="4" t="s">
        <v>68</v>
      </c>
      <c r="B267" s="5">
        <v>2020</v>
      </c>
      <c r="C267" s="5" t="s">
        <v>74</v>
      </c>
      <c r="D267" s="5">
        <v>152.69999999999999</v>
      </c>
      <c r="E267" s="5">
        <v>197</v>
      </c>
      <c r="F267" s="5">
        <v>154.6</v>
      </c>
      <c r="G267" s="5">
        <v>153.4</v>
      </c>
      <c r="H267" s="5">
        <v>132.9</v>
      </c>
      <c r="I267" s="5">
        <v>151.80000000000001</v>
      </c>
      <c r="J267" s="5">
        <v>171.2</v>
      </c>
      <c r="K267" s="5">
        <v>152</v>
      </c>
      <c r="L267" s="5">
        <v>116.3</v>
      </c>
      <c r="M267" s="5">
        <v>158.80000000000001</v>
      </c>
      <c r="N267" s="5">
        <v>135.6</v>
      </c>
      <c r="O267" s="5">
        <v>161.69999999999999</v>
      </c>
      <c r="P267" s="5">
        <v>157</v>
      </c>
      <c r="Q267" s="5">
        <v>186.7</v>
      </c>
      <c r="R267" s="5">
        <v>149.1</v>
      </c>
      <c r="S267" s="5">
        <v>136.6</v>
      </c>
      <c r="T267" s="5">
        <v>147.19999999999999</v>
      </c>
      <c r="U267" s="5">
        <v>154.69999999999999</v>
      </c>
      <c r="V267" s="5">
        <v>137.1</v>
      </c>
      <c r="W267" s="5">
        <v>140.4</v>
      </c>
      <c r="X267" s="5">
        <v>148.1</v>
      </c>
      <c r="Y267" s="5">
        <v>129.30000000000001</v>
      </c>
      <c r="Z267" s="5">
        <v>144.5</v>
      </c>
      <c r="AA267" s="5">
        <v>152.5</v>
      </c>
      <c r="AB267" s="5">
        <v>152.19999999999999</v>
      </c>
      <c r="AC267" s="5">
        <v>142</v>
      </c>
      <c r="AD267" s="6">
        <v>150.80000000000001</v>
      </c>
    </row>
    <row r="268" spans="1:30">
      <c r="A268" s="4" t="s">
        <v>69</v>
      </c>
      <c r="B268" s="5">
        <v>2020</v>
      </c>
      <c r="C268" s="5" t="s">
        <v>74</v>
      </c>
      <c r="D268" s="5">
        <v>149.6</v>
      </c>
      <c r="E268" s="5">
        <v>192.7</v>
      </c>
      <c r="F268" s="5">
        <v>151.4</v>
      </c>
      <c r="G268" s="5">
        <v>153.30000000000001</v>
      </c>
      <c r="H268" s="5">
        <v>136.30000000000001</v>
      </c>
      <c r="I268" s="5">
        <v>147.19999999999999</v>
      </c>
      <c r="J268" s="5">
        <v>156.5</v>
      </c>
      <c r="K268" s="5">
        <v>150.9</v>
      </c>
      <c r="L268" s="5">
        <v>114.2</v>
      </c>
      <c r="M268" s="5">
        <v>159.5</v>
      </c>
      <c r="N268" s="5">
        <v>139.4</v>
      </c>
      <c r="O268" s="5">
        <v>161.80000000000001</v>
      </c>
      <c r="P268" s="5">
        <v>154</v>
      </c>
      <c r="Q268" s="5">
        <v>183.5</v>
      </c>
      <c r="R268" s="5">
        <v>152.5</v>
      </c>
      <c r="S268" s="5">
        <v>144.4</v>
      </c>
      <c r="T268" s="5">
        <v>151.4</v>
      </c>
      <c r="U268" s="5">
        <v>154.69999999999999</v>
      </c>
      <c r="V268" s="5">
        <v>141.9</v>
      </c>
      <c r="W268" s="5">
        <v>146.4</v>
      </c>
      <c r="X268" s="5">
        <v>154.4</v>
      </c>
      <c r="Y268" s="5">
        <v>135</v>
      </c>
      <c r="Z268" s="5">
        <v>148.30000000000001</v>
      </c>
      <c r="AA268" s="5">
        <v>156.4</v>
      </c>
      <c r="AB268" s="5">
        <v>151.6</v>
      </c>
      <c r="AC268" s="5">
        <v>147</v>
      </c>
      <c r="AD268" s="6">
        <v>151.80000000000001</v>
      </c>
    </row>
    <row r="269" spans="1:30">
      <c r="A269" s="4" t="s">
        <v>65</v>
      </c>
      <c r="B269" s="5">
        <v>2020</v>
      </c>
      <c r="C269" s="5" t="s">
        <v>75</v>
      </c>
      <c r="D269" s="5">
        <v>148.19999999999999</v>
      </c>
      <c r="E269" s="5">
        <v>190.3</v>
      </c>
      <c r="F269" s="5">
        <v>149.4</v>
      </c>
      <c r="G269" s="5">
        <v>153.30000000000001</v>
      </c>
      <c r="H269" s="5">
        <v>138.19999999999999</v>
      </c>
      <c r="I269" s="5">
        <v>143.19999999999999</v>
      </c>
      <c r="J269" s="5">
        <v>148.9</v>
      </c>
      <c r="K269" s="5">
        <v>150.30000000000001</v>
      </c>
      <c r="L269" s="5">
        <v>113.2</v>
      </c>
      <c r="M269" s="5">
        <v>159.80000000000001</v>
      </c>
      <c r="N269" s="5">
        <v>142.1</v>
      </c>
      <c r="O269" s="5">
        <v>161.80000000000001</v>
      </c>
      <c r="P269" s="5">
        <v>152.30000000000001</v>
      </c>
      <c r="Q269" s="5">
        <v>182.4</v>
      </c>
      <c r="R269" s="5">
        <v>154.69999999999999</v>
      </c>
      <c r="S269" s="5">
        <v>150</v>
      </c>
      <c r="T269" s="5">
        <v>154.1</v>
      </c>
      <c r="U269" s="5" t="s">
        <v>67</v>
      </c>
      <c r="V269" s="5">
        <v>144.9</v>
      </c>
      <c r="W269" s="5">
        <v>151.69999999999999</v>
      </c>
      <c r="X269" s="5">
        <v>158.19999999999999</v>
      </c>
      <c r="Y269" s="5">
        <v>141.4</v>
      </c>
      <c r="Z269" s="5">
        <v>153.19999999999999</v>
      </c>
      <c r="AA269" s="5">
        <v>161.80000000000001</v>
      </c>
      <c r="AB269" s="5">
        <v>151.19999999999999</v>
      </c>
      <c r="AC269" s="5">
        <v>151.69999999999999</v>
      </c>
      <c r="AD269" s="6">
        <v>152.69999999999999</v>
      </c>
    </row>
    <row r="270" spans="1:30">
      <c r="A270" s="4" t="s">
        <v>68</v>
      </c>
      <c r="B270" s="5">
        <v>2020</v>
      </c>
      <c r="C270" s="5" t="s">
        <v>75</v>
      </c>
      <c r="D270" s="5">
        <v>152.69999999999999</v>
      </c>
      <c r="E270" s="5">
        <v>197</v>
      </c>
      <c r="F270" s="5">
        <v>154.6</v>
      </c>
      <c r="G270" s="5">
        <v>153.4</v>
      </c>
      <c r="H270" s="5">
        <v>132.9</v>
      </c>
      <c r="I270" s="5">
        <v>151.80000000000001</v>
      </c>
      <c r="J270" s="5">
        <v>171.2</v>
      </c>
      <c r="K270" s="5">
        <v>152</v>
      </c>
      <c r="L270" s="5">
        <v>116.3</v>
      </c>
      <c r="M270" s="5">
        <v>158.80000000000001</v>
      </c>
      <c r="N270" s="5">
        <v>135.6</v>
      </c>
      <c r="O270" s="5">
        <v>161.69999999999999</v>
      </c>
      <c r="P270" s="5">
        <v>157</v>
      </c>
      <c r="Q270" s="5">
        <v>186.7</v>
      </c>
      <c r="R270" s="5">
        <v>149.1</v>
      </c>
      <c r="S270" s="5">
        <v>136.6</v>
      </c>
      <c r="T270" s="5">
        <v>147.19999999999999</v>
      </c>
      <c r="U270" s="5">
        <v>154.69999999999999</v>
      </c>
      <c r="V270" s="5">
        <v>137.1</v>
      </c>
      <c r="W270" s="5">
        <v>140.4</v>
      </c>
      <c r="X270" s="5">
        <v>148.1</v>
      </c>
      <c r="Y270" s="5">
        <v>129.30000000000001</v>
      </c>
      <c r="Z270" s="5">
        <v>144.5</v>
      </c>
      <c r="AA270" s="5">
        <v>152.5</v>
      </c>
      <c r="AB270" s="5">
        <v>152.19999999999999</v>
      </c>
      <c r="AC270" s="5">
        <v>142</v>
      </c>
      <c r="AD270" s="6">
        <v>150.80000000000001</v>
      </c>
    </row>
    <row r="271" spans="1:30">
      <c r="A271" s="4" t="s">
        <v>69</v>
      </c>
      <c r="B271" s="5">
        <v>2020</v>
      </c>
      <c r="C271" s="5" t="s">
        <v>75</v>
      </c>
      <c r="D271" s="5">
        <v>149.6</v>
      </c>
      <c r="E271" s="5">
        <v>192.7</v>
      </c>
      <c r="F271" s="5">
        <v>151.4</v>
      </c>
      <c r="G271" s="5">
        <v>153.30000000000001</v>
      </c>
      <c r="H271" s="5">
        <v>136.30000000000001</v>
      </c>
      <c r="I271" s="5">
        <v>147.19999999999999</v>
      </c>
      <c r="J271" s="5">
        <v>156.5</v>
      </c>
      <c r="K271" s="5">
        <v>150.9</v>
      </c>
      <c r="L271" s="5">
        <v>114.2</v>
      </c>
      <c r="M271" s="5">
        <v>159.5</v>
      </c>
      <c r="N271" s="5">
        <v>139.4</v>
      </c>
      <c r="O271" s="5">
        <v>161.80000000000001</v>
      </c>
      <c r="P271" s="5">
        <v>154</v>
      </c>
      <c r="Q271" s="5">
        <v>183.5</v>
      </c>
      <c r="R271" s="5">
        <v>152.5</v>
      </c>
      <c r="S271" s="5">
        <v>144.4</v>
      </c>
      <c r="T271" s="5">
        <v>151.4</v>
      </c>
      <c r="U271" s="5">
        <v>154.69999999999999</v>
      </c>
      <c r="V271" s="5">
        <v>141.9</v>
      </c>
      <c r="W271" s="5">
        <v>146.4</v>
      </c>
      <c r="X271" s="5">
        <v>154.4</v>
      </c>
      <c r="Y271" s="5">
        <v>135</v>
      </c>
      <c r="Z271" s="5">
        <v>148.30000000000001</v>
      </c>
      <c r="AA271" s="5">
        <v>156.4</v>
      </c>
      <c r="AB271" s="5">
        <v>151.6</v>
      </c>
      <c r="AC271" s="5">
        <v>147</v>
      </c>
      <c r="AD271" s="6">
        <v>151.80000000000001</v>
      </c>
    </row>
    <row r="272" spans="1:30">
      <c r="A272" s="4" t="s">
        <v>65</v>
      </c>
      <c r="B272" s="5">
        <v>2020</v>
      </c>
      <c r="C272" s="5" t="s">
        <v>76</v>
      </c>
      <c r="D272" s="5">
        <v>147.6</v>
      </c>
      <c r="E272" s="5">
        <v>187.2</v>
      </c>
      <c r="F272" s="5">
        <v>148.4</v>
      </c>
      <c r="G272" s="5">
        <v>153.30000000000001</v>
      </c>
      <c r="H272" s="5">
        <v>139.80000000000001</v>
      </c>
      <c r="I272" s="5">
        <v>146.9</v>
      </c>
      <c r="J272" s="5">
        <v>171</v>
      </c>
      <c r="K272" s="5">
        <v>149.9</v>
      </c>
      <c r="L272" s="5">
        <v>114.2</v>
      </c>
      <c r="M272" s="5">
        <v>160</v>
      </c>
      <c r="N272" s="5">
        <v>143.5</v>
      </c>
      <c r="O272" s="5">
        <v>161.5</v>
      </c>
      <c r="P272" s="5">
        <v>155.30000000000001</v>
      </c>
      <c r="Q272" s="5">
        <v>180.9</v>
      </c>
      <c r="R272" s="5">
        <v>155.1</v>
      </c>
      <c r="S272" s="5">
        <v>149.30000000000001</v>
      </c>
      <c r="T272" s="5">
        <v>154.30000000000001</v>
      </c>
      <c r="U272" s="5" t="s">
        <v>67</v>
      </c>
      <c r="V272" s="5">
        <v>145.80000000000001</v>
      </c>
      <c r="W272" s="5">
        <v>151.9</v>
      </c>
      <c r="X272" s="5">
        <v>158.80000000000001</v>
      </c>
      <c r="Y272" s="5">
        <v>143.6</v>
      </c>
      <c r="Z272" s="5">
        <v>152.19999999999999</v>
      </c>
      <c r="AA272" s="5">
        <v>162.69999999999999</v>
      </c>
      <c r="AB272" s="5">
        <v>153.6</v>
      </c>
      <c r="AC272" s="5">
        <v>153</v>
      </c>
      <c r="AD272" s="6">
        <v>154.69999999999999</v>
      </c>
    </row>
    <row r="273" spans="1:30">
      <c r="A273" s="4" t="s">
        <v>68</v>
      </c>
      <c r="B273" s="5">
        <v>2020</v>
      </c>
      <c r="C273" s="5" t="s">
        <v>76</v>
      </c>
      <c r="D273" s="5">
        <v>151.6</v>
      </c>
      <c r="E273" s="5">
        <v>197.8</v>
      </c>
      <c r="F273" s="5">
        <v>154.5</v>
      </c>
      <c r="G273" s="5">
        <v>153.4</v>
      </c>
      <c r="H273" s="5">
        <v>133.4</v>
      </c>
      <c r="I273" s="5">
        <v>154.5</v>
      </c>
      <c r="J273" s="5">
        <v>191.9</v>
      </c>
      <c r="K273" s="5">
        <v>151.30000000000001</v>
      </c>
      <c r="L273" s="5">
        <v>116.8</v>
      </c>
      <c r="M273" s="5">
        <v>160</v>
      </c>
      <c r="N273" s="5">
        <v>136.5</v>
      </c>
      <c r="O273" s="5">
        <v>163.30000000000001</v>
      </c>
      <c r="P273" s="5">
        <v>159.9</v>
      </c>
      <c r="Q273" s="5">
        <v>187.2</v>
      </c>
      <c r="R273" s="5">
        <v>150</v>
      </c>
      <c r="S273" s="5">
        <v>135.19999999999999</v>
      </c>
      <c r="T273" s="5">
        <v>147.80000000000001</v>
      </c>
      <c r="U273" s="5">
        <v>155.5</v>
      </c>
      <c r="V273" s="5">
        <v>138.30000000000001</v>
      </c>
      <c r="W273" s="5">
        <v>144.5</v>
      </c>
      <c r="X273" s="5">
        <v>148.69999999999999</v>
      </c>
      <c r="Y273" s="5">
        <v>133.9</v>
      </c>
      <c r="Z273" s="5">
        <v>141.19999999999999</v>
      </c>
      <c r="AA273" s="5">
        <v>155.5</v>
      </c>
      <c r="AB273" s="5">
        <v>155.19999999999999</v>
      </c>
      <c r="AC273" s="5">
        <v>144.80000000000001</v>
      </c>
      <c r="AD273" s="6">
        <v>152.9</v>
      </c>
    </row>
    <row r="274" spans="1:30">
      <c r="A274" s="4" t="s">
        <v>69</v>
      </c>
      <c r="B274" s="5">
        <v>2020</v>
      </c>
      <c r="C274" s="5" t="s">
        <v>76</v>
      </c>
      <c r="D274" s="5">
        <v>148.9</v>
      </c>
      <c r="E274" s="5">
        <v>190.9</v>
      </c>
      <c r="F274" s="5">
        <v>150.80000000000001</v>
      </c>
      <c r="G274" s="5">
        <v>153.30000000000001</v>
      </c>
      <c r="H274" s="5">
        <v>137.4</v>
      </c>
      <c r="I274" s="5">
        <v>150.4</v>
      </c>
      <c r="J274" s="5">
        <v>178.1</v>
      </c>
      <c r="K274" s="5">
        <v>150.4</v>
      </c>
      <c r="L274" s="5">
        <v>115.1</v>
      </c>
      <c r="M274" s="5">
        <v>160</v>
      </c>
      <c r="N274" s="5">
        <v>140.6</v>
      </c>
      <c r="O274" s="5">
        <v>162.30000000000001</v>
      </c>
      <c r="P274" s="5">
        <v>157</v>
      </c>
      <c r="Q274" s="5">
        <v>182.6</v>
      </c>
      <c r="R274" s="5">
        <v>153.1</v>
      </c>
      <c r="S274" s="5">
        <v>143.4</v>
      </c>
      <c r="T274" s="5">
        <v>151.69999999999999</v>
      </c>
      <c r="U274" s="5">
        <v>155.5</v>
      </c>
      <c r="V274" s="5">
        <v>143</v>
      </c>
      <c r="W274" s="5">
        <v>148.4</v>
      </c>
      <c r="X274" s="5">
        <v>155</v>
      </c>
      <c r="Y274" s="5">
        <v>138.5</v>
      </c>
      <c r="Z274" s="5">
        <v>146</v>
      </c>
      <c r="AA274" s="5">
        <v>158.5</v>
      </c>
      <c r="AB274" s="5">
        <v>154.30000000000001</v>
      </c>
      <c r="AC274" s="5">
        <v>149</v>
      </c>
      <c r="AD274" s="6">
        <v>153.9</v>
      </c>
    </row>
    <row r="275" spans="1:30">
      <c r="A275" s="4" t="s">
        <v>65</v>
      </c>
      <c r="B275" s="5">
        <v>2020</v>
      </c>
      <c r="C275" s="5" t="s">
        <v>77</v>
      </c>
      <c r="D275" s="5">
        <v>146.9</v>
      </c>
      <c r="E275" s="5">
        <v>183.9</v>
      </c>
      <c r="F275" s="5">
        <v>149.5</v>
      </c>
      <c r="G275" s="5">
        <v>153.4</v>
      </c>
      <c r="H275" s="5">
        <v>140.4</v>
      </c>
      <c r="I275" s="5">
        <v>147</v>
      </c>
      <c r="J275" s="5">
        <v>178.8</v>
      </c>
      <c r="K275" s="5">
        <v>149.30000000000001</v>
      </c>
      <c r="L275" s="5">
        <v>115.1</v>
      </c>
      <c r="M275" s="5">
        <v>160</v>
      </c>
      <c r="N275" s="5">
        <v>145.4</v>
      </c>
      <c r="O275" s="5">
        <v>161.6</v>
      </c>
      <c r="P275" s="5">
        <v>156.1</v>
      </c>
      <c r="Q275" s="5">
        <v>182.9</v>
      </c>
      <c r="R275" s="5">
        <v>155.4</v>
      </c>
      <c r="S275" s="5">
        <v>149.9</v>
      </c>
      <c r="T275" s="5">
        <v>154.6</v>
      </c>
      <c r="U275" s="5" t="s">
        <v>67</v>
      </c>
      <c r="V275" s="5">
        <v>146.4</v>
      </c>
      <c r="W275" s="5">
        <v>151.6</v>
      </c>
      <c r="X275" s="5">
        <v>159.1</v>
      </c>
      <c r="Y275" s="5">
        <v>144.6</v>
      </c>
      <c r="Z275" s="5">
        <v>152.80000000000001</v>
      </c>
      <c r="AA275" s="5">
        <v>161.1</v>
      </c>
      <c r="AB275" s="5">
        <v>157.4</v>
      </c>
      <c r="AC275" s="5">
        <v>153.69999999999999</v>
      </c>
      <c r="AD275" s="6">
        <v>155.4</v>
      </c>
    </row>
    <row r="276" spans="1:30">
      <c r="A276" s="4" t="s">
        <v>68</v>
      </c>
      <c r="B276" s="5">
        <v>2020</v>
      </c>
      <c r="C276" s="5" t="s">
        <v>77</v>
      </c>
      <c r="D276" s="5">
        <v>151.5</v>
      </c>
      <c r="E276" s="5">
        <v>193.1</v>
      </c>
      <c r="F276" s="5">
        <v>157.30000000000001</v>
      </c>
      <c r="G276" s="5">
        <v>153.9</v>
      </c>
      <c r="H276" s="5">
        <v>134.4</v>
      </c>
      <c r="I276" s="5">
        <v>155.4</v>
      </c>
      <c r="J276" s="5">
        <v>202</v>
      </c>
      <c r="K276" s="5">
        <v>150.80000000000001</v>
      </c>
      <c r="L276" s="5">
        <v>118.9</v>
      </c>
      <c r="M276" s="5">
        <v>160.9</v>
      </c>
      <c r="N276" s="5">
        <v>137.69999999999999</v>
      </c>
      <c r="O276" s="5">
        <v>164.4</v>
      </c>
      <c r="P276" s="5">
        <v>161.30000000000001</v>
      </c>
      <c r="Q276" s="5">
        <v>188.7</v>
      </c>
      <c r="R276" s="5">
        <v>150.19999999999999</v>
      </c>
      <c r="S276" s="5">
        <v>136.30000000000001</v>
      </c>
      <c r="T276" s="5">
        <v>148.1</v>
      </c>
      <c r="U276" s="5">
        <v>156.30000000000001</v>
      </c>
      <c r="V276" s="5">
        <v>137.19999999999999</v>
      </c>
      <c r="W276" s="5">
        <v>145.4</v>
      </c>
      <c r="X276" s="5">
        <v>150</v>
      </c>
      <c r="Y276" s="5">
        <v>135.1</v>
      </c>
      <c r="Z276" s="5">
        <v>141.80000000000001</v>
      </c>
      <c r="AA276" s="5">
        <v>154.9</v>
      </c>
      <c r="AB276" s="5">
        <v>159.80000000000001</v>
      </c>
      <c r="AC276" s="5">
        <v>146</v>
      </c>
      <c r="AD276" s="6">
        <v>154</v>
      </c>
    </row>
    <row r="277" spans="1:30">
      <c r="A277" s="4" t="s">
        <v>69</v>
      </c>
      <c r="B277" s="5">
        <v>2020</v>
      </c>
      <c r="C277" s="5" t="s">
        <v>77</v>
      </c>
      <c r="D277" s="5">
        <v>148.4</v>
      </c>
      <c r="E277" s="5">
        <v>187.1</v>
      </c>
      <c r="F277" s="5">
        <v>152.5</v>
      </c>
      <c r="G277" s="5">
        <v>153.6</v>
      </c>
      <c r="H277" s="5">
        <v>138.19999999999999</v>
      </c>
      <c r="I277" s="5">
        <v>150.9</v>
      </c>
      <c r="J277" s="5">
        <v>186.7</v>
      </c>
      <c r="K277" s="5">
        <v>149.80000000000001</v>
      </c>
      <c r="L277" s="5">
        <v>116.4</v>
      </c>
      <c r="M277" s="5">
        <v>160.30000000000001</v>
      </c>
      <c r="N277" s="5">
        <v>142.19999999999999</v>
      </c>
      <c r="O277" s="5">
        <v>162.9</v>
      </c>
      <c r="P277" s="5">
        <v>158</v>
      </c>
      <c r="Q277" s="5">
        <v>184.4</v>
      </c>
      <c r="R277" s="5">
        <v>153.4</v>
      </c>
      <c r="S277" s="5">
        <v>144.30000000000001</v>
      </c>
      <c r="T277" s="5">
        <v>152</v>
      </c>
      <c r="U277" s="5">
        <v>156.30000000000001</v>
      </c>
      <c r="V277" s="5">
        <v>142.9</v>
      </c>
      <c r="W277" s="5">
        <v>148.69999999999999</v>
      </c>
      <c r="X277" s="5">
        <v>155.6</v>
      </c>
      <c r="Y277" s="5">
        <v>139.6</v>
      </c>
      <c r="Z277" s="5">
        <v>146.6</v>
      </c>
      <c r="AA277" s="5">
        <v>157.5</v>
      </c>
      <c r="AB277" s="5">
        <v>158.4</v>
      </c>
      <c r="AC277" s="5">
        <v>150</v>
      </c>
      <c r="AD277" s="6">
        <v>154.69999999999999</v>
      </c>
    </row>
    <row r="278" spans="1:30">
      <c r="A278" s="4" t="s">
        <v>65</v>
      </c>
      <c r="B278" s="5">
        <v>2020</v>
      </c>
      <c r="C278" s="5" t="s">
        <v>78</v>
      </c>
      <c r="D278" s="5">
        <v>146</v>
      </c>
      <c r="E278" s="5">
        <v>186.3</v>
      </c>
      <c r="F278" s="5">
        <v>159.19999999999999</v>
      </c>
      <c r="G278" s="5">
        <v>153.6</v>
      </c>
      <c r="H278" s="5">
        <v>142.6</v>
      </c>
      <c r="I278" s="5">
        <v>147.19999999999999</v>
      </c>
      <c r="J278" s="5">
        <v>200.6</v>
      </c>
      <c r="K278" s="5">
        <v>150.30000000000001</v>
      </c>
      <c r="L278" s="5">
        <v>115.3</v>
      </c>
      <c r="M278" s="5">
        <v>160.9</v>
      </c>
      <c r="N278" s="5">
        <v>147.4</v>
      </c>
      <c r="O278" s="5">
        <v>161.9</v>
      </c>
      <c r="P278" s="5">
        <v>159.6</v>
      </c>
      <c r="Q278" s="5">
        <v>182.7</v>
      </c>
      <c r="R278" s="5">
        <v>155.69999999999999</v>
      </c>
      <c r="S278" s="5">
        <v>150.6</v>
      </c>
      <c r="T278" s="5">
        <v>155</v>
      </c>
      <c r="U278" s="5" t="s">
        <v>67</v>
      </c>
      <c r="V278" s="5">
        <v>146.80000000000001</v>
      </c>
      <c r="W278" s="5">
        <v>152</v>
      </c>
      <c r="X278" s="5">
        <v>159.5</v>
      </c>
      <c r="Y278" s="5">
        <v>146.4</v>
      </c>
      <c r="Z278" s="5">
        <v>152.4</v>
      </c>
      <c r="AA278" s="5">
        <v>162.5</v>
      </c>
      <c r="AB278" s="5">
        <v>156.19999999999999</v>
      </c>
      <c r="AC278" s="5">
        <v>154.30000000000001</v>
      </c>
      <c r="AD278" s="6">
        <v>157.5</v>
      </c>
    </row>
    <row r="279" spans="1:30">
      <c r="A279" s="4" t="s">
        <v>68</v>
      </c>
      <c r="B279" s="5">
        <v>2020</v>
      </c>
      <c r="C279" s="5" t="s">
        <v>78</v>
      </c>
      <c r="D279" s="5">
        <v>150.6</v>
      </c>
      <c r="E279" s="5">
        <v>193.7</v>
      </c>
      <c r="F279" s="5">
        <v>164.8</v>
      </c>
      <c r="G279" s="5">
        <v>153.69999999999999</v>
      </c>
      <c r="H279" s="5">
        <v>135.69999999999999</v>
      </c>
      <c r="I279" s="5">
        <v>155.69999999999999</v>
      </c>
      <c r="J279" s="5">
        <v>226</v>
      </c>
      <c r="K279" s="5">
        <v>152.19999999999999</v>
      </c>
      <c r="L279" s="5">
        <v>118.1</v>
      </c>
      <c r="M279" s="5">
        <v>161.30000000000001</v>
      </c>
      <c r="N279" s="5">
        <v>139.19999999999999</v>
      </c>
      <c r="O279" s="5">
        <v>164.8</v>
      </c>
      <c r="P279" s="5">
        <v>164.4</v>
      </c>
      <c r="Q279" s="5">
        <v>188.7</v>
      </c>
      <c r="R279" s="5">
        <v>150.5</v>
      </c>
      <c r="S279" s="5">
        <v>136.1</v>
      </c>
      <c r="T279" s="5">
        <v>148.30000000000001</v>
      </c>
      <c r="U279" s="5">
        <v>156.5</v>
      </c>
      <c r="V279" s="5">
        <v>137.1</v>
      </c>
      <c r="W279" s="5">
        <v>145.1</v>
      </c>
      <c r="X279" s="5">
        <v>151</v>
      </c>
      <c r="Y279" s="5">
        <v>135.4</v>
      </c>
      <c r="Z279" s="5">
        <v>142</v>
      </c>
      <c r="AA279" s="5">
        <v>155.69999999999999</v>
      </c>
      <c r="AB279" s="5">
        <v>158.1</v>
      </c>
      <c r="AC279" s="5">
        <v>146.19999999999999</v>
      </c>
      <c r="AD279" s="6">
        <v>155.19999999999999</v>
      </c>
    </row>
    <row r="280" spans="1:30">
      <c r="A280" s="4" t="s">
        <v>69</v>
      </c>
      <c r="B280" s="5">
        <v>2020</v>
      </c>
      <c r="C280" s="5" t="s">
        <v>78</v>
      </c>
      <c r="D280" s="5">
        <v>147.5</v>
      </c>
      <c r="E280" s="5">
        <v>188.9</v>
      </c>
      <c r="F280" s="5">
        <v>161.4</v>
      </c>
      <c r="G280" s="5">
        <v>153.6</v>
      </c>
      <c r="H280" s="5">
        <v>140.1</v>
      </c>
      <c r="I280" s="5">
        <v>151.19999999999999</v>
      </c>
      <c r="J280" s="5">
        <v>209.2</v>
      </c>
      <c r="K280" s="5">
        <v>150.9</v>
      </c>
      <c r="L280" s="5">
        <v>116.2</v>
      </c>
      <c r="M280" s="5">
        <v>161</v>
      </c>
      <c r="N280" s="5">
        <v>144</v>
      </c>
      <c r="O280" s="5">
        <v>163.19999999999999</v>
      </c>
      <c r="P280" s="5">
        <v>161.4</v>
      </c>
      <c r="Q280" s="5">
        <v>184.3</v>
      </c>
      <c r="R280" s="5">
        <v>153.69999999999999</v>
      </c>
      <c r="S280" s="5">
        <v>144.6</v>
      </c>
      <c r="T280" s="5">
        <v>152.30000000000001</v>
      </c>
      <c r="U280" s="5">
        <v>156.5</v>
      </c>
      <c r="V280" s="5">
        <v>143.1</v>
      </c>
      <c r="W280" s="5">
        <v>148.69999999999999</v>
      </c>
      <c r="X280" s="5">
        <v>156.30000000000001</v>
      </c>
      <c r="Y280" s="5">
        <v>140.6</v>
      </c>
      <c r="Z280" s="5">
        <v>146.5</v>
      </c>
      <c r="AA280" s="5">
        <v>158.5</v>
      </c>
      <c r="AB280" s="5">
        <v>157</v>
      </c>
      <c r="AC280" s="5">
        <v>150.4</v>
      </c>
      <c r="AD280" s="6">
        <v>156.4</v>
      </c>
    </row>
    <row r="281" spans="1:30">
      <c r="A281" s="4" t="s">
        <v>65</v>
      </c>
      <c r="B281" s="5">
        <v>2020</v>
      </c>
      <c r="C281" s="5" t="s">
        <v>79</v>
      </c>
      <c r="D281" s="5">
        <v>145.4</v>
      </c>
      <c r="E281" s="5">
        <v>188.6</v>
      </c>
      <c r="F281" s="5">
        <v>171.6</v>
      </c>
      <c r="G281" s="5">
        <v>153.80000000000001</v>
      </c>
      <c r="H281" s="5">
        <v>145.4</v>
      </c>
      <c r="I281" s="5">
        <v>146.5</v>
      </c>
      <c r="J281" s="5">
        <v>222.2</v>
      </c>
      <c r="K281" s="5">
        <v>155.9</v>
      </c>
      <c r="L281" s="5">
        <v>114.9</v>
      </c>
      <c r="M281" s="5">
        <v>162</v>
      </c>
      <c r="N281" s="5">
        <v>150</v>
      </c>
      <c r="O281" s="5">
        <v>162.69999999999999</v>
      </c>
      <c r="P281" s="5">
        <v>163.4</v>
      </c>
      <c r="Q281" s="5">
        <v>183.4</v>
      </c>
      <c r="R281" s="5">
        <v>156.30000000000001</v>
      </c>
      <c r="S281" s="5">
        <v>151</v>
      </c>
      <c r="T281" s="5">
        <v>155.5</v>
      </c>
      <c r="U281" s="5" t="s">
        <v>67</v>
      </c>
      <c r="V281" s="5">
        <v>147.5</v>
      </c>
      <c r="W281" s="5">
        <v>152.80000000000001</v>
      </c>
      <c r="X281" s="5">
        <v>160.4</v>
      </c>
      <c r="Y281" s="5">
        <v>146.1</v>
      </c>
      <c r="Z281" s="5">
        <v>153.6</v>
      </c>
      <c r="AA281" s="5">
        <v>161.6</v>
      </c>
      <c r="AB281" s="5">
        <v>156.19999999999999</v>
      </c>
      <c r="AC281" s="5">
        <v>154.5</v>
      </c>
      <c r="AD281" s="6">
        <v>159.80000000000001</v>
      </c>
    </row>
    <row r="282" spans="1:30">
      <c r="A282" s="4" t="s">
        <v>68</v>
      </c>
      <c r="B282" s="5">
        <v>2020</v>
      </c>
      <c r="C282" s="5" t="s">
        <v>79</v>
      </c>
      <c r="D282" s="5">
        <v>149.69999999999999</v>
      </c>
      <c r="E282" s="5">
        <v>195.5</v>
      </c>
      <c r="F282" s="5">
        <v>176.9</v>
      </c>
      <c r="G282" s="5">
        <v>153.9</v>
      </c>
      <c r="H282" s="5">
        <v>138</v>
      </c>
      <c r="I282" s="5">
        <v>150.5</v>
      </c>
      <c r="J282" s="5">
        <v>245.3</v>
      </c>
      <c r="K282" s="5">
        <v>158.69999999999999</v>
      </c>
      <c r="L282" s="5">
        <v>117.2</v>
      </c>
      <c r="M282" s="5">
        <v>161.4</v>
      </c>
      <c r="N282" s="5">
        <v>141.5</v>
      </c>
      <c r="O282" s="5">
        <v>165.1</v>
      </c>
      <c r="P282" s="5">
        <v>167</v>
      </c>
      <c r="Q282" s="5">
        <v>188.8</v>
      </c>
      <c r="R282" s="5">
        <v>151.1</v>
      </c>
      <c r="S282" s="5">
        <v>136.4</v>
      </c>
      <c r="T282" s="5">
        <v>148.80000000000001</v>
      </c>
      <c r="U282" s="5">
        <v>158</v>
      </c>
      <c r="V282" s="5">
        <v>137.30000000000001</v>
      </c>
      <c r="W282" s="5">
        <v>145.1</v>
      </c>
      <c r="X282" s="5">
        <v>152</v>
      </c>
      <c r="Y282" s="5">
        <v>135.19999999999999</v>
      </c>
      <c r="Z282" s="5">
        <v>144.4</v>
      </c>
      <c r="AA282" s="5">
        <v>156.4</v>
      </c>
      <c r="AB282" s="5">
        <v>157.9</v>
      </c>
      <c r="AC282" s="5">
        <v>146.6</v>
      </c>
      <c r="AD282" s="6">
        <v>156.69999999999999</v>
      </c>
    </row>
    <row r="283" spans="1:30">
      <c r="A283" s="4" t="s">
        <v>69</v>
      </c>
      <c r="B283" s="5">
        <v>2020</v>
      </c>
      <c r="C283" s="5" t="s">
        <v>79</v>
      </c>
      <c r="D283" s="5">
        <v>146.80000000000001</v>
      </c>
      <c r="E283" s="5">
        <v>191</v>
      </c>
      <c r="F283" s="5">
        <v>173.6</v>
      </c>
      <c r="G283" s="5">
        <v>153.80000000000001</v>
      </c>
      <c r="H283" s="5">
        <v>142.69999999999999</v>
      </c>
      <c r="I283" s="5">
        <v>148.4</v>
      </c>
      <c r="J283" s="5">
        <v>230</v>
      </c>
      <c r="K283" s="5">
        <v>156.80000000000001</v>
      </c>
      <c r="L283" s="5">
        <v>115.7</v>
      </c>
      <c r="M283" s="5">
        <v>161.80000000000001</v>
      </c>
      <c r="N283" s="5">
        <v>146.5</v>
      </c>
      <c r="O283" s="5">
        <v>163.80000000000001</v>
      </c>
      <c r="P283" s="5">
        <v>164.7</v>
      </c>
      <c r="Q283" s="5">
        <v>184.8</v>
      </c>
      <c r="R283" s="5">
        <v>154.30000000000001</v>
      </c>
      <c r="S283" s="5">
        <v>144.9</v>
      </c>
      <c r="T283" s="5">
        <v>152.80000000000001</v>
      </c>
      <c r="U283" s="5">
        <v>158</v>
      </c>
      <c r="V283" s="5">
        <v>143.6</v>
      </c>
      <c r="W283" s="5">
        <v>149.19999999999999</v>
      </c>
      <c r="X283" s="5">
        <v>157.19999999999999</v>
      </c>
      <c r="Y283" s="5">
        <v>140.4</v>
      </c>
      <c r="Z283" s="5">
        <v>148.4</v>
      </c>
      <c r="AA283" s="5">
        <v>158.6</v>
      </c>
      <c r="AB283" s="5">
        <v>156.9</v>
      </c>
      <c r="AC283" s="5">
        <v>150.69999999999999</v>
      </c>
      <c r="AD283" s="6">
        <v>158.4</v>
      </c>
    </row>
    <row r="284" spans="1:30">
      <c r="A284" s="4" t="s">
        <v>65</v>
      </c>
      <c r="B284" s="5">
        <v>2020</v>
      </c>
      <c r="C284" s="5" t="s">
        <v>80</v>
      </c>
      <c r="D284" s="5">
        <v>144.6</v>
      </c>
      <c r="E284" s="5">
        <v>188.5</v>
      </c>
      <c r="F284" s="5">
        <v>173.4</v>
      </c>
      <c r="G284" s="5">
        <v>154</v>
      </c>
      <c r="H284" s="5">
        <v>150</v>
      </c>
      <c r="I284" s="5">
        <v>145.9</v>
      </c>
      <c r="J284" s="5">
        <v>225.2</v>
      </c>
      <c r="K284" s="5">
        <v>159.5</v>
      </c>
      <c r="L284" s="5">
        <v>114.4</v>
      </c>
      <c r="M284" s="5">
        <v>163.5</v>
      </c>
      <c r="N284" s="5">
        <v>153.4</v>
      </c>
      <c r="O284" s="5">
        <v>163.6</v>
      </c>
      <c r="P284" s="5">
        <v>164.5</v>
      </c>
      <c r="Q284" s="5">
        <v>183.6</v>
      </c>
      <c r="R284" s="5">
        <v>157</v>
      </c>
      <c r="S284" s="5">
        <v>151.6</v>
      </c>
      <c r="T284" s="5">
        <v>156.30000000000001</v>
      </c>
      <c r="U284" s="5" t="s">
        <v>67</v>
      </c>
      <c r="V284" s="5">
        <v>148.69999999999999</v>
      </c>
      <c r="W284" s="5">
        <v>153.4</v>
      </c>
      <c r="X284" s="5">
        <v>161.6</v>
      </c>
      <c r="Y284" s="5">
        <v>146.4</v>
      </c>
      <c r="Z284" s="5">
        <v>153.9</v>
      </c>
      <c r="AA284" s="5">
        <v>162.9</v>
      </c>
      <c r="AB284" s="5">
        <v>156.6</v>
      </c>
      <c r="AC284" s="5">
        <v>155.19999999999999</v>
      </c>
      <c r="AD284" s="6">
        <v>160.69999999999999</v>
      </c>
    </row>
    <row r="285" spans="1:30">
      <c r="A285" s="4" t="s">
        <v>68</v>
      </c>
      <c r="B285" s="5">
        <v>2020</v>
      </c>
      <c r="C285" s="5" t="s">
        <v>80</v>
      </c>
      <c r="D285" s="5">
        <v>149</v>
      </c>
      <c r="E285" s="5">
        <v>195.7</v>
      </c>
      <c r="F285" s="5">
        <v>178.3</v>
      </c>
      <c r="G285" s="5">
        <v>154.19999999999999</v>
      </c>
      <c r="H285" s="5">
        <v>140.69999999999999</v>
      </c>
      <c r="I285" s="5">
        <v>149.69999999999999</v>
      </c>
      <c r="J285" s="5">
        <v>240.9</v>
      </c>
      <c r="K285" s="5">
        <v>161.5</v>
      </c>
      <c r="L285" s="5">
        <v>117.1</v>
      </c>
      <c r="M285" s="5">
        <v>161.9</v>
      </c>
      <c r="N285" s="5">
        <v>143.30000000000001</v>
      </c>
      <c r="O285" s="5">
        <v>166.1</v>
      </c>
      <c r="P285" s="5">
        <v>167</v>
      </c>
      <c r="Q285" s="5">
        <v>190.2</v>
      </c>
      <c r="R285" s="5">
        <v>151.9</v>
      </c>
      <c r="S285" s="5">
        <v>136.69999999999999</v>
      </c>
      <c r="T285" s="5">
        <v>149.6</v>
      </c>
      <c r="U285" s="5">
        <v>158.4</v>
      </c>
      <c r="V285" s="5">
        <v>137.9</v>
      </c>
      <c r="W285" s="5">
        <v>145.5</v>
      </c>
      <c r="X285" s="5">
        <v>152.9</v>
      </c>
      <c r="Y285" s="5">
        <v>135.5</v>
      </c>
      <c r="Z285" s="5">
        <v>144.30000000000001</v>
      </c>
      <c r="AA285" s="5">
        <v>156.9</v>
      </c>
      <c r="AB285" s="5">
        <v>157.9</v>
      </c>
      <c r="AC285" s="5">
        <v>146.9</v>
      </c>
      <c r="AD285" s="6">
        <v>156.9</v>
      </c>
    </row>
    <row r="286" spans="1:30">
      <c r="A286" s="4" t="s">
        <v>69</v>
      </c>
      <c r="B286" s="5">
        <v>2020</v>
      </c>
      <c r="C286" s="5" t="s">
        <v>80</v>
      </c>
      <c r="D286" s="5">
        <v>146</v>
      </c>
      <c r="E286" s="5">
        <v>191</v>
      </c>
      <c r="F286" s="5">
        <v>175.3</v>
      </c>
      <c r="G286" s="5">
        <v>154.1</v>
      </c>
      <c r="H286" s="5">
        <v>146.6</v>
      </c>
      <c r="I286" s="5">
        <v>147.69999999999999</v>
      </c>
      <c r="J286" s="5">
        <v>230.5</v>
      </c>
      <c r="K286" s="5">
        <v>160.19999999999999</v>
      </c>
      <c r="L286" s="5">
        <v>115.3</v>
      </c>
      <c r="M286" s="5">
        <v>163</v>
      </c>
      <c r="N286" s="5">
        <v>149.19999999999999</v>
      </c>
      <c r="O286" s="5">
        <v>164.8</v>
      </c>
      <c r="P286" s="5">
        <v>165.4</v>
      </c>
      <c r="Q286" s="5">
        <v>185.4</v>
      </c>
      <c r="R286" s="5">
        <v>155</v>
      </c>
      <c r="S286" s="5">
        <v>145.4</v>
      </c>
      <c r="T286" s="5">
        <v>153.6</v>
      </c>
      <c r="U286" s="5">
        <v>158.4</v>
      </c>
      <c r="V286" s="5">
        <v>144.6</v>
      </c>
      <c r="W286" s="5">
        <v>149.69999999999999</v>
      </c>
      <c r="X286" s="5">
        <v>158.30000000000001</v>
      </c>
      <c r="Y286" s="5">
        <v>140.69999999999999</v>
      </c>
      <c r="Z286" s="5">
        <v>148.5</v>
      </c>
      <c r="AA286" s="5">
        <v>159.4</v>
      </c>
      <c r="AB286" s="5">
        <v>157.1</v>
      </c>
      <c r="AC286" s="5">
        <v>151.19999999999999</v>
      </c>
      <c r="AD286" s="6">
        <v>158.9</v>
      </c>
    </row>
    <row r="287" spans="1:30">
      <c r="A287" s="4" t="s">
        <v>65</v>
      </c>
      <c r="B287" s="5">
        <v>2021</v>
      </c>
      <c r="C287" s="5" t="s">
        <v>66</v>
      </c>
      <c r="D287" s="5">
        <v>143.4</v>
      </c>
      <c r="E287" s="5">
        <v>187.5</v>
      </c>
      <c r="F287" s="5">
        <v>173.4</v>
      </c>
      <c r="G287" s="5">
        <v>154</v>
      </c>
      <c r="H287" s="5">
        <v>154.80000000000001</v>
      </c>
      <c r="I287" s="5">
        <v>147</v>
      </c>
      <c r="J287" s="5">
        <v>187.8</v>
      </c>
      <c r="K287" s="5">
        <v>159.5</v>
      </c>
      <c r="L287" s="5">
        <v>113.8</v>
      </c>
      <c r="M287" s="5">
        <v>164.5</v>
      </c>
      <c r="N287" s="5">
        <v>156.1</v>
      </c>
      <c r="O287" s="5">
        <v>164.3</v>
      </c>
      <c r="P287" s="5">
        <v>159.6</v>
      </c>
      <c r="Q287" s="5">
        <v>184.6</v>
      </c>
      <c r="R287" s="5">
        <v>157.5</v>
      </c>
      <c r="S287" s="5">
        <v>152.4</v>
      </c>
      <c r="T287" s="5">
        <v>156.80000000000001</v>
      </c>
      <c r="U287" s="5" t="s">
        <v>67</v>
      </c>
      <c r="V287" s="5">
        <v>150.9</v>
      </c>
      <c r="W287" s="5">
        <v>153.9</v>
      </c>
      <c r="X287" s="5">
        <v>162.5</v>
      </c>
      <c r="Y287" s="5">
        <v>147.5</v>
      </c>
      <c r="Z287" s="5">
        <v>155.1</v>
      </c>
      <c r="AA287" s="5">
        <v>163.5</v>
      </c>
      <c r="AB287" s="5">
        <v>156.19999999999999</v>
      </c>
      <c r="AC287" s="5">
        <v>155.9</v>
      </c>
      <c r="AD287" s="6">
        <v>158.5</v>
      </c>
    </row>
    <row r="288" spans="1:30">
      <c r="A288" s="4" t="s">
        <v>68</v>
      </c>
      <c r="B288" s="5">
        <v>2021</v>
      </c>
      <c r="C288" s="5" t="s">
        <v>66</v>
      </c>
      <c r="D288" s="5">
        <v>148</v>
      </c>
      <c r="E288" s="5">
        <v>194.8</v>
      </c>
      <c r="F288" s="5">
        <v>178.4</v>
      </c>
      <c r="G288" s="5">
        <v>154.4</v>
      </c>
      <c r="H288" s="5">
        <v>144.1</v>
      </c>
      <c r="I288" s="5">
        <v>152.6</v>
      </c>
      <c r="J288" s="5">
        <v>206.8</v>
      </c>
      <c r="K288" s="5">
        <v>162.1</v>
      </c>
      <c r="L288" s="5">
        <v>116.3</v>
      </c>
      <c r="M288" s="5">
        <v>163</v>
      </c>
      <c r="N288" s="5">
        <v>145.9</v>
      </c>
      <c r="O288" s="5">
        <v>167.2</v>
      </c>
      <c r="P288" s="5">
        <v>163.4</v>
      </c>
      <c r="Q288" s="5">
        <v>191.8</v>
      </c>
      <c r="R288" s="5">
        <v>152.5</v>
      </c>
      <c r="S288" s="5">
        <v>137.30000000000001</v>
      </c>
      <c r="T288" s="5">
        <v>150.19999999999999</v>
      </c>
      <c r="U288" s="5">
        <v>157.69999999999999</v>
      </c>
      <c r="V288" s="5">
        <v>142.9</v>
      </c>
      <c r="W288" s="5">
        <v>145.69999999999999</v>
      </c>
      <c r="X288" s="5">
        <v>154.1</v>
      </c>
      <c r="Y288" s="5">
        <v>136.9</v>
      </c>
      <c r="Z288" s="5">
        <v>145.4</v>
      </c>
      <c r="AA288" s="5">
        <v>156.1</v>
      </c>
      <c r="AB288" s="5">
        <v>157.69999999999999</v>
      </c>
      <c r="AC288" s="5">
        <v>147.6</v>
      </c>
      <c r="AD288" s="6">
        <v>156</v>
      </c>
    </row>
    <row r="289" spans="1:30">
      <c r="A289" s="4" t="s">
        <v>69</v>
      </c>
      <c r="B289" s="5">
        <v>2021</v>
      </c>
      <c r="C289" s="5" t="s">
        <v>66</v>
      </c>
      <c r="D289" s="5">
        <v>144.9</v>
      </c>
      <c r="E289" s="5">
        <v>190.1</v>
      </c>
      <c r="F289" s="5">
        <v>175.3</v>
      </c>
      <c r="G289" s="5">
        <v>154.1</v>
      </c>
      <c r="H289" s="5">
        <v>150.9</v>
      </c>
      <c r="I289" s="5">
        <v>149.6</v>
      </c>
      <c r="J289" s="5">
        <v>194.2</v>
      </c>
      <c r="K289" s="5">
        <v>160.4</v>
      </c>
      <c r="L289" s="5">
        <v>114.6</v>
      </c>
      <c r="M289" s="5">
        <v>164</v>
      </c>
      <c r="N289" s="5">
        <v>151.80000000000001</v>
      </c>
      <c r="O289" s="5">
        <v>165.6</v>
      </c>
      <c r="P289" s="5">
        <v>161</v>
      </c>
      <c r="Q289" s="5">
        <v>186.5</v>
      </c>
      <c r="R289" s="5">
        <v>155.5</v>
      </c>
      <c r="S289" s="5">
        <v>146.1</v>
      </c>
      <c r="T289" s="5">
        <v>154.19999999999999</v>
      </c>
      <c r="U289" s="5">
        <v>157.69999999999999</v>
      </c>
      <c r="V289" s="5">
        <v>147.9</v>
      </c>
      <c r="W289" s="5">
        <v>150</v>
      </c>
      <c r="X289" s="5">
        <v>159.30000000000001</v>
      </c>
      <c r="Y289" s="5">
        <v>141.9</v>
      </c>
      <c r="Z289" s="5">
        <v>149.6</v>
      </c>
      <c r="AA289" s="5">
        <v>159.19999999999999</v>
      </c>
      <c r="AB289" s="5">
        <v>156.80000000000001</v>
      </c>
      <c r="AC289" s="5">
        <v>151.9</v>
      </c>
      <c r="AD289" s="6">
        <v>157.30000000000001</v>
      </c>
    </row>
    <row r="290" spans="1:30">
      <c r="A290" s="4" t="s">
        <v>65</v>
      </c>
      <c r="B290" s="5">
        <v>2021</v>
      </c>
      <c r="C290" s="5" t="s">
        <v>70</v>
      </c>
      <c r="D290" s="5">
        <v>142.80000000000001</v>
      </c>
      <c r="E290" s="5">
        <v>184</v>
      </c>
      <c r="F290" s="5">
        <v>168</v>
      </c>
      <c r="G290" s="5">
        <v>154.4</v>
      </c>
      <c r="H290" s="5">
        <v>163</v>
      </c>
      <c r="I290" s="5">
        <v>147.80000000000001</v>
      </c>
      <c r="J290" s="5">
        <v>149.69999999999999</v>
      </c>
      <c r="K290" s="5">
        <v>158.30000000000001</v>
      </c>
      <c r="L290" s="5">
        <v>111.8</v>
      </c>
      <c r="M290" s="5">
        <v>165</v>
      </c>
      <c r="N290" s="5">
        <v>160</v>
      </c>
      <c r="O290" s="5">
        <v>165.8</v>
      </c>
      <c r="P290" s="5">
        <v>154.69999999999999</v>
      </c>
      <c r="Q290" s="5">
        <v>186.5</v>
      </c>
      <c r="R290" s="5">
        <v>159.1</v>
      </c>
      <c r="S290" s="5">
        <v>153.9</v>
      </c>
      <c r="T290" s="5">
        <v>158.4</v>
      </c>
      <c r="U290" s="5" t="s">
        <v>67</v>
      </c>
      <c r="V290" s="5">
        <v>154.4</v>
      </c>
      <c r="W290" s="5">
        <v>154.80000000000001</v>
      </c>
      <c r="X290" s="5">
        <v>164.3</v>
      </c>
      <c r="Y290" s="5">
        <v>150.19999999999999</v>
      </c>
      <c r="Z290" s="5">
        <v>157</v>
      </c>
      <c r="AA290" s="5">
        <v>163.6</v>
      </c>
      <c r="AB290" s="5">
        <v>155.19999999999999</v>
      </c>
      <c r="AC290" s="5">
        <v>157.19999999999999</v>
      </c>
      <c r="AD290" s="6">
        <v>156.69999999999999</v>
      </c>
    </row>
    <row r="291" spans="1:30">
      <c r="A291" s="4" t="s">
        <v>68</v>
      </c>
      <c r="B291" s="5">
        <v>2021</v>
      </c>
      <c r="C291" s="5" t="s">
        <v>70</v>
      </c>
      <c r="D291" s="5">
        <v>147.6</v>
      </c>
      <c r="E291" s="5">
        <v>191.2</v>
      </c>
      <c r="F291" s="5">
        <v>169.9</v>
      </c>
      <c r="G291" s="5">
        <v>155.1</v>
      </c>
      <c r="H291" s="5">
        <v>151.4</v>
      </c>
      <c r="I291" s="5">
        <v>154</v>
      </c>
      <c r="J291" s="5">
        <v>180.2</v>
      </c>
      <c r="K291" s="5">
        <v>159.80000000000001</v>
      </c>
      <c r="L291" s="5">
        <v>114.9</v>
      </c>
      <c r="M291" s="5">
        <v>162.5</v>
      </c>
      <c r="N291" s="5">
        <v>149.19999999999999</v>
      </c>
      <c r="O291" s="5">
        <v>169.4</v>
      </c>
      <c r="P291" s="5">
        <v>160.80000000000001</v>
      </c>
      <c r="Q291" s="5">
        <v>193.3</v>
      </c>
      <c r="R291" s="5">
        <v>154.19999999999999</v>
      </c>
      <c r="S291" s="5">
        <v>138.19999999999999</v>
      </c>
      <c r="T291" s="5">
        <v>151.80000000000001</v>
      </c>
      <c r="U291" s="5">
        <v>159.80000000000001</v>
      </c>
      <c r="V291" s="5">
        <v>149.1</v>
      </c>
      <c r="W291" s="5">
        <v>146.5</v>
      </c>
      <c r="X291" s="5">
        <v>156.30000000000001</v>
      </c>
      <c r="Y291" s="5">
        <v>140.5</v>
      </c>
      <c r="Z291" s="5">
        <v>147.30000000000001</v>
      </c>
      <c r="AA291" s="5">
        <v>156.6</v>
      </c>
      <c r="AB291" s="5">
        <v>156.69999999999999</v>
      </c>
      <c r="AC291" s="5">
        <v>149.30000000000001</v>
      </c>
      <c r="AD291" s="6">
        <v>156.5</v>
      </c>
    </row>
    <row r="292" spans="1:30">
      <c r="A292" s="4" t="s">
        <v>69</v>
      </c>
      <c r="B292" s="5">
        <v>2021</v>
      </c>
      <c r="C292" s="5" t="s">
        <v>70</v>
      </c>
      <c r="D292" s="5">
        <v>144.30000000000001</v>
      </c>
      <c r="E292" s="5">
        <v>186.5</v>
      </c>
      <c r="F292" s="5">
        <v>168.7</v>
      </c>
      <c r="G292" s="5">
        <v>154.69999999999999</v>
      </c>
      <c r="H292" s="5">
        <v>158.69999999999999</v>
      </c>
      <c r="I292" s="5">
        <v>150.69999999999999</v>
      </c>
      <c r="J292" s="5">
        <v>160</v>
      </c>
      <c r="K292" s="5">
        <v>158.80000000000001</v>
      </c>
      <c r="L292" s="5">
        <v>112.8</v>
      </c>
      <c r="M292" s="5">
        <v>164.2</v>
      </c>
      <c r="N292" s="5">
        <v>155.5</v>
      </c>
      <c r="O292" s="5">
        <v>167.5</v>
      </c>
      <c r="P292" s="5">
        <v>156.9</v>
      </c>
      <c r="Q292" s="5">
        <v>188.3</v>
      </c>
      <c r="R292" s="5">
        <v>157.19999999999999</v>
      </c>
      <c r="S292" s="5">
        <v>147.4</v>
      </c>
      <c r="T292" s="5">
        <v>155.80000000000001</v>
      </c>
      <c r="U292" s="5">
        <v>159.80000000000001</v>
      </c>
      <c r="V292" s="5">
        <v>152.4</v>
      </c>
      <c r="W292" s="5">
        <v>150.9</v>
      </c>
      <c r="X292" s="5">
        <v>161.30000000000001</v>
      </c>
      <c r="Y292" s="5">
        <v>145.1</v>
      </c>
      <c r="Z292" s="5">
        <v>151.5</v>
      </c>
      <c r="AA292" s="5">
        <v>159.5</v>
      </c>
      <c r="AB292" s="5">
        <v>155.80000000000001</v>
      </c>
      <c r="AC292" s="5">
        <v>153.4</v>
      </c>
      <c r="AD292" s="6">
        <v>156.6</v>
      </c>
    </row>
    <row r="293" spans="1:30">
      <c r="A293" s="4" t="s">
        <v>65</v>
      </c>
      <c r="B293" s="5">
        <v>2021</v>
      </c>
      <c r="C293" s="5" t="s">
        <v>71</v>
      </c>
      <c r="D293" s="5">
        <v>142.5</v>
      </c>
      <c r="E293" s="5">
        <v>189.4</v>
      </c>
      <c r="F293" s="5">
        <v>163.19999999999999</v>
      </c>
      <c r="G293" s="5">
        <v>154.5</v>
      </c>
      <c r="H293" s="5">
        <v>168.2</v>
      </c>
      <c r="I293" s="5">
        <v>150.5</v>
      </c>
      <c r="J293" s="5">
        <v>141</v>
      </c>
      <c r="K293" s="5">
        <v>159.19999999999999</v>
      </c>
      <c r="L293" s="5">
        <v>111.7</v>
      </c>
      <c r="M293" s="5">
        <v>164</v>
      </c>
      <c r="N293" s="5">
        <v>160.6</v>
      </c>
      <c r="O293" s="5">
        <v>166.4</v>
      </c>
      <c r="P293" s="5">
        <v>154.5</v>
      </c>
      <c r="Q293" s="5">
        <v>186.1</v>
      </c>
      <c r="R293" s="5">
        <v>159.6</v>
      </c>
      <c r="S293" s="5">
        <v>154.4</v>
      </c>
      <c r="T293" s="5">
        <v>158.9</v>
      </c>
      <c r="U293" s="7" t="s">
        <v>82</v>
      </c>
      <c r="V293" s="5">
        <v>156</v>
      </c>
      <c r="W293" s="5">
        <v>154.80000000000001</v>
      </c>
      <c r="X293" s="5">
        <v>164.6</v>
      </c>
      <c r="Y293" s="5">
        <v>151.30000000000001</v>
      </c>
      <c r="Z293" s="5">
        <v>157.80000000000001</v>
      </c>
      <c r="AA293" s="5">
        <v>163.80000000000001</v>
      </c>
      <c r="AB293" s="5">
        <v>153.1</v>
      </c>
      <c r="AC293" s="5">
        <v>157.30000000000001</v>
      </c>
      <c r="AD293" s="6">
        <v>156.69999999999999</v>
      </c>
    </row>
    <row r="294" spans="1:30">
      <c r="A294" s="4" t="s">
        <v>68</v>
      </c>
      <c r="B294" s="5">
        <v>2021</v>
      </c>
      <c r="C294" s="5" t="s">
        <v>71</v>
      </c>
      <c r="D294" s="5">
        <v>147.5</v>
      </c>
      <c r="E294" s="5">
        <v>197.5</v>
      </c>
      <c r="F294" s="5">
        <v>164.7</v>
      </c>
      <c r="G294" s="5">
        <v>155.6</v>
      </c>
      <c r="H294" s="5">
        <v>156.4</v>
      </c>
      <c r="I294" s="5">
        <v>157.30000000000001</v>
      </c>
      <c r="J294" s="5">
        <v>166.1</v>
      </c>
      <c r="K294" s="5">
        <v>161.1</v>
      </c>
      <c r="L294" s="5">
        <v>114.3</v>
      </c>
      <c r="M294" s="5">
        <v>162.6</v>
      </c>
      <c r="N294" s="5">
        <v>150.69999999999999</v>
      </c>
      <c r="O294" s="5">
        <v>170.3</v>
      </c>
      <c r="P294" s="5">
        <v>160.4</v>
      </c>
      <c r="Q294" s="5">
        <v>193.5</v>
      </c>
      <c r="R294" s="5">
        <v>155.1</v>
      </c>
      <c r="S294" s="5">
        <v>138.69999999999999</v>
      </c>
      <c r="T294" s="5">
        <v>152.6</v>
      </c>
      <c r="U294" s="5">
        <v>159.9</v>
      </c>
      <c r="V294" s="5">
        <v>154.80000000000001</v>
      </c>
      <c r="W294" s="5">
        <v>147.19999999999999</v>
      </c>
      <c r="X294" s="5">
        <v>156.9</v>
      </c>
      <c r="Y294" s="5">
        <v>141.69999999999999</v>
      </c>
      <c r="Z294" s="5">
        <v>148.6</v>
      </c>
      <c r="AA294" s="5">
        <v>157.6</v>
      </c>
      <c r="AB294" s="5">
        <v>154.9</v>
      </c>
      <c r="AC294" s="5">
        <v>150</v>
      </c>
      <c r="AD294" s="6">
        <v>156.9</v>
      </c>
    </row>
    <row r="295" spans="1:30">
      <c r="A295" s="4" t="s">
        <v>69</v>
      </c>
      <c r="B295" s="5">
        <v>2021</v>
      </c>
      <c r="C295" s="5" t="s">
        <v>71</v>
      </c>
      <c r="D295" s="5">
        <v>144.1</v>
      </c>
      <c r="E295" s="5">
        <v>192.2</v>
      </c>
      <c r="F295" s="5">
        <v>163.80000000000001</v>
      </c>
      <c r="G295" s="5">
        <v>154.9</v>
      </c>
      <c r="H295" s="5">
        <v>163.9</v>
      </c>
      <c r="I295" s="5">
        <v>153.69999999999999</v>
      </c>
      <c r="J295" s="5">
        <v>149.5</v>
      </c>
      <c r="K295" s="5">
        <v>159.80000000000001</v>
      </c>
      <c r="L295" s="5">
        <v>112.6</v>
      </c>
      <c r="M295" s="5">
        <v>163.5</v>
      </c>
      <c r="N295" s="5">
        <v>156.5</v>
      </c>
      <c r="O295" s="5">
        <v>168.2</v>
      </c>
      <c r="P295" s="5">
        <v>156.69999999999999</v>
      </c>
      <c r="Q295" s="5">
        <v>188.1</v>
      </c>
      <c r="R295" s="5">
        <v>157.80000000000001</v>
      </c>
      <c r="S295" s="5">
        <v>147.9</v>
      </c>
      <c r="T295" s="5">
        <v>156.4</v>
      </c>
      <c r="U295" s="5">
        <v>159.9</v>
      </c>
      <c r="V295" s="5">
        <v>155.5</v>
      </c>
      <c r="W295" s="5">
        <v>151.19999999999999</v>
      </c>
      <c r="X295" s="5">
        <v>161.69999999999999</v>
      </c>
      <c r="Y295" s="5">
        <v>146.19999999999999</v>
      </c>
      <c r="Z295" s="5">
        <v>152.6</v>
      </c>
      <c r="AA295" s="5">
        <v>160.19999999999999</v>
      </c>
      <c r="AB295" s="5">
        <v>153.80000000000001</v>
      </c>
      <c r="AC295" s="5">
        <v>153.80000000000001</v>
      </c>
      <c r="AD295" s="6">
        <v>156.80000000000001</v>
      </c>
    </row>
    <row r="296" spans="1:30">
      <c r="A296" s="4" t="s">
        <v>65</v>
      </c>
      <c r="B296" s="5">
        <v>2021</v>
      </c>
      <c r="C296" s="5" t="s">
        <v>72</v>
      </c>
      <c r="D296" s="5">
        <v>142.69999999999999</v>
      </c>
      <c r="E296" s="5">
        <v>195.5</v>
      </c>
      <c r="F296" s="5">
        <v>163.4</v>
      </c>
      <c r="G296" s="5">
        <v>155</v>
      </c>
      <c r="H296" s="5">
        <v>175.2</v>
      </c>
      <c r="I296" s="5">
        <v>160.6</v>
      </c>
      <c r="J296" s="5">
        <v>135.1</v>
      </c>
      <c r="K296" s="5">
        <v>161.1</v>
      </c>
      <c r="L296" s="5">
        <v>112.2</v>
      </c>
      <c r="M296" s="5">
        <v>164.4</v>
      </c>
      <c r="N296" s="5">
        <v>161.9</v>
      </c>
      <c r="O296" s="5">
        <v>166.8</v>
      </c>
      <c r="P296" s="5">
        <v>155.6</v>
      </c>
      <c r="Q296" s="5">
        <v>186.8</v>
      </c>
      <c r="R296" s="5">
        <v>160.69999999999999</v>
      </c>
      <c r="S296" s="5">
        <v>155.1</v>
      </c>
      <c r="T296" s="5">
        <v>159.9</v>
      </c>
      <c r="U296" s="7" t="s">
        <v>82</v>
      </c>
      <c r="V296" s="5">
        <v>156</v>
      </c>
      <c r="W296" s="5">
        <v>155.5</v>
      </c>
      <c r="X296" s="5">
        <v>165.3</v>
      </c>
      <c r="Y296" s="5">
        <v>151.69999999999999</v>
      </c>
      <c r="Z296" s="5">
        <v>158.6</v>
      </c>
      <c r="AA296" s="5">
        <v>164.1</v>
      </c>
      <c r="AB296" s="5">
        <v>154.6</v>
      </c>
      <c r="AC296" s="5">
        <v>158</v>
      </c>
      <c r="AD296" s="6">
        <v>157.6</v>
      </c>
    </row>
    <row r="297" spans="1:30">
      <c r="A297" s="4" t="s">
        <v>68</v>
      </c>
      <c r="B297" s="5">
        <v>2021</v>
      </c>
      <c r="C297" s="5" t="s">
        <v>72</v>
      </c>
      <c r="D297" s="5">
        <v>147.6</v>
      </c>
      <c r="E297" s="5">
        <v>202.5</v>
      </c>
      <c r="F297" s="5">
        <v>166.4</v>
      </c>
      <c r="G297" s="5">
        <v>156</v>
      </c>
      <c r="H297" s="5">
        <v>161.4</v>
      </c>
      <c r="I297" s="5">
        <v>168.8</v>
      </c>
      <c r="J297" s="5">
        <v>161.6</v>
      </c>
      <c r="K297" s="5">
        <v>162.80000000000001</v>
      </c>
      <c r="L297" s="5">
        <v>114.8</v>
      </c>
      <c r="M297" s="5">
        <v>162.80000000000001</v>
      </c>
      <c r="N297" s="5">
        <v>151.5</v>
      </c>
      <c r="O297" s="5">
        <v>171.4</v>
      </c>
      <c r="P297" s="5">
        <v>162</v>
      </c>
      <c r="Q297" s="5">
        <v>194.4</v>
      </c>
      <c r="R297" s="5">
        <v>155.9</v>
      </c>
      <c r="S297" s="5">
        <v>139.30000000000001</v>
      </c>
      <c r="T297" s="5">
        <v>153.4</v>
      </c>
      <c r="U297" s="5">
        <v>161.4</v>
      </c>
      <c r="V297" s="5">
        <v>154.9</v>
      </c>
      <c r="W297" s="5">
        <v>147.6</v>
      </c>
      <c r="X297" s="5">
        <v>157.5</v>
      </c>
      <c r="Y297" s="5">
        <v>142.1</v>
      </c>
      <c r="Z297" s="5">
        <v>149.1</v>
      </c>
      <c r="AA297" s="5">
        <v>157.6</v>
      </c>
      <c r="AB297" s="5">
        <v>156.6</v>
      </c>
      <c r="AC297" s="5">
        <v>150.5</v>
      </c>
      <c r="AD297" s="6">
        <v>158</v>
      </c>
    </row>
    <row r="298" spans="1:30">
      <c r="A298" s="4" t="s">
        <v>69</v>
      </c>
      <c r="B298" s="5">
        <v>2021</v>
      </c>
      <c r="C298" s="5" t="s">
        <v>72</v>
      </c>
      <c r="D298" s="5">
        <v>144.30000000000001</v>
      </c>
      <c r="E298" s="5">
        <v>198</v>
      </c>
      <c r="F298" s="5">
        <v>164.6</v>
      </c>
      <c r="G298" s="5">
        <v>155.4</v>
      </c>
      <c r="H298" s="5">
        <v>170.1</v>
      </c>
      <c r="I298" s="5">
        <v>164.4</v>
      </c>
      <c r="J298" s="5">
        <v>144.1</v>
      </c>
      <c r="K298" s="5">
        <v>161.69999999999999</v>
      </c>
      <c r="L298" s="5">
        <v>113.1</v>
      </c>
      <c r="M298" s="5">
        <v>163.9</v>
      </c>
      <c r="N298" s="5">
        <v>157.6</v>
      </c>
      <c r="O298" s="5">
        <v>168.9</v>
      </c>
      <c r="P298" s="5">
        <v>158</v>
      </c>
      <c r="Q298" s="5">
        <v>188.8</v>
      </c>
      <c r="R298" s="5">
        <v>158.80000000000001</v>
      </c>
      <c r="S298" s="5">
        <v>148.5</v>
      </c>
      <c r="T298" s="5">
        <v>157.30000000000001</v>
      </c>
      <c r="U298" s="5">
        <v>161.4</v>
      </c>
      <c r="V298" s="5">
        <v>155.6</v>
      </c>
      <c r="W298" s="5">
        <v>151.80000000000001</v>
      </c>
      <c r="X298" s="5">
        <v>162.30000000000001</v>
      </c>
      <c r="Y298" s="5">
        <v>146.6</v>
      </c>
      <c r="Z298" s="5">
        <v>153.19999999999999</v>
      </c>
      <c r="AA298" s="5">
        <v>160.30000000000001</v>
      </c>
      <c r="AB298" s="5">
        <v>155.4</v>
      </c>
      <c r="AC298" s="5">
        <v>154.4</v>
      </c>
      <c r="AD298" s="6">
        <v>157.80000000000001</v>
      </c>
    </row>
    <row r="299" spans="1:30">
      <c r="A299" s="4" t="s">
        <v>65</v>
      </c>
      <c r="B299" s="5">
        <v>2021</v>
      </c>
      <c r="C299" s="5" t="s">
        <v>73</v>
      </c>
      <c r="D299" s="5">
        <v>145.1</v>
      </c>
      <c r="E299" s="5">
        <v>198.5</v>
      </c>
      <c r="F299" s="5">
        <v>168.6</v>
      </c>
      <c r="G299" s="5">
        <v>155.80000000000001</v>
      </c>
      <c r="H299" s="5">
        <v>184.4</v>
      </c>
      <c r="I299" s="5">
        <v>162.30000000000001</v>
      </c>
      <c r="J299" s="5">
        <v>138.4</v>
      </c>
      <c r="K299" s="5">
        <v>165.1</v>
      </c>
      <c r="L299" s="5">
        <v>114.3</v>
      </c>
      <c r="M299" s="5">
        <v>169.7</v>
      </c>
      <c r="N299" s="5">
        <v>164.6</v>
      </c>
      <c r="O299" s="5">
        <v>169.8</v>
      </c>
      <c r="P299" s="5">
        <v>158.69999999999999</v>
      </c>
      <c r="Q299" s="5">
        <v>189.6</v>
      </c>
      <c r="R299" s="5">
        <v>165.3</v>
      </c>
      <c r="S299" s="5">
        <v>160.6</v>
      </c>
      <c r="T299" s="5">
        <v>164.5</v>
      </c>
      <c r="U299" s="5" t="s">
        <v>67</v>
      </c>
      <c r="V299" s="5">
        <v>161.69999999999999</v>
      </c>
      <c r="W299" s="5">
        <v>158.80000000000001</v>
      </c>
      <c r="X299" s="5">
        <v>169.1</v>
      </c>
      <c r="Y299" s="5">
        <v>153.19999999999999</v>
      </c>
      <c r="Z299" s="5">
        <v>160</v>
      </c>
      <c r="AA299" s="5">
        <v>167.6</v>
      </c>
      <c r="AB299" s="5">
        <v>159.30000000000001</v>
      </c>
      <c r="AC299" s="5">
        <v>161.1</v>
      </c>
      <c r="AD299" s="6">
        <v>161.1</v>
      </c>
    </row>
    <row r="300" spans="1:30">
      <c r="A300" s="4" t="s">
        <v>68</v>
      </c>
      <c r="B300" s="5">
        <v>2021</v>
      </c>
      <c r="C300" s="5" t="s">
        <v>73</v>
      </c>
      <c r="D300" s="5">
        <v>148.80000000000001</v>
      </c>
      <c r="E300" s="5">
        <v>204.3</v>
      </c>
      <c r="F300" s="5">
        <v>173</v>
      </c>
      <c r="G300" s="5">
        <v>156.5</v>
      </c>
      <c r="H300" s="5">
        <v>168.8</v>
      </c>
      <c r="I300" s="5">
        <v>172.5</v>
      </c>
      <c r="J300" s="5">
        <v>166.5</v>
      </c>
      <c r="K300" s="5">
        <v>165.9</v>
      </c>
      <c r="L300" s="5">
        <v>115.9</v>
      </c>
      <c r="M300" s="5">
        <v>165.2</v>
      </c>
      <c r="N300" s="5">
        <v>152</v>
      </c>
      <c r="O300" s="5">
        <v>171.1</v>
      </c>
      <c r="P300" s="5">
        <v>164.2</v>
      </c>
      <c r="Q300" s="5">
        <v>198.2</v>
      </c>
      <c r="R300" s="5">
        <v>156.5</v>
      </c>
      <c r="S300" s="5">
        <v>140.19999999999999</v>
      </c>
      <c r="T300" s="5">
        <v>154.1</v>
      </c>
      <c r="U300" s="5">
        <v>161.6</v>
      </c>
      <c r="V300" s="5">
        <v>155.5</v>
      </c>
      <c r="W300" s="5">
        <v>150.1</v>
      </c>
      <c r="X300" s="5">
        <v>160.4</v>
      </c>
      <c r="Y300" s="5">
        <v>145</v>
      </c>
      <c r="Z300" s="5">
        <v>152.6</v>
      </c>
      <c r="AA300" s="5">
        <v>156.6</v>
      </c>
      <c r="AB300" s="5">
        <v>157.5</v>
      </c>
      <c r="AC300" s="5">
        <v>152.30000000000001</v>
      </c>
      <c r="AD300" s="6">
        <v>159.5</v>
      </c>
    </row>
    <row r="301" spans="1:30">
      <c r="A301" s="4" t="s">
        <v>69</v>
      </c>
      <c r="B301" s="5">
        <v>2021</v>
      </c>
      <c r="C301" s="5" t="s">
        <v>73</v>
      </c>
      <c r="D301" s="5">
        <v>146.30000000000001</v>
      </c>
      <c r="E301" s="5">
        <v>200.5</v>
      </c>
      <c r="F301" s="5">
        <v>170.3</v>
      </c>
      <c r="G301" s="5">
        <v>156.1</v>
      </c>
      <c r="H301" s="5">
        <v>178.7</v>
      </c>
      <c r="I301" s="5">
        <v>167.1</v>
      </c>
      <c r="J301" s="5">
        <v>147.9</v>
      </c>
      <c r="K301" s="5">
        <v>165.4</v>
      </c>
      <c r="L301" s="5">
        <v>114.8</v>
      </c>
      <c r="M301" s="5">
        <v>168.2</v>
      </c>
      <c r="N301" s="5">
        <v>159.30000000000001</v>
      </c>
      <c r="O301" s="5">
        <v>170.4</v>
      </c>
      <c r="P301" s="5">
        <v>160.69999999999999</v>
      </c>
      <c r="Q301" s="5">
        <v>191.9</v>
      </c>
      <c r="R301" s="5">
        <v>161.80000000000001</v>
      </c>
      <c r="S301" s="5">
        <v>152.1</v>
      </c>
      <c r="T301" s="5">
        <v>160.4</v>
      </c>
      <c r="U301" s="5">
        <v>161.6</v>
      </c>
      <c r="V301" s="5">
        <v>159.4</v>
      </c>
      <c r="W301" s="5">
        <v>154.69999999999999</v>
      </c>
      <c r="X301" s="5">
        <v>165.8</v>
      </c>
      <c r="Y301" s="5">
        <v>148.9</v>
      </c>
      <c r="Z301" s="5">
        <v>155.80000000000001</v>
      </c>
      <c r="AA301" s="5">
        <v>161.19999999999999</v>
      </c>
      <c r="AB301" s="5">
        <v>158.6</v>
      </c>
      <c r="AC301" s="5">
        <v>156.80000000000001</v>
      </c>
      <c r="AD301" s="6">
        <v>160.4</v>
      </c>
    </row>
    <row r="302" spans="1:30">
      <c r="A302" s="4" t="s">
        <v>65</v>
      </c>
      <c r="B302" s="5">
        <v>2021</v>
      </c>
      <c r="C302" s="5" t="s">
        <v>74</v>
      </c>
      <c r="D302" s="5">
        <v>145.6</v>
      </c>
      <c r="E302" s="5">
        <v>200.1</v>
      </c>
      <c r="F302" s="5">
        <v>179.3</v>
      </c>
      <c r="G302" s="5">
        <v>156.1</v>
      </c>
      <c r="H302" s="5">
        <v>190.4</v>
      </c>
      <c r="I302" s="5">
        <v>158.6</v>
      </c>
      <c r="J302" s="5">
        <v>144.69999999999999</v>
      </c>
      <c r="K302" s="5">
        <v>165.5</v>
      </c>
      <c r="L302" s="5">
        <v>114.6</v>
      </c>
      <c r="M302" s="5">
        <v>170</v>
      </c>
      <c r="N302" s="5">
        <v>165.5</v>
      </c>
      <c r="O302" s="5">
        <v>171.7</v>
      </c>
      <c r="P302" s="5">
        <v>160.5</v>
      </c>
      <c r="Q302" s="5">
        <v>189.1</v>
      </c>
      <c r="R302" s="5">
        <v>165.3</v>
      </c>
      <c r="S302" s="5">
        <v>159.9</v>
      </c>
      <c r="T302" s="5">
        <v>164.6</v>
      </c>
      <c r="U302" s="5" t="s">
        <v>67</v>
      </c>
      <c r="V302" s="5">
        <v>162.1</v>
      </c>
      <c r="W302" s="5">
        <v>159.19999999999999</v>
      </c>
      <c r="X302" s="5">
        <v>169.7</v>
      </c>
      <c r="Y302" s="5">
        <v>154.19999999999999</v>
      </c>
      <c r="Z302" s="5">
        <v>160.4</v>
      </c>
      <c r="AA302" s="5">
        <v>166.8</v>
      </c>
      <c r="AB302" s="5">
        <v>159.4</v>
      </c>
      <c r="AC302" s="5">
        <v>161.5</v>
      </c>
      <c r="AD302" s="6">
        <v>162.1</v>
      </c>
    </row>
    <row r="303" spans="1:30">
      <c r="A303" s="4" t="s">
        <v>68</v>
      </c>
      <c r="B303" s="5">
        <v>2021</v>
      </c>
      <c r="C303" s="5" t="s">
        <v>74</v>
      </c>
      <c r="D303" s="5">
        <v>149.19999999999999</v>
      </c>
      <c r="E303" s="5">
        <v>205.5</v>
      </c>
      <c r="F303" s="5">
        <v>182.8</v>
      </c>
      <c r="G303" s="5">
        <v>156.5</v>
      </c>
      <c r="H303" s="5">
        <v>172.2</v>
      </c>
      <c r="I303" s="5">
        <v>171.5</v>
      </c>
      <c r="J303" s="5">
        <v>176.2</v>
      </c>
      <c r="K303" s="5">
        <v>166.9</v>
      </c>
      <c r="L303" s="5">
        <v>116.1</v>
      </c>
      <c r="M303" s="5">
        <v>165.5</v>
      </c>
      <c r="N303" s="5">
        <v>152.30000000000001</v>
      </c>
      <c r="O303" s="5">
        <v>173.3</v>
      </c>
      <c r="P303" s="5">
        <v>166.2</v>
      </c>
      <c r="Q303" s="5">
        <v>195.6</v>
      </c>
      <c r="R303" s="5">
        <v>157.30000000000001</v>
      </c>
      <c r="S303" s="5">
        <v>140.5</v>
      </c>
      <c r="T303" s="5">
        <v>154.80000000000001</v>
      </c>
      <c r="U303" s="5">
        <v>160.5</v>
      </c>
      <c r="V303" s="5">
        <v>156.1</v>
      </c>
      <c r="W303" s="5">
        <v>149.80000000000001</v>
      </c>
      <c r="X303" s="5">
        <v>160.80000000000001</v>
      </c>
      <c r="Y303" s="5">
        <v>147.5</v>
      </c>
      <c r="Z303" s="5">
        <v>150.69999999999999</v>
      </c>
      <c r="AA303" s="5">
        <v>158.1</v>
      </c>
      <c r="AB303" s="5">
        <v>158</v>
      </c>
      <c r="AC303" s="5">
        <v>153.4</v>
      </c>
      <c r="AD303" s="6">
        <v>160.4</v>
      </c>
    </row>
    <row r="304" spans="1:30">
      <c r="A304" s="4" t="s">
        <v>69</v>
      </c>
      <c r="B304" s="5">
        <v>2021</v>
      </c>
      <c r="C304" s="5" t="s">
        <v>74</v>
      </c>
      <c r="D304" s="5">
        <v>146.69999999999999</v>
      </c>
      <c r="E304" s="5">
        <v>202</v>
      </c>
      <c r="F304" s="5">
        <v>180.7</v>
      </c>
      <c r="G304" s="5">
        <v>156.19999999999999</v>
      </c>
      <c r="H304" s="5">
        <v>183.7</v>
      </c>
      <c r="I304" s="5">
        <v>164.6</v>
      </c>
      <c r="J304" s="5">
        <v>155.4</v>
      </c>
      <c r="K304" s="5">
        <v>166</v>
      </c>
      <c r="L304" s="5">
        <v>115.1</v>
      </c>
      <c r="M304" s="5">
        <v>168.5</v>
      </c>
      <c r="N304" s="5">
        <v>160</v>
      </c>
      <c r="O304" s="5">
        <v>172.4</v>
      </c>
      <c r="P304" s="5">
        <v>162.6</v>
      </c>
      <c r="Q304" s="5">
        <v>190.8</v>
      </c>
      <c r="R304" s="5">
        <v>162.19999999999999</v>
      </c>
      <c r="S304" s="5">
        <v>151.80000000000001</v>
      </c>
      <c r="T304" s="5">
        <v>160.69999999999999</v>
      </c>
      <c r="U304" s="5">
        <v>160.5</v>
      </c>
      <c r="V304" s="5">
        <v>159.80000000000001</v>
      </c>
      <c r="W304" s="5">
        <v>154.80000000000001</v>
      </c>
      <c r="X304" s="5">
        <v>166.3</v>
      </c>
      <c r="Y304" s="5">
        <v>150.69999999999999</v>
      </c>
      <c r="Z304" s="5">
        <v>154.9</v>
      </c>
      <c r="AA304" s="5">
        <v>161.69999999999999</v>
      </c>
      <c r="AB304" s="5">
        <v>158.80000000000001</v>
      </c>
      <c r="AC304" s="5">
        <v>157.6</v>
      </c>
      <c r="AD304" s="6">
        <v>161.30000000000001</v>
      </c>
    </row>
    <row r="305" spans="1:30">
      <c r="A305" s="4" t="s">
        <v>65</v>
      </c>
      <c r="B305" s="5">
        <v>2021</v>
      </c>
      <c r="C305" s="5" t="s">
        <v>75</v>
      </c>
      <c r="D305" s="5">
        <v>145.1</v>
      </c>
      <c r="E305" s="5">
        <v>204.5</v>
      </c>
      <c r="F305" s="5">
        <v>180.4</v>
      </c>
      <c r="G305" s="5">
        <v>157.1</v>
      </c>
      <c r="H305" s="5">
        <v>188.7</v>
      </c>
      <c r="I305" s="5">
        <v>157.69999999999999</v>
      </c>
      <c r="J305" s="5">
        <v>152.80000000000001</v>
      </c>
      <c r="K305" s="5">
        <v>163.6</v>
      </c>
      <c r="L305" s="5">
        <v>113.9</v>
      </c>
      <c r="M305" s="5">
        <v>169.7</v>
      </c>
      <c r="N305" s="5">
        <v>166.2</v>
      </c>
      <c r="O305" s="5">
        <v>171</v>
      </c>
      <c r="P305" s="5">
        <v>161.69999999999999</v>
      </c>
      <c r="Q305" s="5">
        <v>189.7</v>
      </c>
      <c r="R305" s="5">
        <v>166</v>
      </c>
      <c r="S305" s="5">
        <v>161.1</v>
      </c>
      <c r="T305" s="5">
        <v>165.3</v>
      </c>
      <c r="U305" s="5" t="s">
        <v>67</v>
      </c>
      <c r="V305" s="5">
        <v>162.5</v>
      </c>
      <c r="W305" s="5">
        <v>160.30000000000001</v>
      </c>
      <c r="X305" s="5">
        <v>170.4</v>
      </c>
      <c r="Y305" s="5">
        <v>157.1</v>
      </c>
      <c r="Z305" s="5">
        <v>160.69999999999999</v>
      </c>
      <c r="AA305" s="5">
        <v>167.2</v>
      </c>
      <c r="AB305" s="5">
        <v>160.4</v>
      </c>
      <c r="AC305" s="5">
        <v>162.80000000000001</v>
      </c>
      <c r="AD305" s="6">
        <v>163.19999999999999</v>
      </c>
    </row>
    <row r="306" spans="1:30">
      <c r="A306" s="4" t="s">
        <v>68</v>
      </c>
      <c r="B306" s="5">
        <v>2021</v>
      </c>
      <c r="C306" s="5" t="s">
        <v>75</v>
      </c>
      <c r="D306" s="5">
        <v>149.1</v>
      </c>
      <c r="E306" s="5">
        <v>210.9</v>
      </c>
      <c r="F306" s="5">
        <v>185</v>
      </c>
      <c r="G306" s="5">
        <v>158.19999999999999</v>
      </c>
      <c r="H306" s="5">
        <v>170.6</v>
      </c>
      <c r="I306" s="5">
        <v>170.9</v>
      </c>
      <c r="J306" s="5">
        <v>186.4</v>
      </c>
      <c r="K306" s="5">
        <v>164.7</v>
      </c>
      <c r="L306" s="5">
        <v>115.7</v>
      </c>
      <c r="M306" s="5">
        <v>165.5</v>
      </c>
      <c r="N306" s="5">
        <v>153.4</v>
      </c>
      <c r="O306" s="5">
        <v>173.5</v>
      </c>
      <c r="P306" s="5">
        <v>167.9</v>
      </c>
      <c r="Q306" s="5">
        <v>195.5</v>
      </c>
      <c r="R306" s="5">
        <v>157.9</v>
      </c>
      <c r="S306" s="5">
        <v>141.9</v>
      </c>
      <c r="T306" s="5">
        <v>155.5</v>
      </c>
      <c r="U306" s="5">
        <v>161.5</v>
      </c>
      <c r="V306" s="5">
        <v>157.69999999999999</v>
      </c>
      <c r="W306" s="5">
        <v>150.69999999999999</v>
      </c>
      <c r="X306" s="5">
        <v>161.5</v>
      </c>
      <c r="Y306" s="5">
        <v>149.5</v>
      </c>
      <c r="Z306" s="5">
        <v>151.19999999999999</v>
      </c>
      <c r="AA306" s="5">
        <v>160.30000000000001</v>
      </c>
      <c r="AB306" s="5">
        <v>159.6</v>
      </c>
      <c r="AC306" s="5">
        <v>155</v>
      </c>
      <c r="AD306" s="6">
        <v>161.80000000000001</v>
      </c>
    </row>
    <row r="307" spans="1:30">
      <c r="A307" s="4" t="s">
        <v>69</v>
      </c>
      <c r="B307" s="5">
        <v>2021</v>
      </c>
      <c r="C307" s="5" t="s">
        <v>75</v>
      </c>
      <c r="D307" s="5">
        <v>146.4</v>
      </c>
      <c r="E307" s="5">
        <v>206.8</v>
      </c>
      <c r="F307" s="5">
        <v>182.2</v>
      </c>
      <c r="G307" s="5">
        <v>157.5</v>
      </c>
      <c r="H307" s="5">
        <v>182.1</v>
      </c>
      <c r="I307" s="5">
        <v>163.9</v>
      </c>
      <c r="J307" s="5">
        <v>164.2</v>
      </c>
      <c r="K307" s="5">
        <v>164</v>
      </c>
      <c r="L307" s="5">
        <v>114.5</v>
      </c>
      <c r="M307" s="5">
        <v>168.3</v>
      </c>
      <c r="N307" s="5">
        <v>160.9</v>
      </c>
      <c r="O307" s="5">
        <v>172.2</v>
      </c>
      <c r="P307" s="5">
        <v>164</v>
      </c>
      <c r="Q307" s="5">
        <v>191.2</v>
      </c>
      <c r="R307" s="5">
        <v>162.80000000000001</v>
      </c>
      <c r="S307" s="5">
        <v>153.1</v>
      </c>
      <c r="T307" s="5">
        <v>161.4</v>
      </c>
      <c r="U307" s="5">
        <v>161.5</v>
      </c>
      <c r="V307" s="5">
        <v>160.69999999999999</v>
      </c>
      <c r="W307" s="5">
        <v>155.80000000000001</v>
      </c>
      <c r="X307" s="5">
        <v>167</v>
      </c>
      <c r="Y307" s="5">
        <v>153.1</v>
      </c>
      <c r="Z307" s="5">
        <v>155.30000000000001</v>
      </c>
      <c r="AA307" s="5">
        <v>163.19999999999999</v>
      </c>
      <c r="AB307" s="5">
        <v>160.1</v>
      </c>
      <c r="AC307" s="5">
        <v>159</v>
      </c>
      <c r="AD307" s="6">
        <v>162.5</v>
      </c>
    </row>
    <row r="308" spans="1:30">
      <c r="A308" s="4" t="s">
        <v>65</v>
      </c>
      <c r="B308" s="5">
        <v>2021</v>
      </c>
      <c r="C308" s="5" t="s">
        <v>76</v>
      </c>
      <c r="D308" s="5">
        <v>144.9</v>
      </c>
      <c r="E308" s="5">
        <v>202.3</v>
      </c>
      <c r="F308" s="5">
        <v>176.5</v>
      </c>
      <c r="G308" s="5">
        <v>157.5</v>
      </c>
      <c r="H308" s="5">
        <v>190.9</v>
      </c>
      <c r="I308" s="5">
        <v>155.69999999999999</v>
      </c>
      <c r="J308" s="5">
        <v>153.9</v>
      </c>
      <c r="K308" s="5">
        <v>162.80000000000001</v>
      </c>
      <c r="L308" s="5">
        <v>115.2</v>
      </c>
      <c r="M308" s="5">
        <v>169.8</v>
      </c>
      <c r="N308" s="5">
        <v>167.6</v>
      </c>
      <c r="O308" s="5">
        <v>171.9</v>
      </c>
      <c r="P308" s="5">
        <v>161.80000000000001</v>
      </c>
      <c r="Q308" s="5">
        <v>190.2</v>
      </c>
      <c r="R308" s="5">
        <v>167</v>
      </c>
      <c r="S308" s="5">
        <v>162.6</v>
      </c>
      <c r="T308" s="5">
        <v>166.3</v>
      </c>
      <c r="U308" s="5" t="s">
        <v>67</v>
      </c>
      <c r="V308" s="5">
        <v>163.1</v>
      </c>
      <c r="W308" s="5">
        <v>160.9</v>
      </c>
      <c r="X308" s="5">
        <v>171.1</v>
      </c>
      <c r="Y308" s="5">
        <v>157.69999999999999</v>
      </c>
      <c r="Z308" s="5">
        <v>161.1</v>
      </c>
      <c r="AA308" s="5">
        <v>167.5</v>
      </c>
      <c r="AB308" s="5">
        <v>160.30000000000001</v>
      </c>
      <c r="AC308" s="5">
        <v>163.30000000000001</v>
      </c>
      <c r="AD308" s="6">
        <v>163.6</v>
      </c>
    </row>
    <row r="309" spans="1:30">
      <c r="A309" s="4" t="s">
        <v>68</v>
      </c>
      <c r="B309" s="5">
        <v>2021</v>
      </c>
      <c r="C309" s="5" t="s">
        <v>76</v>
      </c>
      <c r="D309" s="5">
        <v>149.30000000000001</v>
      </c>
      <c r="E309" s="5">
        <v>207.4</v>
      </c>
      <c r="F309" s="5">
        <v>174.1</v>
      </c>
      <c r="G309" s="5">
        <v>159.19999999999999</v>
      </c>
      <c r="H309" s="5">
        <v>175</v>
      </c>
      <c r="I309" s="5">
        <v>161.30000000000001</v>
      </c>
      <c r="J309" s="5">
        <v>183.3</v>
      </c>
      <c r="K309" s="5">
        <v>164.5</v>
      </c>
      <c r="L309" s="5">
        <v>120.4</v>
      </c>
      <c r="M309" s="5">
        <v>166.2</v>
      </c>
      <c r="N309" s="5">
        <v>154.80000000000001</v>
      </c>
      <c r="O309" s="5">
        <v>175.1</v>
      </c>
      <c r="P309" s="5">
        <v>167.3</v>
      </c>
      <c r="Q309" s="5">
        <v>196.5</v>
      </c>
      <c r="R309" s="5">
        <v>159.80000000000001</v>
      </c>
      <c r="S309" s="5">
        <v>143.6</v>
      </c>
      <c r="T309" s="5">
        <v>157.30000000000001</v>
      </c>
      <c r="U309" s="5">
        <v>162.1</v>
      </c>
      <c r="V309" s="5">
        <v>160.69999999999999</v>
      </c>
      <c r="W309" s="5">
        <v>153.19999999999999</v>
      </c>
      <c r="X309" s="5">
        <v>162.80000000000001</v>
      </c>
      <c r="Y309" s="5">
        <v>150.4</v>
      </c>
      <c r="Z309" s="5">
        <v>153.69999999999999</v>
      </c>
      <c r="AA309" s="5">
        <v>160.4</v>
      </c>
      <c r="AB309" s="5">
        <v>159.6</v>
      </c>
      <c r="AC309" s="5">
        <v>156</v>
      </c>
      <c r="AD309" s="6">
        <v>162.30000000000001</v>
      </c>
    </row>
    <row r="310" spans="1:30">
      <c r="A310" s="4" t="s">
        <v>69</v>
      </c>
      <c r="B310" s="5">
        <v>2021</v>
      </c>
      <c r="C310" s="5" t="s">
        <v>76</v>
      </c>
      <c r="D310" s="5">
        <v>146.6</v>
      </c>
      <c r="E310" s="5">
        <v>204</v>
      </c>
      <c r="F310" s="5">
        <v>172.8</v>
      </c>
      <c r="G310" s="5">
        <v>158.4</v>
      </c>
      <c r="H310" s="5">
        <v>188</v>
      </c>
      <c r="I310" s="5">
        <v>156.80000000000001</v>
      </c>
      <c r="J310" s="5">
        <v>162.19999999999999</v>
      </c>
      <c r="K310" s="5">
        <v>164.1</v>
      </c>
      <c r="L310" s="5">
        <v>119.7</v>
      </c>
      <c r="M310" s="5">
        <v>168.8</v>
      </c>
      <c r="N310" s="5">
        <v>162.69999999999999</v>
      </c>
      <c r="O310" s="5">
        <v>173.9</v>
      </c>
      <c r="P310" s="5">
        <v>164</v>
      </c>
      <c r="Q310" s="5">
        <v>192.1</v>
      </c>
      <c r="R310" s="5">
        <v>164.5</v>
      </c>
      <c r="S310" s="5">
        <v>155.30000000000001</v>
      </c>
      <c r="T310" s="5">
        <v>163.19999999999999</v>
      </c>
      <c r="U310" s="5">
        <v>162.1</v>
      </c>
      <c r="V310" s="5">
        <v>162.6</v>
      </c>
      <c r="W310" s="5">
        <v>157.5</v>
      </c>
      <c r="X310" s="5">
        <v>168.4</v>
      </c>
      <c r="Y310" s="5">
        <v>154</v>
      </c>
      <c r="Z310" s="5">
        <v>157.6</v>
      </c>
      <c r="AA310" s="5">
        <v>163.80000000000001</v>
      </c>
      <c r="AB310" s="5">
        <v>160</v>
      </c>
      <c r="AC310" s="5">
        <v>160</v>
      </c>
      <c r="AD310" s="6">
        <v>163.19999999999999</v>
      </c>
    </row>
    <row r="311" spans="1:30">
      <c r="A311" s="4" t="s">
        <v>65</v>
      </c>
      <c r="B311" s="5">
        <v>2021</v>
      </c>
      <c r="C311" s="5" t="s">
        <v>77</v>
      </c>
      <c r="D311" s="5">
        <v>145.4</v>
      </c>
      <c r="E311" s="5">
        <v>202.1</v>
      </c>
      <c r="F311" s="5">
        <v>172</v>
      </c>
      <c r="G311" s="5">
        <v>158</v>
      </c>
      <c r="H311" s="5">
        <v>195.5</v>
      </c>
      <c r="I311" s="5">
        <v>152.69999999999999</v>
      </c>
      <c r="J311" s="5">
        <v>151.4</v>
      </c>
      <c r="K311" s="5">
        <v>163.9</v>
      </c>
      <c r="L311" s="5">
        <v>119.3</v>
      </c>
      <c r="M311" s="5">
        <v>170.1</v>
      </c>
      <c r="N311" s="5">
        <v>168.3</v>
      </c>
      <c r="O311" s="5">
        <v>172.8</v>
      </c>
      <c r="P311" s="5">
        <v>162.1</v>
      </c>
      <c r="Q311" s="5">
        <v>190.5</v>
      </c>
      <c r="R311" s="5">
        <v>167.7</v>
      </c>
      <c r="S311" s="5">
        <v>163.6</v>
      </c>
      <c r="T311" s="5">
        <v>167.1</v>
      </c>
      <c r="U311" s="5" t="s">
        <v>67</v>
      </c>
      <c r="V311" s="5">
        <v>163.69999999999999</v>
      </c>
      <c r="W311" s="5">
        <v>161.30000000000001</v>
      </c>
      <c r="X311" s="5">
        <v>171.9</v>
      </c>
      <c r="Y311" s="5">
        <v>157.80000000000001</v>
      </c>
      <c r="Z311" s="5">
        <v>162.69999999999999</v>
      </c>
      <c r="AA311" s="5">
        <v>168.5</v>
      </c>
      <c r="AB311" s="5">
        <v>160.19999999999999</v>
      </c>
      <c r="AC311" s="5">
        <v>163.80000000000001</v>
      </c>
      <c r="AD311" s="6">
        <v>164</v>
      </c>
    </row>
    <row r="312" spans="1:30">
      <c r="A312" s="4" t="s">
        <v>68</v>
      </c>
      <c r="B312" s="5">
        <v>2021</v>
      </c>
      <c r="C312" s="5" t="s">
        <v>77</v>
      </c>
      <c r="D312" s="5">
        <v>149.30000000000001</v>
      </c>
      <c r="E312" s="5">
        <v>207.4</v>
      </c>
      <c r="F312" s="5">
        <v>174.1</v>
      </c>
      <c r="G312" s="5">
        <v>159.1</v>
      </c>
      <c r="H312" s="5">
        <v>175</v>
      </c>
      <c r="I312" s="5">
        <v>161.19999999999999</v>
      </c>
      <c r="J312" s="5">
        <v>183.5</v>
      </c>
      <c r="K312" s="5">
        <v>164.5</v>
      </c>
      <c r="L312" s="5">
        <v>120.4</v>
      </c>
      <c r="M312" s="5">
        <v>166.2</v>
      </c>
      <c r="N312" s="5">
        <v>154.80000000000001</v>
      </c>
      <c r="O312" s="5">
        <v>175.1</v>
      </c>
      <c r="P312" s="5">
        <v>167.3</v>
      </c>
      <c r="Q312" s="5">
        <v>196.5</v>
      </c>
      <c r="R312" s="5">
        <v>159.80000000000001</v>
      </c>
      <c r="S312" s="5">
        <v>143.6</v>
      </c>
      <c r="T312" s="5">
        <v>157.4</v>
      </c>
      <c r="U312" s="5">
        <v>162.1</v>
      </c>
      <c r="V312" s="5">
        <v>160.80000000000001</v>
      </c>
      <c r="W312" s="5">
        <v>153.30000000000001</v>
      </c>
      <c r="X312" s="5">
        <v>162.80000000000001</v>
      </c>
      <c r="Y312" s="5">
        <v>150.5</v>
      </c>
      <c r="Z312" s="5">
        <v>153.9</v>
      </c>
      <c r="AA312" s="5">
        <v>160.30000000000001</v>
      </c>
      <c r="AB312" s="5">
        <v>159.6</v>
      </c>
      <c r="AC312" s="5">
        <v>156</v>
      </c>
      <c r="AD312" s="6">
        <v>162.30000000000001</v>
      </c>
    </row>
    <row r="313" spans="1:30">
      <c r="A313" s="4" t="s">
        <v>69</v>
      </c>
      <c r="B313" s="5">
        <v>2021</v>
      </c>
      <c r="C313" s="5" t="s">
        <v>77</v>
      </c>
      <c r="D313" s="5">
        <v>146.6</v>
      </c>
      <c r="E313" s="5">
        <v>204</v>
      </c>
      <c r="F313" s="5">
        <v>172.8</v>
      </c>
      <c r="G313" s="5">
        <v>158.4</v>
      </c>
      <c r="H313" s="5">
        <v>188</v>
      </c>
      <c r="I313" s="5">
        <v>156.69999999999999</v>
      </c>
      <c r="J313" s="5">
        <v>162.30000000000001</v>
      </c>
      <c r="K313" s="5">
        <v>164.1</v>
      </c>
      <c r="L313" s="5">
        <v>119.7</v>
      </c>
      <c r="M313" s="5">
        <v>168.8</v>
      </c>
      <c r="N313" s="5">
        <v>162.69999999999999</v>
      </c>
      <c r="O313" s="5">
        <v>173.9</v>
      </c>
      <c r="P313" s="5">
        <v>164</v>
      </c>
      <c r="Q313" s="5">
        <v>192.1</v>
      </c>
      <c r="R313" s="5">
        <v>164.6</v>
      </c>
      <c r="S313" s="5">
        <v>155.30000000000001</v>
      </c>
      <c r="T313" s="5">
        <v>163.30000000000001</v>
      </c>
      <c r="U313" s="5">
        <v>162.1</v>
      </c>
      <c r="V313" s="5">
        <v>162.6</v>
      </c>
      <c r="W313" s="5">
        <v>157.5</v>
      </c>
      <c r="X313" s="5">
        <v>168.4</v>
      </c>
      <c r="Y313" s="5">
        <v>154</v>
      </c>
      <c r="Z313" s="5">
        <v>157.69999999999999</v>
      </c>
      <c r="AA313" s="5">
        <v>163.69999999999999</v>
      </c>
      <c r="AB313" s="5">
        <v>160</v>
      </c>
      <c r="AC313" s="5">
        <v>160</v>
      </c>
      <c r="AD313" s="6">
        <v>163.19999999999999</v>
      </c>
    </row>
    <row r="314" spans="1:30">
      <c r="A314" s="4" t="s">
        <v>65</v>
      </c>
      <c r="B314" s="5">
        <v>2021</v>
      </c>
      <c r="C314" s="5" t="s">
        <v>78</v>
      </c>
      <c r="D314" s="5">
        <v>146.1</v>
      </c>
      <c r="E314" s="5">
        <v>202.5</v>
      </c>
      <c r="F314" s="5">
        <v>170.1</v>
      </c>
      <c r="G314" s="5">
        <v>158.4</v>
      </c>
      <c r="H314" s="5">
        <v>198.8</v>
      </c>
      <c r="I314" s="5">
        <v>152.6</v>
      </c>
      <c r="J314" s="5">
        <v>170.4</v>
      </c>
      <c r="K314" s="5">
        <v>165.2</v>
      </c>
      <c r="L314" s="5">
        <v>121.6</v>
      </c>
      <c r="M314" s="5">
        <v>170.6</v>
      </c>
      <c r="N314" s="5">
        <v>168.8</v>
      </c>
      <c r="O314" s="5">
        <v>173.6</v>
      </c>
      <c r="P314" s="5">
        <v>165.5</v>
      </c>
      <c r="Q314" s="5">
        <v>191.2</v>
      </c>
      <c r="R314" s="5">
        <v>168.9</v>
      </c>
      <c r="S314" s="5">
        <v>164.8</v>
      </c>
      <c r="T314" s="5">
        <v>168.3</v>
      </c>
      <c r="U314" s="5" t="s">
        <v>67</v>
      </c>
      <c r="V314" s="5">
        <v>165.5</v>
      </c>
      <c r="W314" s="5">
        <v>162</v>
      </c>
      <c r="X314" s="5">
        <v>172.5</v>
      </c>
      <c r="Y314" s="5">
        <v>159.5</v>
      </c>
      <c r="Z314" s="5">
        <v>163.19999999999999</v>
      </c>
      <c r="AA314" s="5">
        <v>169</v>
      </c>
      <c r="AB314" s="5">
        <v>161.1</v>
      </c>
      <c r="AC314" s="5">
        <v>164.7</v>
      </c>
      <c r="AD314" s="6">
        <v>166.3</v>
      </c>
    </row>
    <row r="315" spans="1:30">
      <c r="A315" s="4" t="s">
        <v>68</v>
      </c>
      <c r="B315" s="5">
        <v>2021</v>
      </c>
      <c r="C315" s="5" t="s">
        <v>78</v>
      </c>
      <c r="D315" s="5">
        <v>150.1</v>
      </c>
      <c r="E315" s="5">
        <v>208.4</v>
      </c>
      <c r="F315" s="5">
        <v>173</v>
      </c>
      <c r="G315" s="5">
        <v>159.19999999999999</v>
      </c>
      <c r="H315" s="5">
        <v>176.6</v>
      </c>
      <c r="I315" s="5">
        <v>159.30000000000001</v>
      </c>
      <c r="J315" s="5">
        <v>214.4</v>
      </c>
      <c r="K315" s="5">
        <v>165.3</v>
      </c>
      <c r="L315" s="5">
        <v>122.5</v>
      </c>
      <c r="M315" s="5">
        <v>166.8</v>
      </c>
      <c r="N315" s="5">
        <v>155.4</v>
      </c>
      <c r="O315" s="5">
        <v>175.9</v>
      </c>
      <c r="P315" s="5">
        <v>171.5</v>
      </c>
      <c r="Q315" s="5">
        <v>197</v>
      </c>
      <c r="R315" s="5">
        <v>160.80000000000001</v>
      </c>
      <c r="S315" s="5">
        <v>144.4</v>
      </c>
      <c r="T315" s="5">
        <v>158.30000000000001</v>
      </c>
      <c r="U315" s="5">
        <v>163.6</v>
      </c>
      <c r="V315" s="5">
        <v>162.19999999999999</v>
      </c>
      <c r="W315" s="5">
        <v>154.30000000000001</v>
      </c>
      <c r="X315" s="5">
        <v>163.5</v>
      </c>
      <c r="Y315" s="5">
        <v>152.19999999999999</v>
      </c>
      <c r="Z315" s="5">
        <v>155.1</v>
      </c>
      <c r="AA315" s="5">
        <v>160.30000000000001</v>
      </c>
      <c r="AB315" s="5">
        <v>160.30000000000001</v>
      </c>
      <c r="AC315" s="5">
        <v>157</v>
      </c>
      <c r="AD315" s="6">
        <v>164.6</v>
      </c>
    </row>
    <row r="316" spans="1:30">
      <c r="A316" s="4" t="s">
        <v>69</v>
      </c>
      <c r="B316" s="5">
        <v>2021</v>
      </c>
      <c r="C316" s="5" t="s">
        <v>78</v>
      </c>
      <c r="D316" s="5">
        <v>147.4</v>
      </c>
      <c r="E316" s="5">
        <v>204.6</v>
      </c>
      <c r="F316" s="5">
        <v>171.2</v>
      </c>
      <c r="G316" s="5">
        <v>158.69999999999999</v>
      </c>
      <c r="H316" s="5">
        <v>190.6</v>
      </c>
      <c r="I316" s="5">
        <v>155.69999999999999</v>
      </c>
      <c r="J316" s="5">
        <v>185.3</v>
      </c>
      <c r="K316" s="5">
        <v>165.2</v>
      </c>
      <c r="L316" s="5">
        <v>121.9</v>
      </c>
      <c r="M316" s="5">
        <v>169.3</v>
      </c>
      <c r="N316" s="5">
        <v>163.19999999999999</v>
      </c>
      <c r="O316" s="5">
        <v>174.7</v>
      </c>
      <c r="P316" s="5">
        <v>167.7</v>
      </c>
      <c r="Q316" s="5">
        <v>192.7</v>
      </c>
      <c r="R316" s="5">
        <v>165.7</v>
      </c>
      <c r="S316" s="5">
        <v>156.30000000000001</v>
      </c>
      <c r="T316" s="5">
        <v>164.3</v>
      </c>
      <c r="U316" s="5">
        <v>163.6</v>
      </c>
      <c r="V316" s="5">
        <v>164.2</v>
      </c>
      <c r="W316" s="5">
        <v>158.4</v>
      </c>
      <c r="X316" s="5">
        <v>169.1</v>
      </c>
      <c r="Y316" s="5">
        <v>155.69999999999999</v>
      </c>
      <c r="Z316" s="5">
        <v>158.6</v>
      </c>
      <c r="AA316" s="5">
        <v>163.9</v>
      </c>
      <c r="AB316" s="5">
        <v>160.80000000000001</v>
      </c>
      <c r="AC316" s="5">
        <v>161</v>
      </c>
      <c r="AD316" s="6">
        <v>165.5</v>
      </c>
    </row>
    <row r="317" spans="1:30">
      <c r="A317" s="4" t="s">
        <v>65</v>
      </c>
      <c r="B317" s="5">
        <v>2021</v>
      </c>
      <c r="C317" s="5" t="s">
        <v>79</v>
      </c>
      <c r="D317" s="5">
        <v>146.9</v>
      </c>
      <c r="E317" s="5">
        <v>199.8</v>
      </c>
      <c r="F317" s="5">
        <v>171.5</v>
      </c>
      <c r="G317" s="5">
        <v>159.1</v>
      </c>
      <c r="H317" s="5">
        <v>198.4</v>
      </c>
      <c r="I317" s="5">
        <v>153.19999999999999</v>
      </c>
      <c r="J317" s="5">
        <v>183.9</v>
      </c>
      <c r="K317" s="5">
        <v>165.4</v>
      </c>
      <c r="L317" s="5">
        <v>122.1</v>
      </c>
      <c r="M317" s="5">
        <v>170.8</v>
      </c>
      <c r="N317" s="5">
        <v>169.1</v>
      </c>
      <c r="O317" s="5">
        <v>174.3</v>
      </c>
      <c r="P317" s="5">
        <v>167.5</v>
      </c>
      <c r="Q317" s="5">
        <v>191.4</v>
      </c>
      <c r="R317" s="5">
        <v>170.4</v>
      </c>
      <c r="S317" s="5">
        <v>166</v>
      </c>
      <c r="T317" s="5">
        <v>169.8</v>
      </c>
      <c r="U317" s="5" t="s">
        <v>67</v>
      </c>
      <c r="V317" s="5">
        <v>165.3</v>
      </c>
      <c r="W317" s="5">
        <v>162.9</v>
      </c>
      <c r="X317" s="5">
        <v>173.4</v>
      </c>
      <c r="Y317" s="5">
        <v>158.9</v>
      </c>
      <c r="Z317" s="5">
        <v>163.80000000000001</v>
      </c>
      <c r="AA317" s="5">
        <v>169.3</v>
      </c>
      <c r="AB317" s="5">
        <v>162.4</v>
      </c>
      <c r="AC317" s="5">
        <v>165.2</v>
      </c>
      <c r="AD317" s="6">
        <v>167.6</v>
      </c>
    </row>
    <row r="318" spans="1:30">
      <c r="A318" s="4" t="s">
        <v>68</v>
      </c>
      <c r="B318" s="5">
        <v>2021</v>
      </c>
      <c r="C318" s="5" t="s">
        <v>79</v>
      </c>
      <c r="D318" s="5">
        <v>151</v>
      </c>
      <c r="E318" s="5">
        <v>204.9</v>
      </c>
      <c r="F318" s="5">
        <v>175.4</v>
      </c>
      <c r="G318" s="5">
        <v>159.6</v>
      </c>
      <c r="H318" s="5">
        <v>175.8</v>
      </c>
      <c r="I318" s="5">
        <v>160.30000000000001</v>
      </c>
      <c r="J318" s="5">
        <v>229.1</v>
      </c>
      <c r="K318" s="5">
        <v>165.1</v>
      </c>
      <c r="L318" s="5">
        <v>123.1</v>
      </c>
      <c r="M318" s="5">
        <v>167.2</v>
      </c>
      <c r="N318" s="5">
        <v>156.1</v>
      </c>
      <c r="O318" s="5">
        <v>176.8</v>
      </c>
      <c r="P318" s="5">
        <v>173.5</v>
      </c>
      <c r="Q318" s="5">
        <v>197</v>
      </c>
      <c r="R318" s="5">
        <v>162.30000000000001</v>
      </c>
      <c r="S318" s="5">
        <v>145.30000000000001</v>
      </c>
      <c r="T318" s="5">
        <v>159.69999999999999</v>
      </c>
      <c r="U318" s="5">
        <v>164.2</v>
      </c>
      <c r="V318" s="5">
        <v>161.6</v>
      </c>
      <c r="W318" s="5">
        <v>155.19999999999999</v>
      </c>
      <c r="X318" s="5">
        <v>164.2</v>
      </c>
      <c r="Y318" s="5">
        <v>151.19999999999999</v>
      </c>
      <c r="Z318" s="5">
        <v>156.69999999999999</v>
      </c>
      <c r="AA318" s="5">
        <v>160.80000000000001</v>
      </c>
      <c r="AB318" s="5">
        <v>161.80000000000001</v>
      </c>
      <c r="AC318" s="5">
        <v>157.30000000000001</v>
      </c>
      <c r="AD318" s="6">
        <v>165.6</v>
      </c>
    </row>
    <row r="319" spans="1:30">
      <c r="A319" s="4" t="s">
        <v>69</v>
      </c>
      <c r="B319" s="5">
        <v>2021</v>
      </c>
      <c r="C319" s="5" t="s">
        <v>79</v>
      </c>
      <c r="D319" s="5">
        <v>148.19999999999999</v>
      </c>
      <c r="E319" s="5">
        <v>201.6</v>
      </c>
      <c r="F319" s="5">
        <v>173</v>
      </c>
      <c r="G319" s="5">
        <v>159.30000000000001</v>
      </c>
      <c r="H319" s="5">
        <v>190.1</v>
      </c>
      <c r="I319" s="5">
        <v>156.5</v>
      </c>
      <c r="J319" s="5">
        <v>199.2</v>
      </c>
      <c r="K319" s="5">
        <v>165.3</v>
      </c>
      <c r="L319" s="5">
        <v>122.4</v>
      </c>
      <c r="M319" s="5">
        <v>169.6</v>
      </c>
      <c r="N319" s="5">
        <v>163.69999999999999</v>
      </c>
      <c r="O319" s="5">
        <v>175.5</v>
      </c>
      <c r="P319" s="5">
        <v>169.7</v>
      </c>
      <c r="Q319" s="5">
        <v>192.9</v>
      </c>
      <c r="R319" s="5">
        <v>167.2</v>
      </c>
      <c r="S319" s="5">
        <v>157.4</v>
      </c>
      <c r="T319" s="5">
        <v>165.8</v>
      </c>
      <c r="U319" s="5">
        <v>164.2</v>
      </c>
      <c r="V319" s="5">
        <v>163.9</v>
      </c>
      <c r="W319" s="5">
        <v>159.30000000000001</v>
      </c>
      <c r="X319" s="5">
        <v>169.9</v>
      </c>
      <c r="Y319" s="5">
        <v>154.80000000000001</v>
      </c>
      <c r="Z319" s="5">
        <v>159.80000000000001</v>
      </c>
      <c r="AA319" s="5">
        <v>164.3</v>
      </c>
      <c r="AB319" s="5">
        <v>162.19999999999999</v>
      </c>
      <c r="AC319" s="5">
        <v>161.4</v>
      </c>
      <c r="AD319" s="6">
        <v>166.7</v>
      </c>
    </row>
    <row r="320" spans="1:30">
      <c r="A320" s="4" t="s">
        <v>65</v>
      </c>
      <c r="B320" s="5">
        <v>2021</v>
      </c>
      <c r="C320" s="5" t="s">
        <v>80</v>
      </c>
      <c r="D320" s="5">
        <v>147.4</v>
      </c>
      <c r="E320" s="5">
        <v>197</v>
      </c>
      <c r="F320" s="5">
        <v>176.5</v>
      </c>
      <c r="G320" s="5">
        <v>159.80000000000001</v>
      </c>
      <c r="H320" s="5">
        <v>195.8</v>
      </c>
      <c r="I320" s="5">
        <v>152</v>
      </c>
      <c r="J320" s="5">
        <v>172.3</v>
      </c>
      <c r="K320" s="5">
        <v>164.5</v>
      </c>
      <c r="L320" s="5">
        <v>120.6</v>
      </c>
      <c r="M320" s="5">
        <v>171.7</v>
      </c>
      <c r="N320" s="5">
        <v>169.7</v>
      </c>
      <c r="O320" s="5">
        <v>175.1</v>
      </c>
      <c r="P320" s="5">
        <v>165.8</v>
      </c>
      <c r="Q320" s="5">
        <v>190.8</v>
      </c>
      <c r="R320" s="5">
        <v>171.8</v>
      </c>
      <c r="S320" s="5">
        <v>167.3</v>
      </c>
      <c r="T320" s="5">
        <v>171.2</v>
      </c>
      <c r="U320" s="5" t="s">
        <v>67</v>
      </c>
      <c r="V320" s="5">
        <v>165.6</v>
      </c>
      <c r="W320" s="5">
        <v>163.9</v>
      </c>
      <c r="X320" s="5">
        <v>174</v>
      </c>
      <c r="Y320" s="5">
        <v>160.1</v>
      </c>
      <c r="Z320" s="5">
        <v>164.5</v>
      </c>
      <c r="AA320" s="5">
        <v>169.7</v>
      </c>
      <c r="AB320" s="5">
        <v>162.80000000000001</v>
      </c>
      <c r="AC320" s="5">
        <v>166</v>
      </c>
      <c r="AD320" s="6">
        <v>167</v>
      </c>
    </row>
    <row r="321" spans="1:30">
      <c r="A321" s="4" t="s">
        <v>68</v>
      </c>
      <c r="B321" s="5">
        <v>2021</v>
      </c>
      <c r="C321" s="5" t="s">
        <v>80</v>
      </c>
      <c r="D321" s="5">
        <v>151.6</v>
      </c>
      <c r="E321" s="5">
        <v>202.2</v>
      </c>
      <c r="F321" s="5">
        <v>180</v>
      </c>
      <c r="G321" s="5">
        <v>160</v>
      </c>
      <c r="H321" s="5">
        <v>173.5</v>
      </c>
      <c r="I321" s="5">
        <v>158.30000000000001</v>
      </c>
      <c r="J321" s="5">
        <v>219.5</v>
      </c>
      <c r="K321" s="5">
        <v>164.2</v>
      </c>
      <c r="L321" s="5">
        <v>121.9</v>
      </c>
      <c r="M321" s="5">
        <v>168.2</v>
      </c>
      <c r="N321" s="5">
        <v>156.5</v>
      </c>
      <c r="O321" s="5">
        <v>178.2</v>
      </c>
      <c r="P321" s="5">
        <v>172.2</v>
      </c>
      <c r="Q321" s="5">
        <v>196.8</v>
      </c>
      <c r="R321" s="5">
        <v>163.30000000000001</v>
      </c>
      <c r="S321" s="5">
        <v>146.69999999999999</v>
      </c>
      <c r="T321" s="5">
        <v>160.69999999999999</v>
      </c>
      <c r="U321" s="5">
        <v>163.4</v>
      </c>
      <c r="V321" s="5">
        <v>161.69999999999999</v>
      </c>
      <c r="W321" s="5">
        <v>156</v>
      </c>
      <c r="X321" s="5">
        <v>165.1</v>
      </c>
      <c r="Y321" s="5">
        <v>151.80000000000001</v>
      </c>
      <c r="Z321" s="5">
        <v>157.6</v>
      </c>
      <c r="AA321" s="5">
        <v>160.6</v>
      </c>
      <c r="AB321" s="5">
        <v>162.4</v>
      </c>
      <c r="AC321" s="5">
        <v>157.80000000000001</v>
      </c>
      <c r="AD321" s="6">
        <v>165.2</v>
      </c>
    </row>
    <row r="322" spans="1:30">
      <c r="A322" s="4" t="s">
        <v>69</v>
      </c>
      <c r="B322" s="5">
        <v>2021</v>
      </c>
      <c r="C322" s="5" t="s">
        <v>80</v>
      </c>
      <c r="D322" s="5">
        <v>148.69999999999999</v>
      </c>
      <c r="E322" s="5">
        <v>198.8</v>
      </c>
      <c r="F322" s="5">
        <v>177.9</v>
      </c>
      <c r="G322" s="5">
        <v>159.9</v>
      </c>
      <c r="H322" s="5">
        <v>187.6</v>
      </c>
      <c r="I322" s="5">
        <v>154.9</v>
      </c>
      <c r="J322" s="5">
        <v>188.3</v>
      </c>
      <c r="K322" s="5">
        <v>164.4</v>
      </c>
      <c r="L322" s="5">
        <v>121</v>
      </c>
      <c r="M322" s="5">
        <v>170.5</v>
      </c>
      <c r="N322" s="5">
        <v>164.2</v>
      </c>
      <c r="O322" s="5">
        <v>176.5</v>
      </c>
      <c r="P322" s="5">
        <v>168.2</v>
      </c>
      <c r="Q322" s="5">
        <v>192.4</v>
      </c>
      <c r="R322" s="5">
        <v>168.5</v>
      </c>
      <c r="S322" s="5">
        <v>158.69999999999999</v>
      </c>
      <c r="T322" s="5">
        <v>167</v>
      </c>
      <c r="U322" s="5">
        <v>163.4</v>
      </c>
      <c r="V322" s="5">
        <v>164.1</v>
      </c>
      <c r="W322" s="5">
        <v>160.19999999999999</v>
      </c>
      <c r="X322" s="5">
        <v>170.6</v>
      </c>
      <c r="Y322" s="5">
        <v>155.69999999999999</v>
      </c>
      <c r="Z322" s="5">
        <v>160.6</v>
      </c>
      <c r="AA322" s="5">
        <v>164.4</v>
      </c>
      <c r="AB322" s="5">
        <v>162.6</v>
      </c>
      <c r="AC322" s="5">
        <v>162</v>
      </c>
      <c r="AD322" s="6">
        <v>166.2</v>
      </c>
    </row>
    <row r="323" spans="1:30">
      <c r="A323" s="4" t="s">
        <v>65</v>
      </c>
      <c r="B323" s="5">
        <v>2022</v>
      </c>
      <c r="C323" s="5" t="s">
        <v>66</v>
      </c>
      <c r="D323" s="5">
        <v>148.30000000000001</v>
      </c>
      <c r="E323" s="5">
        <v>196.9</v>
      </c>
      <c r="F323" s="5">
        <v>178</v>
      </c>
      <c r="G323" s="5">
        <v>160.5</v>
      </c>
      <c r="H323" s="5">
        <v>192.6</v>
      </c>
      <c r="I323" s="5">
        <v>151.19999999999999</v>
      </c>
      <c r="J323" s="5">
        <v>159.19999999999999</v>
      </c>
      <c r="K323" s="5">
        <v>164</v>
      </c>
      <c r="L323" s="5">
        <v>119.3</v>
      </c>
      <c r="M323" s="5">
        <v>173.3</v>
      </c>
      <c r="N323" s="5">
        <v>169.8</v>
      </c>
      <c r="O323" s="5">
        <v>175.8</v>
      </c>
      <c r="P323" s="5">
        <v>164.1</v>
      </c>
      <c r="Q323" s="5">
        <v>190.7</v>
      </c>
      <c r="R323" s="5">
        <v>173.2</v>
      </c>
      <c r="S323" s="5">
        <v>169.3</v>
      </c>
      <c r="T323" s="5">
        <v>172.7</v>
      </c>
      <c r="U323" s="5" t="s">
        <v>67</v>
      </c>
      <c r="V323" s="5">
        <v>165.8</v>
      </c>
      <c r="W323" s="5">
        <v>164.9</v>
      </c>
      <c r="X323" s="5">
        <v>174.7</v>
      </c>
      <c r="Y323" s="5">
        <v>160.80000000000001</v>
      </c>
      <c r="Z323" s="5">
        <v>164.9</v>
      </c>
      <c r="AA323" s="5">
        <v>169.9</v>
      </c>
      <c r="AB323" s="5">
        <v>163.19999999999999</v>
      </c>
      <c r="AC323" s="5">
        <v>166.6</v>
      </c>
      <c r="AD323" s="6">
        <v>166.4</v>
      </c>
    </row>
    <row r="324" spans="1:30">
      <c r="A324" s="4" t="s">
        <v>68</v>
      </c>
      <c r="B324" s="5">
        <v>2022</v>
      </c>
      <c r="C324" s="5" t="s">
        <v>66</v>
      </c>
      <c r="D324" s="5">
        <v>152.19999999999999</v>
      </c>
      <c r="E324" s="5">
        <v>202.1</v>
      </c>
      <c r="F324" s="5">
        <v>180.1</v>
      </c>
      <c r="G324" s="5">
        <v>160.4</v>
      </c>
      <c r="H324" s="5">
        <v>171</v>
      </c>
      <c r="I324" s="5">
        <v>156.5</v>
      </c>
      <c r="J324" s="5">
        <v>203.6</v>
      </c>
      <c r="K324" s="5">
        <v>163.80000000000001</v>
      </c>
      <c r="L324" s="5">
        <v>121.3</v>
      </c>
      <c r="M324" s="5">
        <v>169.8</v>
      </c>
      <c r="N324" s="5">
        <v>156.6</v>
      </c>
      <c r="O324" s="5">
        <v>179</v>
      </c>
      <c r="P324" s="5">
        <v>170.3</v>
      </c>
      <c r="Q324" s="5">
        <v>196.4</v>
      </c>
      <c r="R324" s="5">
        <v>164.7</v>
      </c>
      <c r="S324" s="5">
        <v>148.5</v>
      </c>
      <c r="T324" s="5">
        <v>162.19999999999999</v>
      </c>
      <c r="U324" s="5">
        <v>164.5</v>
      </c>
      <c r="V324" s="5">
        <v>161.6</v>
      </c>
      <c r="W324" s="5">
        <v>156.80000000000001</v>
      </c>
      <c r="X324" s="5">
        <v>166.1</v>
      </c>
      <c r="Y324" s="5">
        <v>152.69999999999999</v>
      </c>
      <c r="Z324" s="5">
        <v>158.4</v>
      </c>
      <c r="AA324" s="5">
        <v>161</v>
      </c>
      <c r="AB324" s="5">
        <v>162.80000000000001</v>
      </c>
      <c r="AC324" s="5">
        <v>158.6</v>
      </c>
      <c r="AD324" s="6">
        <v>165</v>
      </c>
    </row>
    <row r="325" spans="1:30">
      <c r="A325" s="4" t="s">
        <v>69</v>
      </c>
      <c r="B325" s="5">
        <v>2022</v>
      </c>
      <c r="C325" s="5" t="s">
        <v>66</v>
      </c>
      <c r="D325" s="5">
        <v>149.5</v>
      </c>
      <c r="E325" s="5">
        <v>198.7</v>
      </c>
      <c r="F325" s="5">
        <v>178.8</v>
      </c>
      <c r="G325" s="5">
        <v>160.5</v>
      </c>
      <c r="H325" s="5">
        <v>184.7</v>
      </c>
      <c r="I325" s="5">
        <v>153.69999999999999</v>
      </c>
      <c r="J325" s="5">
        <v>174.3</v>
      </c>
      <c r="K325" s="5">
        <v>163.9</v>
      </c>
      <c r="L325" s="5">
        <v>120</v>
      </c>
      <c r="M325" s="5">
        <v>172.1</v>
      </c>
      <c r="N325" s="5">
        <v>164.3</v>
      </c>
      <c r="O325" s="5">
        <v>177.3</v>
      </c>
      <c r="P325" s="5">
        <v>166.4</v>
      </c>
      <c r="Q325" s="5">
        <v>192.2</v>
      </c>
      <c r="R325" s="5">
        <v>169.9</v>
      </c>
      <c r="S325" s="5">
        <v>160.69999999999999</v>
      </c>
      <c r="T325" s="5">
        <v>168.5</v>
      </c>
      <c r="U325" s="5">
        <v>164.5</v>
      </c>
      <c r="V325" s="5">
        <v>164.2</v>
      </c>
      <c r="W325" s="5">
        <v>161.1</v>
      </c>
      <c r="X325" s="5">
        <v>171.4</v>
      </c>
      <c r="Y325" s="5">
        <v>156.5</v>
      </c>
      <c r="Z325" s="5">
        <v>161.19999999999999</v>
      </c>
      <c r="AA325" s="5">
        <v>164.7</v>
      </c>
      <c r="AB325" s="5">
        <v>163</v>
      </c>
      <c r="AC325" s="5">
        <v>162.69999999999999</v>
      </c>
      <c r="AD325" s="6">
        <v>165.7</v>
      </c>
    </row>
    <row r="326" spans="1:30">
      <c r="A326" s="4" t="s">
        <v>65</v>
      </c>
      <c r="B326" s="5">
        <v>2022</v>
      </c>
      <c r="C326" s="5" t="s">
        <v>70</v>
      </c>
      <c r="D326" s="5">
        <v>148.80000000000001</v>
      </c>
      <c r="E326" s="5">
        <v>198.1</v>
      </c>
      <c r="F326" s="5">
        <v>175.5</v>
      </c>
      <c r="G326" s="5">
        <v>160.69999999999999</v>
      </c>
      <c r="H326" s="5">
        <v>192.6</v>
      </c>
      <c r="I326" s="5">
        <v>151.4</v>
      </c>
      <c r="J326" s="5">
        <v>155.19999999999999</v>
      </c>
      <c r="K326" s="5">
        <v>163.9</v>
      </c>
      <c r="L326" s="5">
        <v>118.1</v>
      </c>
      <c r="M326" s="5">
        <v>175.4</v>
      </c>
      <c r="N326" s="5">
        <v>170.5</v>
      </c>
      <c r="O326" s="5">
        <v>176.3</v>
      </c>
      <c r="P326" s="5">
        <v>163.9</v>
      </c>
      <c r="Q326" s="5">
        <v>191.5</v>
      </c>
      <c r="R326" s="5">
        <v>174.1</v>
      </c>
      <c r="S326" s="5">
        <v>171</v>
      </c>
      <c r="T326" s="5">
        <v>173.7</v>
      </c>
      <c r="U326" s="5" t="s">
        <v>67</v>
      </c>
      <c r="V326" s="5">
        <v>167.4</v>
      </c>
      <c r="W326" s="5">
        <v>165.7</v>
      </c>
      <c r="X326" s="5">
        <v>175.3</v>
      </c>
      <c r="Y326" s="5">
        <v>161.19999999999999</v>
      </c>
      <c r="Z326" s="5">
        <v>165.5</v>
      </c>
      <c r="AA326" s="5">
        <v>170.3</v>
      </c>
      <c r="AB326" s="5">
        <v>164.5</v>
      </c>
      <c r="AC326" s="5">
        <v>167.3</v>
      </c>
      <c r="AD326" s="6">
        <v>166.7</v>
      </c>
    </row>
    <row r="327" spans="1:30">
      <c r="A327" s="4" t="s">
        <v>68</v>
      </c>
      <c r="B327" s="5">
        <v>2022</v>
      </c>
      <c r="C327" s="5" t="s">
        <v>70</v>
      </c>
      <c r="D327" s="5">
        <v>152.5</v>
      </c>
      <c r="E327" s="5">
        <v>205.2</v>
      </c>
      <c r="F327" s="5">
        <v>176.4</v>
      </c>
      <c r="G327" s="5">
        <v>160.6</v>
      </c>
      <c r="H327" s="5">
        <v>171.5</v>
      </c>
      <c r="I327" s="5">
        <v>156.4</v>
      </c>
      <c r="J327" s="5">
        <v>198</v>
      </c>
      <c r="K327" s="5">
        <v>163.19999999999999</v>
      </c>
      <c r="L327" s="5">
        <v>120.6</v>
      </c>
      <c r="M327" s="5">
        <v>172.2</v>
      </c>
      <c r="N327" s="5">
        <v>156.69999999999999</v>
      </c>
      <c r="O327" s="5">
        <v>180</v>
      </c>
      <c r="P327" s="5">
        <v>170.2</v>
      </c>
      <c r="Q327" s="5">
        <v>196.5</v>
      </c>
      <c r="R327" s="5">
        <v>165.7</v>
      </c>
      <c r="S327" s="5">
        <v>150.4</v>
      </c>
      <c r="T327" s="5">
        <v>163.4</v>
      </c>
      <c r="U327" s="5">
        <v>165.5</v>
      </c>
      <c r="V327" s="5">
        <v>163</v>
      </c>
      <c r="W327" s="5">
        <v>157.4</v>
      </c>
      <c r="X327" s="5">
        <v>167.2</v>
      </c>
      <c r="Y327" s="5">
        <v>153.1</v>
      </c>
      <c r="Z327" s="5">
        <v>159.5</v>
      </c>
      <c r="AA327" s="5">
        <v>162</v>
      </c>
      <c r="AB327" s="5">
        <v>164.2</v>
      </c>
      <c r="AC327" s="5">
        <v>159.4</v>
      </c>
      <c r="AD327" s="6">
        <v>165.5</v>
      </c>
    </row>
    <row r="328" spans="1:30">
      <c r="A328" s="4" t="s">
        <v>69</v>
      </c>
      <c r="B328" s="5">
        <v>2022</v>
      </c>
      <c r="C328" s="5" t="s">
        <v>70</v>
      </c>
      <c r="D328" s="5">
        <v>150</v>
      </c>
      <c r="E328" s="5">
        <v>200.6</v>
      </c>
      <c r="F328" s="5">
        <v>175.8</v>
      </c>
      <c r="G328" s="5">
        <v>160.69999999999999</v>
      </c>
      <c r="H328" s="5">
        <v>184.9</v>
      </c>
      <c r="I328" s="5">
        <v>153.69999999999999</v>
      </c>
      <c r="J328" s="5">
        <v>169.7</v>
      </c>
      <c r="K328" s="5">
        <v>163.69999999999999</v>
      </c>
      <c r="L328" s="5">
        <v>118.9</v>
      </c>
      <c r="M328" s="5">
        <v>174.3</v>
      </c>
      <c r="N328" s="5">
        <v>164.7</v>
      </c>
      <c r="O328" s="5">
        <v>178</v>
      </c>
      <c r="P328" s="5">
        <v>166.2</v>
      </c>
      <c r="Q328" s="5">
        <v>192.8</v>
      </c>
      <c r="R328" s="5">
        <v>170.8</v>
      </c>
      <c r="S328" s="5">
        <v>162.4</v>
      </c>
      <c r="T328" s="5">
        <v>169.6</v>
      </c>
      <c r="U328" s="5">
        <v>165.5</v>
      </c>
      <c r="V328" s="5">
        <v>165.7</v>
      </c>
      <c r="W328" s="5">
        <v>161.80000000000001</v>
      </c>
      <c r="X328" s="5">
        <v>172.2</v>
      </c>
      <c r="Y328" s="5">
        <v>156.9</v>
      </c>
      <c r="Z328" s="5">
        <v>162.1</v>
      </c>
      <c r="AA328" s="5">
        <v>165.4</v>
      </c>
      <c r="AB328" s="5">
        <v>164.4</v>
      </c>
      <c r="AC328" s="5">
        <v>163.5</v>
      </c>
      <c r="AD328" s="6">
        <v>166.1</v>
      </c>
    </row>
    <row r="329" spans="1:30">
      <c r="A329" s="4" t="s">
        <v>65</v>
      </c>
      <c r="B329" s="5">
        <v>2022</v>
      </c>
      <c r="C329" s="5" t="s">
        <v>71</v>
      </c>
      <c r="D329" s="5">
        <v>150.19999999999999</v>
      </c>
      <c r="E329" s="5">
        <v>208</v>
      </c>
      <c r="F329" s="5">
        <v>167.9</v>
      </c>
      <c r="G329" s="5">
        <v>162</v>
      </c>
      <c r="H329" s="5">
        <v>203.1</v>
      </c>
      <c r="I329" s="5">
        <v>155.9</v>
      </c>
      <c r="J329" s="5">
        <v>155.80000000000001</v>
      </c>
      <c r="K329" s="5">
        <v>164.2</v>
      </c>
      <c r="L329" s="5">
        <v>118.1</v>
      </c>
      <c r="M329" s="5">
        <v>178.7</v>
      </c>
      <c r="N329" s="5">
        <v>171.2</v>
      </c>
      <c r="O329" s="5">
        <v>177.4</v>
      </c>
      <c r="P329" s="5">
        <v>166.6</v>
      </c>
      <c r="Q329" s="5">
        <v>192.3</v>
      </c>
      <c r="R329" s="5">
        <v>175.4</v>
      </c>
      <c r="S329" s="5">
        <v>173.2</v>
      </c>
      <c r="T329" s="5">
        <v>175.1</v>
      </c>
      <c r="U329" s="5" t="s">
        <v>67</v>
      </c>
      <c r="V329" s="5">
        <v>168.9</v>
      </c>
      <c r="W329" s="5">
        <v>166.5</v>
      </c>
      <c r="X329" s="5">
        <v>176</v>
      </c>
      <c r="Y329" s="5">
        <v>162</v>
      </c>
      <c r="Z329" s="5">
        <v>166.6</v>
      </c>
      <c r="AA329" s="5">
        <v>170.6</v>
      </c>
      <c r="AB329" s="5">
        <v>167.4</v>
      </c>
      <c r="AC329" s="5">
        <v>168.3</v>
      </c>
      <c r="AD329" s="6">
        <v>168.7</v>
      </c>
    </row>
    <row r="330" spans="1:30">
      <c r="A330" s="4" t="s">
        <v>68</v>
      </c>
      <c r="B330" s="5">
        <v>2022</v>
      </c>
      <c r="C330" s="5" t="s">
        <v>71</v>
      </c>
      <c r="D330" s="5">
        <v>153.69999999999999</v>
      </c>
      <c r="E330" s="5">
        <v>215.8</v>
      </c>
      <c r="F330" s="5">
        <v>167.7</v>
      </c>
      <c r="G330" s="5">
        <v>162.6</v>
      </c>
      <c r="H330" s="5">
        <v>180</v>
      </c>
      <c r="I330" s="5">
        <v>159.6</v>
      </c>
      <c r="J330" s="5">
        <v>188.4</v>
      </c>
      <c r="K330" s="5">
        <v>163.4</v>
      </c>
      <c r="L330" s="5">
        <v>120.3</v>
      </c>
      <c r="M330" s="5">
        <v>174.7</v>
      </c>
      <c r="N330" s="5">
        <v>157.1</v>
      </c>
      <c r="O330" s="5">
        <v>181.5</v>
      </c>
      <c r="P330" s="5">
        <v>171.5</v>
      </c>
      <c r="Q330" s="5">
        <v>197.5</v>
      </c>
      <c r="R330" s="5">
        <v>167.1</v>
      </c>
      <c r="S330" s="5">
        <v>152.6</v>
      </c>
      <c r="T330" s="5">
        <v>164.9</v>
      </c>
      <c r="U330" s="5">
        <v>165.3</v>
      </c>
      <c r="V330" s="5">
        <v>164.5</v>
      </c>
      <c r="W330" s="5">
        <v>158.6</v>
      </c>
      <c r="X330" s="5">
        <v>168.2</v>
      </c>
      <c r="Y330" s="5">
        <v>154.19999999999999</v>
      </c>
      <c r="Z330" s="5">
        <v>160.80000000000001</v>
      </c>
      <c r="AA330" s="5">
        <v>162.69999999999999</v>
      </c>
      <c r="AB330" s="5">
        <v>166.8</v>
      </c>
      <c r="AC330" s="5">
        <v>160.6</v>
      </c>
      <c r="AD330" s="6">
        <v>166.5</v>
      </c>
    </row>
    <row r="331" spans="1:30">
      <c r="A331" s="4" t="s">
        <v>69</v>
      </c>
      <c r="B331" s="5">
        <v>2022</v>
      </c>
      <c r="C331" s="5" t="s">
        <v>71</v>
      </c>
      <c r="D331" s="5">
        <v>151.30000000000001</v>
      </c>
      <c r="E331" s="5">
        <v>210.7</v>
      </c>
      <c r="F331" s="5">
        <v>167.8</v>
      </c>
      <c r="G331" s="5">
        <v>162.19999999999999</v>
      </c>
      <c r="H331" s="5">
        <v>194.6</v>
      </c>
      <c r="I331" s="5">
        <v>157.6</v>
      </c>
      <c r="J331" s="5">
        <v>166.9</v>
      </c>
      <c r="K331" s="5">
        <v>163.9</v>
      </c>
      <c r="L331" s="5">
        <v>118.8</v>
      </c>
      <c r="M331" s="5">
        <v>177.4</v>
      </c>
      <c r="N331" s="5">
        <v>165.3</v>
      </c>
      <c r="O331" s="5">
        <v>179.3</v>
      </c>
      <c r="P331" s="5">
        <v>168.4</v>
      </c>
      <c r="Q331" s="5">
        <v>193.7</v>
      </c>
      <c r="R331" s="5">
        <v>172.1</v>
      </c>
      <c r="S331" s="5">
        <v>164.6</v>
      </c>
      <c r="T331" s="5">
        <v>171.1</v>
      </c>
      <c r="U331" s="5">
        <v>165.3</v>
      </c>
      <c r="V331" s="5">
        <v>167.2</v>
      </c>
      <c r="W331" s="5">
        <v>162.80000000000001</v>
      </c>
      <c r="X331" s="5">
        <v>173</v>
      </c>
      <c r="Y331" s="5">
        <v>157.9</v>
      </c>
      <c r="Z331" s="5">
        <v>163.30000000000001</v>
      </c>
      <c r="AA331" s="5">
        <v>166</v>
      </c>
      <c r="AB331" s="5">
        <v>167.2</v>
      </c>
      <c r="AC331" s="5">
        <v>164.6</v>
      </c>
      <c r="AD331" s="6">
        <v>167.7</v>
      </c>
    </row>
    <row r="332" spans="1:30">
      <c r="A332" s="4" t="s">
        <v>65</v>
      </c>
      <c r="B332" s="5">
        <v>2022</v>
      </c>
      <c r="C332" s="5" t="s">
        <v>72</v>
      </c>
      <c r="D332" s="5">
        <v>151.80000000000001</v>
      </c>
      <c r="E332" s="5">
        <v>209.7</v>
      </c>
      <c r="F332" s="5">
        <v>164.5</v>
      </c>
      <c r="G332" s="5">
        <v>163.80000000000001</v>
      </c>
      <c r="H332" s="5">
        <v>207.4</v>
      </c>
      <c r="I332" s="5">
        <v>169.7</v>
      </c>
      <c r="J332" s="5">
        <v>153.6</v>
      </c>
      <c r="K332" s="5">
        <v>165.1</v>
      </c>
      <c r="L332" s="5">
        <v>118.2</v>
      </c>
      <c r="M332" s="5">
        <v>182.9</v>
      </c>
      <c r="N332" s="5">
        <v>172.4</v>
      </c>
      <c r="O332" s="5">
        <v>178.9</v>
      </c>
      <c r="P332" s="5">
        <v>168.6</v>
      </c>
      <c r="Q332" s="5">
        <v>192.8</v>
      </c>
      <c r="R332" s="5">
        <v>177.5</v>
      </c>
      <c r="S332" s="5">
        <v>175.1</v>
      </c>
      <c r="T332" s="5">
        <v>177.1</v>
      </c>
      <c r="U332" s="5" t="s">
        <v>67</v>
      </c>
      <c r="V332" s="5">
        <v>173.3</v>
      </c>
      <c r="W332" s="5">
        <v>167.7</v>
      </c>
      <c r="X332" s="5">
        <v>177</v>
      </c>
      <c r="Y332" s="5">
        <v>166.2</v>
      </c>
      <c r="Z332" s="5">
        <v>167.2</v>
      </c>
      <c r="AA332" s="5">
        <v>170.9</v>
      </c>
      <c r="AB332" s="5">
        <v>169</v>
      </c>
      <c r="AC332" s="5">
        <v>170.2</v>
      </c>
      <c r="AD332" s="6">
        <v>170.8</v>
      </c>
    </row>
    <row r="333" spans="1:30">
      <c r="A333" s="4" t="s">
        <v>68</v>
      </c>
      <c r="B333" s="5">
        <v>2022</v>
      </c>
      <c r="C333" s="5" t="s">
        <v>72</v>
      </c>
      <c r="D333" s="5">
        <v>155.4</v>
      </c>
      <c r="E333" s="5">
        <v>215.8</v>
      </c>
      <c r="F333" s="5">
        <v>164.6</v>
      </c>
      <c r="G333" s="5">
        <v>164.2</v>
      </c>
      <c r="H333" s="5">
        <v>186</v>
      </c>
      <c r="I333" s="5">
        <v>175.9</v>
      </c>
      <c r="J333" s="5">
        <v>190.7</v>
      </c>
      <c r="K333" s="5">
        <v>164</v>
      </c>
      <c r="L333" s="5">
        <v>120.5</v>
      </c>
      <c r="M333" s="5">
        <v>178</v>
      </c>
      <c r="N333" s="5">
        <v>157.5</v>
      </c>
      <c r="O333" s="5">
        <v>183.3</v>
      </c>
      <c r="P333" s="5">
        <v>174.5</v>
      </c>
      <c r="Q333" s="5">
        <v>197.1</v>
      </c>
      <c r="R333" s="5">
        <v>168.4</v>
      </c>
      <c r="S333" s="5">
        <v>154.5</v>
      </c>
      <c r="T333" s="5">
        <v>166.3</v>
      </c>
      <c r="U333" s="5">
        <v>167</v>
      </c>
      <c r="V333" s="5">
        <v>170.5</v>
      </c>
      <c r="W333" s="5">
        <v>159.80000000000001</v>
      </c>
      <c r="X333" s="5">
        <v>169</v>
      </c>
      <c r="Y333" s="5">
        <v>159.30000000000001</v>
      </c>
      <c r="Z333" s="5">
        <v>162.19999999999999</v>
      </c>
      <c r="AA333" s="5">
        <v>164</v>
      </c>
      <c r="AB333" s="5">
        <v>168.4</v>
      </c>
      <c r="AC333" s="5">
        <v>163.1</v>
      </c>
      <c r="AD333" s="6">
        <v>169.2</v>
      </c>
    </row>
    <row r="334" spans="1:30">
      <c r="A334" s="4" t="s">
        <v>69</v>
      </c>
      <c r="B334" s="5">
        <v>2022</v>
      </c>
      <c r="C334" s="5" t="s">
        <v>72</v>
      </c>
      <c r="D334" s="5">
        <v>152.9</v>
      </c>
      <c r="E334" s="5">
        <v>211.8</v>
      </c>
      <c r="F334" s="5">
        <v>164.5</v>
      </c>
      <c r="G334" s="5">
        <v>163.9</v>
      </c>
      <c r="H334" s="5">
        <v>199.5</v>
      </c>
      <c r="I334" s="5">
        <v>172.6</v>
      </c>
      <c r="J334" s="5">
        <v>166.2</v>
      </c>
      <c r="K334" s="5">
        <v>164.7</v>
      </c>
      <c r="L334" s="5">
        <v>119</v>
      </c>
      <c r="M334" s="5">
        <v>181.3</v>
      </c>
      <c r="N334" s="5">
        <v>166.2</v>
      </c>
      <c r="O334" s="5">
        <v>180.9</v>
      </c>
      <c r="P334" s="5">
        <v>170.8</v>
      </c>
      <c r="Q334" s="5">
        <v>193.9</v>
      </c>
      <c r="R334" s="5">
        <v>173.9</v>
      </c>
      <c r="S334" s="5">
        <v>166.5</v>
      </c>
      <c r="T334" s="5">
        <v>172.8</v>
      </c>
      <c r="U334" s="5">
        <v>167</v>
      </c>
      <c r="V334" s="5">
        <v>172.2</v>
      </c>
      <c r="W334" s="5">
        <v>164</v>
      </c>
      <c r="X334" s="5">
        <v>174</v>
      </c>
      <c r="Y334" s="5">
        <v>162.6</v>
      </c>
      <c r="Z334" s="5">
        <v>164.4</v>
      </c>
      <c r="AA334" s="5">
        <v>166.9</v>
      </c>
      <c r="AB334" s="5">
        <v>168.8</v>
      </c>
      <c r="AC334" s="5">
        <v>166.8</v>
      </c>
      <c r="AD334" s="6">
        <v>170.1</v>
      </c>
    </row>
    <row r="335" spans="1:30">
      <c r="A335" s="4" t="s">
        <v>65</v>
      </c>
      <c r="B335" s="5">
        <v>2022</v>
      </c>
      <c r="C335" s="5" t="s">
        <v>73</v>
      </c>
      <c r="D335" s="5">
        <v>152.9</v>
      </c>
      <c r="E335" s="5">
        <v>214.7</v>
      </c>
      <c r="F335" s="5">
        <v>161.4</v>
      </c>
      <c r="G335" s="5">
        <v>164.6</v>
      </c>
      <c r="H335" s="5">
        <v>209.9</v>
      </c>
      <c r="I335" s="5">
        <v>168</v>
      </c>
      <c r="J335" s="5">
        <v>160.4</v>
      </c>
      <c r="K335" s="5">
        <v>165</v>
      </c>
      <c r="L335" s="5">
        <v>118.9</v>
      </c>
      <c r="M335" s="5">
        <v>186.6</v>
      </c>
      <c r="N335" s="5">
        <v>173.2</v>
      </c>
      <c r="O335" s="5">
        <v>180.4</v>
      </c>
      <c r="P335" s="5">
        <v>170.8</v>
      </c>
      <c r="Q335" s="5">
        <v>192.9</v>
      </c>
      <c r="R335" s="5">
        <v>179.3</v>
      </c>
      <c r="S335" s="5">
        <v>177.2</v>
      </c>
      <c r="T335" s="5">
        <v>179</v>
      </c>
      <c r="U335" s="5" t="s">
        <v>67</v>
      </c>
      <c r="V335" s="5">
        <v>175.3</v>
      </c>
      <c r="W335" s="5">
        <v>168.9</v>
      </c>
      <c r="X335" s="5">
        <v>177.7</v>
      </c>
      <c r="Y335" s="5">
        <v>167.1</v>
      </c>
      <c r="Z335" s="5">
        <v>167.6</v>
      </c>
      <c r="AA335" s="5">
        <v>171.8</v>
      </c>
      <c r="AB335" s="5">
        <v>168.5</v>
      </c>
      <c r="AC335" s="5">
        <v>170.9</v>
      </c>
      <c r="AD335" s="6">
        <v>172.5</v>
      </c>
    </row>
    <row r="336" spans="1:30">
      <c r="A336" s="4" t="s">
        <v>68</v>
      </c>
      <c r="B336" s="5">
        <v>2022</v>
      </c>
      <c r="C336" s="5" t="s">
        <v>73</v>
      </c>
      <c r="D336" s="5">
        <v>156.69999999999999</v>
      </c>
      <c r="E336" s="5">
        <v>221.2</v>
      </c>
      <c r="F336" s="5">
        <v>164.1</v>
      </c>
      <c r="G336" s="5">
        <v>165.4</v>
      </c>
      <c r="H336" s="5">
        <v>189.5</v>
      </c>
      <c r="I336" s="5">
        <v>174.5</v>
      </c>
      <c r="J336" s="5">
        <v>203.2</v>
      </c>
      <c r="K336" s="5">
        <v>164.1</v>
      </c>
      <c r="L336" s="5">
        <v>121.2</v>
      </c>
      <c r="M336" s="5">
        <v>181.4</v>
      </c>
      <c r="N336" s="5">
        <v>158.5</v>
      </c>
      <c r="O336" s="5">
        <v>184.9</v>
      </c>
      <c r="P336" s="5">
        <v>177.5</v>
      </c>
      <c r="Q336" s="5">
        <v>197.5</v>
      </c>
      <c r="R336" s="5">
        <v>170</v>
      </c>
      <c r="S336" s="5">
        <v>155.9</v>
      </c>
      <c r="T336" s="5">
        <v>167.8</v>
      </c>
      <c r="U336" s="5">
        <v>167.5</v>
      </c>
      <c r="V336" s="5">
        <v>173.5</v>
      </c>
      <c r="W336" s="5">
        <v>161.1</v>
      </c>
      <c r="X336" s="5">
        <v>170.1</v>
      </c>
      <c r="Y336" s="5">
        <v>159.4</v>
      </c>
      <c r="Z336" s="5">
        <v>163.19999999999999</v>
      </c>
      <c r="AA336" s="5">
        <v>165.2</v>
      </c>
      <c r="AB336" s="5">
        <v>168.2</v>
      </c>
      <c r="AC336" s="5">
        <v>163.80000000000001</v>
      </c>
      <c r="AD336" s="6">
        <v>170.8</v>
      </c>
    </row>
    <row r="337" spans="1:30">
      <c r="A337" s="4" t="s">
        <v>69</v>
      </c>
      <c r="B337" s="5">
        <v>2022</v>
      </c>
      <c r="C337" s="5" t="s">
        <v>73</v>
      </c>
      <c r="D337" s="5">
        <v>154.1</v>
      </c>
      <c r="E337" s="5">
        <v>217</v>
      </c>
      <c r="F337" s="5">
        <v>162.4</v>
      </c>
      <c r="G337" s="5">
        <v>164.9</v>
      </c>
      <c r="H337" s="5">
        <v>202.4</v>
      </c>
      <c r="I337" s="5">
        <v>171</v>
      </c>
      <c r="J337" s="5">
        <v>174.9</v>
      </c>
      <c r="K337" s="5">
        <v>164.7</v>
      </c>
      <c r="L337" s="5">
        <v>119.7</v>
      </c>
      <c r="M337" s="5">
        <v>184.9</v>
      </c>
      <c r="N337" s="5">
        <v>167.1</v>
      </c>
      <c r="O337" s="5">
        <v>182.5</v>
      </c>
      <c r="P337" s="5">
        <v>173.3</v>
      </c>
      <c r="Q337" s="5">
        <v>194.1</v>
      </c>
      <c r="R337" s="5">
        <v>175.6</v>
      </c>
      <c r="S337" s="5">
        <v>168.4</v>
      </c>
      <c r="T337" s="5">
        <v>174.6</v>
      </c>
      <c r="U337" s="5">
        <v>167.5</v>
      </c>
      <c r="V337" s="5">
        <v>174.6</v>
      </c>
      <c r="W337" s="5">
        <v>165.2</v>
      </c>
      <c r="X337" s="5">
        <v>174.8</v>
      </c>
      <c r="Y337" s="5">
        <v>163</v>
      </c>
      <c r="Z337" s="5">
        <v>165.1</v>
      </c>
      <c r="AA337" s="5">
        <v>167.9</v>
      </c>
      <c r="AB337" s="5">
        <v>168.4</v>
      </c>
      <c r="AC337" s="5">
        <v>167.5</v>
      </c>
      <c r="AD337" s="6">
        <v>171.7</v>
      </c>
    </row>
    <row r="338" spans="1:30">
      <c r="A338" s="4" t="s">
        <v>65</v>
      </c>
      <c r="B338" s="5">
        <v>2022</v>
      </c>
      <c r="C338" s="5" t="s">
        <v>74</v>
      </c>
      <c r="D338" s="5">
        <v>153.80000000000001</v>
      </c>
      <c r="E338" s="5">
        <v>217.2</v>
      </c>
      <c r="F338" s="5">
        <v>169.6</v>
      </c>
      <c r="G338" s="5">
        <v>165.4</v>
      </c>
      <c r="H338" s="5">
        <v>208.1</v>
      </c>
      <c r="I338" s="5">
        <v>165.8</v>
      </c>
      <c r="J338" s="5">
        <v>167.3</v>
      </c>
      <c r="K338" s="5">
        <v>164.6</v>
      </c>
      <c r="L338" s="5">
        <v>119.1</v>
      </c>
      <c r="M338" s="5">
        <v>188.9</v>
      </c>
      <c r="N338" s="5">
        <v>174.2</v>
      </c>
      <c r="O338" s="5">
        <v>181.9</v>
      </c>
      <c r="P338" s="5">
        <v>172.4</v>
      </c>
      <c r="Q338" s="5">
        <v>192.9</v>
      </c>
      <c r="R338" s="5">
        <v>180.7</v>
      </c>
      <c r="S338" s="5">
        <v>178.7</v>
      </c>
      <c r="T338" s="5">
        <v>180.4</v>
      </c>
      <c r="U338" s="5" t="s">
        <v>67</v>
      </c>
      <c r="V338" s="5">
        <v>176.7</v>
      </c>
      <c r="W338" s="5">
        <v>170.3</v>
      </c>
      <c r="X338" s="5">
        <v>178.2</v>
      </c>
      <c r="Y338" s="5">
        <v>165.5</v>
      </c>
      <c r="Z338" s="5">
        <v>168</v>
      </c>
      <c r="AA338" s="5">
        <v>172.6</v>
      </c>
      <c r="AB338" s="5">
        <v>169.5</v>
      </c>
      <c r="AC338" s="5">
        <v>171</v>
      </c>
      <c r="AD338" s="6">
        <v>173.6</v>
      </c>
    </row>
    <row r="339" spans="1:30">
      <c r="A339" s="4" t="s">
        <v>68</v>
      </c>
      <c r="B339" s="5">
        <v>2022</v>
      </c>
      <c r="C339" s="5" t="s">
        <v>74</v>
      </c>
      <c r="D339" s="5">
        <v>157.5</v>
      </c>
      <c r="E339" s="5">
        <v>223.4</v>
      </c>
      <c r="F339" s="5">
        <v>172.8</v>
      </c>
      <c r="G339" s="5">
        <v>166.4</v>
      </c>
      <c r="H339" s="5">
        <v>188.6</v>
      </c>
      <c r="I339" s="5">
        <v>174.1</v>
      </c>
      <c r="J339" s="5">
        <v>211.5</v>
      </c>
      <c r="K339" s="5">
        <v>163.6</v>
      </c>
      <c r="L339" s="5">
        <v>121.4</v>
      </c>
      <c r="M339" s="5">
        <v>183.5</v>
      </c>
      <c r="N339" s="5">
        <v>159.1</v>
      </c>
      <c r="O339" s="5">
        <v>186.3</v>
      </c>
      <c r="P339" s="5">
        <v>179.3</v>
      </c>
      <c r="Q339" s="5">
        <v>198.3</v>
      </c>
      <c r="R339" s="5">
        <v>171.6</v>
      </c>
      <c r="S339" s="5">
        <v>157.4</v>
      </c>
      <c r="T339" s="5">
        <v>169.4</v>
      </c>
      <c r="U339" s="5">
        <v>166.8</v>
      </c>
      <c r="V339" s="5">
        <v>174.9</v>
      </c>
      <c r="W339" s="5">
        <v>162.1</v>
      </c>
      <c r="X339" s="5">
        <v>170.9</v>
      </c>
      <c r="Y339" s="5">
        <v>157.19999999999999</v>
      </c>
      <c r="Z339" s="5">
        <v>164.1</v>
      </c>
      <c r="AA339" s="5">
        <v>166.5</v>
      </c>
      <c r="AB339" s="5">
        <v>169.2</v>
      </c>
      <c r="AC339" s="5">
        <v>163.80000000000001</v>
      </c>
      <c r="AD339" s="6">
        <v>171.4</v>
      </c>
    </row>
    <row r="340" spans="1:30">
      <c r="A340" s="4" t="s">
        <v>69</v>
      </c>
      <c r="B340" s="5">
        <v>2022</v>
      </c>
      <c r="C340" s="5" t="s">
        <v>74</v>
      </c>
      <c r="D340" s="5">
        <v>155</v>
      </c>
      <c r="E340" s="5">
        <v>219.4</v>
      </c>
      <c r="F340" s="5">
        <v>170.8</v>
      </c>
      <c r="G340" s="5">
        <v>165.8</v>
      </c>
      <c r="H340" s="5">
        <v>200.9</v>
      </c>
      <c r="I340" s="5">
        <v>169.7</v>
      </c>
      <c r="J340" s="5">
        <v>182.3</v>
      </c>
      <c r="K340" s="5">
        <v>164.3</v>
      </c>
      <c r="L340" s="5">
        <v>119.9</v>
      </c>
      <c r="M340" s="5">
        <v>187.1</v>
      </c>
      <c r="N340" s="5">
        <v>167.9</v>
      </c>
      <c r="O340" s="5">
        <v>183.9</v>
      </c>
      <c r="P340" s="5">
        <v>174.9</v>
      </c>
      <c r="Q340" s="5">
        <v>194.3</v>
      </c>
      <c r="R340" s="5">
        <v>177.1</v>
      </c>
      <c r="S340" s="5">
        <v>169.9</v>
      </c>
      <c r="T340" s="5">
        <v>176</v>
      </c>
      <c r="U340" s="5">
        <v>166.8</v>
      </c>
      <c r="V340" s="5">
        <v>176</v>
      </c>
      <c r="W340" s="5">
        <v>166.4</v>
      </c>
      <c r="X340" s="5">
        <v>175.4</v>
      </c>
      <c r="Y340" s="5">
        <v>161.1</v>
      </c>
      <c r="Z340" s="5">
        <v>165.8</v>
      </c>
      <c r="AA340" s="5">
        <v>169</v>
      </c>
      <c r="AB340" s="5">
        <v>169.4</v>
      </c>
      <c r="AC340" s="5">
        <v>167.5</v>
      </c>
      <c r="AD340" s="6">
        <v>172.6</v>
      </c>
    </row>
    <row r="341" spans="1:30">
      <c r="A341" s="4" t="s">
        <v>65</v>
      </c>
      <c r="B341" s="5">
        <v>2022</v>
      </c>
      <c r="C341" s="5" t="s">
        <v>75</v>
      </c>
      <c r="D341" s="5">
        <v>155.19999999999999</v>
      </c>
      <c r="E341" s="5">
        <v>210.8</v>
      </c>
      <c r="F341" s="5">
        <v>174.3</v>
      </c>
      <c r="G341" s="5">
        <v>166.3</v>
      </c>
      <c r="H341" s="5">
        <v>202.2</v>
      </c>
      <c r="I341" s="5">
        <v>169.6</v>
      </c>
      <c r="J341" s="5">
        <v>168.6</v>
      </c>
      <c r="K341" s="5">
        <v>164.4</v>
      </c>
      <c r="L341" s="5">
        <v>119.2</v>
      </c>
      <c r="M341" s="5">
        <v>191.8</v>
      </c>
      <c r="N341" s="5">
        <v>174.5</v>
      </c>
      <c r="O341" s="5">
        <v>183.1</v>
      </c>
      <c r="P341" s="5">
        <v>172.5</v>
      </c>
      <c r="Q341" s="5">
        <v>193.2</v>
      </c>
      <c r="R341" s="5">
        <v>182</v>
      </c>
      <c r="S341" s="5">
        <v>180.3</v>
      </c>
      <c r="T341" s="5">
        <v>181.7</v>
      </c>
      <c r="U341" s="5" t="s">
        <v>67</v>
      </c>
      <c r="V341" s="5">
        <v>179.6</v>
      </c>
      <c r="W341" s="5">
        <v>171.3</v>
      </c>
      <c r="X341" s="5">
        <v>178.8</v>
      </c>
      <c r="Y341" s="5">
        <v>166.3</v>
      </c>
      <c r="Z341" s="5">
        <v>168.6</v>
      </c>
      <c r="AA341" s="5">
        <v>174.7</v>
      </c>
      <c r="AB341" s="5">
        <v>169.7</v>
      </c>
      <c r="AC341" s="5">
        <v>171.8</v>
      </c>
      <c r="AD341" s="6">
        <v>174.3</v>
      </c>
    </row>
    <row r="342" spans="1:30">
      <c r="A342" s="4" t="s">
        <v>68</v>
      </c>
      <c r="B342" s="5">
        <v>2022</v>
      </c>
      <c r="C342" s="5" t="s">
        <v>75</v>
      </c>
      <c r="D342" s="5">
        <v>159.30000000000001</v>
      </c>
      <c r="E342" s="5">
        <v>217.1</v>
      </c>
      <c r="F342" s="5">
        <v>176.6</v>
      </c>
      <c r="G342" s="5">
        <v>167.1</v>
      </c>
      <c r="H342" s="5">
        <v>184.8</v>
      </c>
      <c r="I342" s="5">
        <v>179.5</v>
      </c>
      <c r="J342" s="5">
        <v>208.5</v>
      </c>
      <c r="K342" s="5">
        <v>164</v>
      </c>
      <c r="L342" s="5">
        <v>121.5</v>
      </c>
      <c r="M342" s="5">
        <v>186.3</v>
      </c>
      <c r="N342" s="5">
        <v>159.80000000000001</v>
      </c>
      <c r="O342" s="5">
        <v>187.7</v>
      </c>
      <c r="P342" s="5">
        <v>179.4</v>
      </c>
      <c r="Q342" s="5">
        <v>198.6</v>
      </c>
      <c r="R342" s="5">
        <v>172.7</v>
      </c>
      <c r="S342" s="5">
        <v>158.69999999999999</v>
      </c>
      <c r="T342" s="5">
        <v>170.6</v>
      </c>
      <c r="U342" s="5">
        <v>167.8</v>
      </c>
      <c r="V342" s="5">
        <v>179.5</v>
      </c>
      <c r="W342" s="5">
        <v>163.1</v>
      </c>
      <c r="X342" s="5">
        <v>171.7</v>
      </c>
      <c r="Y342" s="5">
        <v>157.4</v>
      </c>
      <c r="Z342" s="5">
        <v>164.6</v>
      </c>
      <c r="AA342" s="5">
        <v>169.1</v>
      </c>
      <c r="AB342" s="5">
        <v>169.8</v>
      </c>
      <c r="AC342" s="5">
        <v>164.7</v>
      </c>
      <c r="AD342" s="6">
        <v>172.3</v>
      </c>
    </row>
    <row r="343" spans="1:30">
      <c r="A343" s="4" t="s">
        <v>69</v>
      </c>
      <c r="B343" s="5">
        <v>2022</v>
      </c>
      <c r="C343" s="5" t="s">
        <v>75</v>
      </c>
      <c r="D343" s="5">
        <v>156.5</v>
      </c>
      <c r="E343" s="5">
        <v>213</v>
      </c>
      <c r="F343" s="5">
        <v>175.2</v>
      </c>
      <c r="G343" s="5">
        <v>166.6</v>
      </c>
      <c r="H343" s="5">
        <v>195.8</v>
      </c>
      <c r="I343" s="5">
        <v>174.2</v>
      </c>
      <c r="J343" s="5">
        <v>182.1</v>
      </c>
      <c r="K343" s="5">
        <v>164.3</v>
      </c>
      <c r="L343" s="5">
        <v>120</v>
      </c>
      <c r="M343" s="5">
        <v>190</v>
      </c>
      <c r="N343" s="5">
        <v>168.4</v>
      </c>
      <c r="O343" s="5">
        <v>185.2</v>
      </c>
      <c r="P343" s="5">
        <v>175</v>
      </c>
      <c r="Q343" s="5">
        <v>194.6</v>
      </c>
      <c r="R343" s="5">
        <v>178.3</v>
      </c>
      <c r="S343" s="5">
        <v>171.3</v>
      </c>
      <c r="T343" s="5">
        <v>177.3</v>
      </c>
      <c r="U343" s="5">
        <v>167.8</v>
      </c>
      <c r="V343" s="5">
        <v>179.6</v>
      </c>
      <c r="W343" s="5">
        <v>167.4</v>
      </c>
      <c r="X343" s="5">
        <v>176.1</v>
      </c>
      <c r="Y343" s="5">
        <v>161.6</v>
      </c>
      <c r="Z343" s="5">
        <v>166.3</v>
      </c>
      <c r="AA343" s="5">
        <v>171.4</v>
      </c>
      <c r="AB343" s="5">
        <v>169.7</v>
      </c>
      <c r="AC343" s="5">
        <v>168.4</v>
      </c>
      <c r="AD343" s="6">
        <v>173.4</v>
      </c>
    </row>
    <row r="344" spans="1:30">
      <c r="A344" s="4" t="s">
        <v>65</v>
      </c>
      <c r="B344" s="5">
        <v>2022</v>
      </c>
      <c r="C344" s="5" t="s">
        <v>76</v>
      </c>
      <c r="D344" s="5">
        <v>159.5</v>
      </c>
      <c r="E344" s="5">
        <v>204.1</v>
      </c>
      <c r="F344" s="5">
        <v>168.3</v>
      </c>
      <c r="G344" s="5">
        <v>167.9</v>
      </c>
      <c r="H344" s="5">
        <v>198.1</v>
      </c>
      <c r="I344" s="5">
        <v>169.2</v>
      </c>
      <c r="J344" s="5">
        <v>173.1</v>
      </c>
      <c r="K344" s="5">
        <v>167.1</v>
      </c>
      <c r="L344" s="5">
        <v>120.2</v>
      </c>
      <c r="M344" s="5">
        <v>195.6</v>
      </c>
      <c r="N344" s="5">
        <v>174.8</v>
      </c>
      <c r="O344" s="5">
        <v>184</v>
      </c>
      <c r="P344" s="5">
        <v>173.9</v>
      </c>
      <c r="Q344" s="5">
        <v>193.7</v>
      </c>
      <c r="R344" s="5">
        <v>183.2</v>
      </c>
      <c r="S344" s="5">
        <v>181.7</v>
      </c>
      <c r="T344" s="5">
        <v>183</v>
      </c>
      <c r="U344" s="5" t="s">
        <v>67</v>
      </c>
      <c r="V344" s="5">
        <v>179.1</v>
      </c>
      <c r="W344" s="5">
        <v>172.3</v>
      </c>
      <c r="X344" s="5">
        <v>179.4</v>
      </c>
      <c r="Y344" s="5">
        <v>166.6</v>
      </c>
      <c r="Z344" s="5">
        <v>169.3</v>
      </c>
      <c r="AA344" s="5">
        <v>175.7</v>
      </c>
      <c r="AB344" s="5">
        <v>171.1</v>
      </c>
      <c r="AC344" s="5">
        <v>172.6</v>
      </c>
      <c r="AD344" s="6">
        <v>175.3</v>
      </c>
    </row>
    <row r="345" spans="1:30">
      <c r="A345" s="4" t="s">
        <v>68</v>
      </c>
      <c r="B345" s="5">
        <v>2022</v>
      </c>
      <c r="C345" s="5" t="s">
        <v>76</v>
      </c>
      <c r="D345" s="5">
        <v>162.1</v>
      </c>
      <c r="E345" s="5">
        <v>210.9</v>
      </c>
      <c r="F345" s="5">
        <v>170.6</v>
      </c>
      <c r="G345" s="5">
        <v>168.4</v>
      </c>
      <c r="H345" s="5">
        <v>182.5</v>
      </c>
      <c r="I345" s="5">
        <v>177.1</v>
      </c>
      <c r="J345" s="5">
        <v>213.1</v>
      </c>
      <c r="K345" s="5">
        <v>167.3</v>
      </c>
      <c r="L345" s="5">
        <v>122.2</v>
      </c>
      <c r="M345" s="5">
        <v>189.7</v>
      </c>
      <c r="N345" s="5">
        <v>160.5</v>
      </c>
      <c r="O345" s="5">
        <v>188.9</v>
      </c>
      <c r="P345" s="5">
        <v>180.4</v>
      </c>
      <c r="Q345" s="5">
        <v>198.7</v>
      </c>
      <c r="R345" s="5">
        <v>173.7</v>
      </c>
      <c r="S345" s="5">
        <v>160</v>
      </c>
      <c r="T345" s="5">
        <v>171.6</v>
      </c>
      <c r="U345" s="5">
        <v>169</v>
      </c>
      <c r="V345" s="5">
        <v>178.4</v>
      </c>
      <c r="W345" s="5">
        <v>164.2</v>
      </c>
      <c r="X345" s="5">
        <v>172.6</v>
      </c>
      <c r="Y345" s="5">
        <v>157.69999999999999</v>
      </c>
      <c r="Z345" s="5">
        <v>165.1</v>
      </c>
      <c r="AA345" s="5">
        <v>169.9</v>
      </c>
      <c r="AB345" s="5">
        <v>171.4</v>
      </c>
      <c r="AC345" s="5">
        <v>165.4</v>
      </c>
      <c r="AD345" s="6">
        <v>173.1</v>
      </c>
    </row>
    <row r="346" spans="1:30">
      <c r="A346" s="4" t="s">
        <v>69</v>
      </c>
      <c r="B346" s="5">
        <v>2022</v>
      </c>
      <c r="C346" s="5" t="s">
        <v>76</v>
      </c>
      <c r="D346" s="5">
        <v>160.30000000000001</v>
      </c>
      <c r="E346" s="5">
        <v>206.5</v>
      </c>
      <c r="F346" s="5">
        <v>169.2</v>
      </c>
      <c r="G346" s="5">
        <v>168.1</v>
      </c>
      <c r="H346" s="5">
        <v>192.4</v>
      </c>
      <c r="I346" s="5">
        <v>172.9</v>
      </c>
      <c r="J346" s="5">
        <v>186.7</v>
      </c>
      <c r="K346" s="5">
        <v>167.2</v>
      </c>
      <c r="L346" s="5">
        <v>120.9</v>
      </c>
      <c r="M346" s="5">
        <v>193.6</v>
      </c>
      <c r="N346" s="5">
        <v>168.8</v>
      </c>
      <c r="O346" s="5">
        <v>186.3</v>
      </c>
      <c r="P346" s="5">
        <v>176.3</v>
      </c>
      <c r="Q346" s="5">
        <v>195</v>
      </c>
      <c r="R346" s="5">
        <v>179.5</v>
      </c>
      <c r="S346" s="5">
        <v>172.7</v>
      </c>
      <c r="T346" s="5">
        <v>178.5</v>
      </c>
      <c r="U346" s="5">
        <v>169</v>
      </c>
      <c r="V346" s="5">
        <v>178.8</v>
      </c>
      <c r="W346" s="5">
        <v>168.5</v>
      </c>
      <c r="X346" s="5">
        <v>176.8</v>
      </c>
      <c r="Y346" s="5">
        <v>161.9</v>
      </c>
      <c r="Z346" s="5">
        <v>166.9</v>
      </c>
      <c r="AA346" s="5">
        <v>172.3</v>
      </c>
      <c r="AB346" s="5">
        <v>171.2</v>
      </c>
      <c r="AC346" s="5">
        <v>169.1</v>
      </c>
      <c r="AD346" s="6">
        <v>174.3</v>
      </c>
    </row>
    <row r="347" spans="1:30">
      <c r="A347" s="4" t="s">
        <v>65</v>
      </c>
      <c r="B347" s="5">
        <v>2022</v>
      </c>
      <c r="C347" s="5" t="s">
        <v>77</v>
      </c>
      <c r="D347" s="5">
        <v>162.9</v>
      </c>
      <c r="E347" s="5">
        <v>206.7</v>
      </c>
      <c r="F347" s="5">
        <v>169</v>
      </c>
      <c r="G347" s="5">
        <v>169.5</v>
      </c>
      <c r="H347" s="5">
        <v>194.1</v>
      </c>
      <c r="I347" s="5">
        <v>164.1</v>
      </c>
      <c r="J347" s="5">
        <v>176.9</v>
      </c>
      <c r="K347" s="5">
        <v>169</v>
      </c>
      <c r="L347" s="5">
        <v>120.8</v>
      </c>
      <c r="M347" s="5">
        <v>199.1</v>
      </c>
      <c r="N347" s="5">
        <v>175.4</v>
      </c>
      <c r="O347" s="5">
        <v>184.8</v>
      </c>
      <c r="P347" s="5">
        <v>175.5</v>
      </c>
      <c r="Q347" s="5">
        <v>194.5</v>
      </c>
      <c r="R347" s="5">
        <v>184.7</v>
      </c>
      <c r="S347" s="5">
        <v>183.3</v>
      </c>
      <c r="T347" s="5">
        <v>184.5</v>
      </c>
      <c r="U347" s="5" t="s">
        <v>67</v>
      </c>
      <c r="V347" s="5">
        <v>179.7</v>
      </c>
      <c r="W347" s="5">
        <v>173.6</v>
      </c>
      <c r="X347" s="5">
        <v>180.2</v>
      </c>
      <c r="Y347" s="5">
        <v>166.9</v>
      </c>
      <c r="Z347" s="5">
        <v>170</v>
      </c>
      <c r="AA347" s="5">
        <v>176.2</v>
      </c>
      <c r="AB347" s="5">
        <v>170.8</v>
      </c>
      <c r="AC347" s="5">
        <v>173.1</v>
      </c>
      <c r="AD347" s="6">
        <v>176.4</v>
      </c>
    </row>
    <row r="348" spans="1:30">
      <c r="A348" s="4" t="s">
        <v>68</v>
      </c>
      <c r="B348" s="5">
        <v>2022</v>
      </c>
      <c r="C348" s="5" t="s">
        <v>77</v>
      </c>
      <c r="D348" s="5">
        <v>164.9</v>
      </c>
      <c r="E348" s="5">
        <v>213.7</v>
      </c>
      <c r="F348" s="5">
        <v>170.9</v>
      </c>
      <c r="G348" s="5">
        <v>170.1</v>
      </c>
      <c r="H348" s="5">
        <v>179.3</v>
      </c>
      <c r="I348" s="5">
        <v>167.5</v>
      </c>
      <c r="J348" s="5">
        <v>220.8</v>
      </c>
      <c r="K348" s="5">
        <v>169.2</v>
      </c>
      <c r="L348" s="5">
        <v>123.1</v>
      </c>
      <c r="M348" s="5">
        <v>193.6</v>
      </c>
      <c r="N348" s="5">
        <v>161.1</v>
      </c>
      <c r="O348" s="5">
        <v>190.4</v>
      </c>
      <c r="P348" s="5">
        <v>181.8</v>
      </c>
      <c r="Q348" s="5">
        <v>199.7</v>
      </c>
      <c r="R348" s="5">
        <v>175</v>
      </c>
      <c r="S348" s="5">
        <v>161.69999999999999</v>
      </c>
      <c r="T348" s="5">
        <v>173</v>
      </c>
      <c r="U348" s="5">
        <v>169.5</v>
      </c>
      <c r="V348" s="5">
        <v>179.2</v>
      </c>
      <c r="W348" s="5">
        <v>165</v>
      </c>
      <c r="X348" s="5">
        <v>173.8</v>
      </c>
      <c r="Y348" s="5">
        <v>158.19999999999999</v>
      </c>
      <c r="Z348" s="5">
        <v>165.8</v>
      </c>
      <c r="AA348" s="5">
        <v>170.9</v>
      </c>
      <c r="AB348" s="5">
        <v>171.1</v>
      </c>
      <c r="AC348" s="5">
        <v>166.1</v>
      </c>
      <c r="AD348" s="6">
        <v>174.1</v>
      </c>
    </row>
    <row r="349" spans="1:30">
      <c r="A349" s="4" t="s">
        <v>69</v>
      </c>
      <c r="B349" s="5">
        <v>2022</v>
      </c>
      <c r="C349" s="5" t="s">
        <v>77</v>
      </c>
      <c r="D349" s="5">
        <v>163.5</v>
      </c>
      <c r="E349" s="5">
        <v>209.2</v>
      </c>
      <c r="F349" s="5">
        <v>169.7</v>
      </c>
      <c r="G349" s="5">
        <v>169.7</v>
      </c>
      <c r="H349" s="5">
        <v>188.7</v>
      </c>
      <c r="I349" s="5">
        <v>165.7</v>
      </c>
      <c r="J349" s="5">
        <v>191.8</v>
      </c>
      <c r="K349" s="5">
        <v>169.1</v>
      </c>
      <c r="L349" s="5">
        <v>121.6</v>
      </c>
      <c r="M349" s="5">
        <v>197.3</v>
      </c>
      <c r="N349" s="5">
        <v>169.4</v>
      </c>
      <c r="O349" s="5">
        <v>187.4</v>
      </c>
      <c r="P349" s="5">
        <v>177.8</v>
      </c>
      <c r="Q349" s="5">
        <v>195.9</v>
      </c>
      <c r="R349" s="5">
        <v>180.9</v>
      </c>
      <c r="S349" s="5">
        <v>174.3</v>
      </c>
      <c r="T349" s="5">
        <v>179.9</v>
      </c>
      <c r="U349" s="5">
        <v>169.5</v>
      </c>
      <c r="V349" s="5">
        <v>179.5</v>
      </c>
      <c r="W349" s="5">
        <v>169.5</v>
      </c>
      <c r="X349" s="5">
        <v>177.8</v>
      </c>
      <c r="Y349" s="5">
        <v>162.30000000000001</v>
      </c>
      <c r="Z349" s="5">
        <v>167.6</v>
      </c>
      <c r="AA349" s="5">
        <v>173.1</v>
      </c>
      <c r="AB349" s="5">
        <v>170.9</v>
      </c>
      <c r="AC349" s="5">
        <v>169.7</v>
      </c>
      <c r="AD349" s="6">
        <v>175.3</v>
      </c>
    </row>
    <row r="350" spans="1:30">
      <c r="A350" s="4" t="s">
        <v>65</v>
      </c>
      <c r="B350" s="5">
        <v>2022</v>
      </c>
      <c r="C350" s="5" t="s">
        <v>78</v>
      </c>
      <c r="D350" s="5">
        <v>164.7</v>
      </c>
      <c r="E350" s="5">
        <v>208.8</v>
      </c>
      <c r="F350" s="5">
        <v>170.3</v>
      </c>
      <c r="G350" s="5">
        <v>170.9</v>
      </c>
      <c r="H350" s="5">
        <v>191.6</v>
      </c>
      <c r="I350" s="5">
        <v>162.19999999999999</v>
      </c>
      <c r="J350" s="5">
        <v>184.8</v>
      </c>
      <c r="K350" s="5">
        <v>169.7</v>
      </c>
      <c r="L350" s="5">
        <v>121.1</v>
      </c>
      <c r="M350" s="5">
        <v>201.6</v>
      </c>
      <c r="N350" s="5">
        <v>175.8</v>
      </c>
      <c r="O350" s="5">
        <v>185.6</v>
      </c>
      <c r="P350" s="5">
        <v>177.4</v>
      </c>
      <c r="Q350" s="5">
        <v>194.9</v>
      </c>
      <c r="R350" s="5">
        <v>186.1</v>
      </c>
      <c r="S350" s="5">
        <v>184.4</v>
      </c>
      <c r="T350" s="5">
        <v>185.9</v>
      </c>
      <c r="U350" s="5" t="s">
        <v>67</v>
      </c>
      <c r="V350" s="5">
        <v>180.8</v>
      </c>
      <c r="W350" s="5">
        <v>174.4</v>
      </c>
      <c r="X350" s="5">
        <v>181.2</v>
      </c>
      <c r="Y350" s="5">
        <v>167.4</v>
      </c>
      <c r="Z350" s="5">
        <v>170.6</v>
      </c>
      <c r="AA350" s="5">
        <v>176.5</v>
      </c>
      <c r="AB350" s="5">
        <v>172</v>
      </c>
      <c r="AC350" s="5">
        <v>173.9</v>
      </c>
      <c r="AD350" s="6">
        <v>177.9</v>
      </c>
    </row>
    <row r="351" spans="1:30">
      <c r="A351" s="4" t="s">
        <v>68</v>
      </c>
      <c r="B351" s="5">
        <v>2022</v>
      </c>
      <c r="C351" s="5" t="s">
        <v>78</v>
      </c>
      <c r="D351" s="5">
        <v>166.4</v>
      </c>
      <c r="E351" s="5">
        <v>214.9</v>
      </c>
      <c r="F351" s="5">
        <v>171.9</v>
      </c>
      <c r="G351" s="5">
        <v>171</v>
      </c>
      <c r="H351" s="5">
        <v>177.7</v>
      </c>
      <c r="I351" s="5">
        <v>165.7</v>
      </c>
      <c r="J351" s="5">
        <v>228.6</v>
      </c>
      <c r="K351" s="5">
        <v>169.9</v>
      </c>
      <c r="L351" s="5">
        <v>123.4</v>
      </c>
      <c r="M351" s="5">
        <v>196.4</v>
      </c>
      <c r="N351" s="5">
        <v>161.6</v>
      </c>
      <c r="O351" s="5">
        <v>191.5</v>
      </c>
      <c r="P351" s="5">
        <v>183.3</v>
      </c>
      <c r="Q351" s="5">
        <v>200.1</v>
      </c>
      <c r="R351" s="5">
        <v>175.5</v>
      </c>
      <c r="S351" s="5">
        <v>162.6</v>
      </c>
      <c r="T351" s="5">
        <v>173.6</v>
      </c>
      <c r="U351" s="5">
        <v>171.2</v>
      </c>
      <c r="V351" s="5">
        <v>180</v>
      </c>
      <c r="W351" s="5">
        <v>166</v>
      </c>
      <c r="X351" s="5">
        <v>174.7</v>
      </c>
      <c r="Y351" s="5">
        <v>158.80000000000001</v>
      </c>
      <c r="Z351" s="5">
        <v>166.3</v>
      </c>
      <c r="AA351" s="5">
        <v>171.2</v>
      </c>
      <c r="AB351" s="5">
        <v>172.3</v>
      </c>
      <c r="AC351" s="5">
        <v>166.8</v>
      </c>
      <c r="AD351" s="6">
        <v>175.3</v>
      </c>
    </row>
    <row r="352" spans="1:30">
      <c r="A352" s="4" t="s">
        <v>69</v>
      </c>
      <c r="B352" s="5">
        <v>2022</v>
      </c>
      <c r="C352" s="5" t="s">
        <v>78</v>
      </c>
      <c r="D352" s="5">
        <v>165.2</v>
      </c>
      <c r="E352" s="5">
        <v>210.9</v>
      </c>
      <c r="F352" s="5">
        <v>170.9</v>
      </c>
      <c r="G352" s="5">
        <v>170.9</v>
      </c>
      <c r="H352" s="5">
        <v>186.5</v>
      </c>
      <c r="I352" s="5">
        <v>163.80000000000001</v>
      </c>
      <c r="J352" s="5">
        <v>199.7</v>
      </c>
      <c r="K352" s="5">
        <v>169.8</v>
      </c>
      <c r="L352" s="5">
        <v>121.9</v>
      </c>
      <c r="M352" s="5">
        <v>199.9</v>
      </c>
      <c r="N352" s="5">
        <v>169.9</v>
      </c>
      <c r="O352" s="5">
        <v>188.3</v>
      </c>
      <c r="P352" s="5">
        <v>179.6</v>
      </c>
      <c r="Q352" s="5">
        <v>196.3</v>
      </c>
      <c r="R352" s="5">
        <v>181.9</v>
      </c>
      <c r="S352" s="5">
        <v>175.3</v>
      </c>
      <c r="T352" s="5">
        <v>181</v>
      </c>
      <c r="U352" s="5">
        <v>171.2</v>
      </c>
      <c r="V352" s="5">
        <v>180.5</v>
      </c>
      <c r="W352" s="5">
        <v>170.4</v>
      </c>
      <c r="X352" s="5">
        <v>178.7</v>
      </c>
      <c r="Y352" s="5">
        <v>162.9</v>
      </c>
      <c r="Z352" s="5">
        <v>168.2</v>
      </c>
      <c r="AA352" s="5">
        <v>173.4</v>
      </c>
      <c r="AB352" s="5">
        <v>172.1</v>
      </c>
      <c r="AC352" s="5">
        <v>170.5</v>
      </c>
      <c r="AD352" s="6">
        <v>176.7</v>
      </c>
    </row>
    <row r="353" spans="1:30">
      <c r="A353" s="4" t="s">
        <v>65</v>
      </c>
      <c r="B353" s="5">
        <v>2022</v>
      </c>
      <c r="C353" s="5" t="s">
        <v>79</v>
      </c>
      <c r="D353" s="5">
        <v>166.9</v>
      </c>
      <c r="E353" s="5">
        <v>207.2</v>
      </c>
      <c r="F353" s="5">
        <v>180.2</v>
      </c>
      <c r="G353" s="5">
        <v>172.3</v>
      </c>
      <c r="H353" s="5">
        <v>194</v>
      </c>
      <c r="I353" s="5">
        <v>159.1</v>
      </c>
      <c r="J353" s="5">
        <v>171.6</v>
      </c>
      <c r="K353" s="5">
        <v>170.2</v>
      </c>
      <c r="L353" s="5">
        <v>121.5</v>
      </c>
      <c r="M353" s="5">
        <v>204.8</v>
      </c>
      <c r="N353" s="5">
        <v>176.4</v>
      </c>
      <c r="O353" s="5">
        <v>186.9</v>
      </c>
      <c r="P353" s="5">
        <v>176.6</v>
      </c>
      <c r="Q353" s="5">
        <v>195.5</v>
      </c>
      <c r="R353" s="5">
        <v>187.2</v>
      </c>
      <c r="S353" s="5">
        <v>185.2</v>
      </c>
      <c r="T353" s="5">
        <v>186.9</v>
      </c>
      <c r="U353" s="5" t="s">
        <v>67</v>
      </c>
      <c r="V353" s="5">
        <v>181.9</v>
      </c>
      <c r="W353" s="5">
        <v>175.5</v>
      </c>
      <c r="X353" s="5">
        <v>182.3</v>
      </c>
      <c r="Y353" s="5">
        <v>167.5</v>
      </c>
      <c r="Z353" s="5">
        <v>170.8</v>
      </c>
      <c r="AA353" s="5">
        <v>176.9</v>
      </c>
      <c r="AB353" s="5">
        <v>173.4</v>
      </c>
      <c r="AC353" s="5">
        <v>174.6</v>
      </c>
      <c r="AD353" s="6">
        <v>177.8</v>
      </c>
    </row>
    <row r="354" spans="1:30">
      <c r="A354" s="4" t="s">
        <v>68</v>
      </c>
      <c r="B354" s="5">
        <v>2022</v>
      </c>
      <c r="C354" s="5" t="s">
        <v>79</v>
      </c>
      <c r="D354" s="5">
        <v>168.4</v>
      </c>
      <c r="E354" s="5">
        <v>213.4</v>
      </c>
      <c r="F354" s="5">
        <v>183.2</v>
      </c>
      <c r="G354" s="5">
        <v>172.3</v>
      </c>
      <c r="H354" s="5">
        <v>180</v>
      </c>
      <c r="I354" s="5">
        <v>162.6</v>
      </c>
      <c r="J354" s="5">
        <v>205.5</v>
      </c>
      <c r="K354" s="5">
        <v>171</v>
      </c>
      <c r="L354" s="5">
        <v>123.4</v>
      </c>
      <c r="M354" s="5">
        <v>198.8</v>
      </c>
      <c r="N354" s="5">
        <v>162.1</v>
      </c>
      <c r="O354" s="5">
        <v>192.4</v>
      </c>
      <c r="P354" s="5">
        <v>181.3</v>
      </c>
      <c r="Q354" s="5">
        <v>200.6</v>
      </c>
      <c r="R354" s="5">
        <v>176.7</v>
      </c>
      <c r="S354" s="5">
        <v>163.5</v>
      </c>
      <c r="T354" s="5">
        <v>174.7</v>
      </c>
      <c r="U354" s="5">
        <v>171.8</v>
      </c>
      <c r="V354" s="5">
        <v>180.3</v>
      </c>
      <c r="W354" s="5">
        <v>166.9</v>
      </c>
      <c r="X354" s="5">
        <v>175.8</v>
      </c>
      <c r="Y354" s="5">
        <v>158.9</v>
      </c>
      <c r="Z354" s="5">
        <v>166.7</v>
      </c>
      <c r="AA354" s="5">
        <v>171.5</v>
      </c>
      <c r="AB354" s="5">
        <v>173.8</v>
      </c>
      <c r="AC354" s="5">
        <v>167.4</v>
      </c>
      <c r="AD354" s="6">
        <v>174.1</v>
      </c>
    </row>
    <row r="355" spans="1:30">
      <c r="A355" s="4" t="s">
        <v>69</v>
      </c>
      <c r="B355" s="5">
        <v>2022</v>
      </c>
      <c r="C355" s="5" t="s">
        <v>79</v>
      </c>
      <c r="D355" s="5">
        <v>167.4</v>
      </c>
      <c r="E355" s="5">
        <v>209.4</v>
      </c>
      <c r="F355" s="5">
        <v>181.4</v>
      </c>
      <c r="G355" s="5">
        <v>172.3</v>
      </c>
      <c r="H355" s="5">
        <v>188.9</v>
      </c>
      <c r="I355" s="5">
        <v>160.69999999999999</v>
      </c>
      <c r="J355" s="5">
        <v>183.1</v>
      </c>
      <c r="K355" s="5">
        <v>170.5</v>
      </c>
      <c r="L355" s="5">
        <v>122.1</v>
      </c>
      <c r="M355" s="5">
        <v>202.8</v>
      </c>
      <c r="N355" s="5">
        <v>170.4</v>
      </c>
      <c r="O355" s="5">
        <v>189.5</v>
      </c>
      <c r="P355" s="5">
        <v>178.3</v>
      </c>
      <c r="Q355" s="5">
        <v>196.9</v>
      </c>
      <c r="R355" s="5">
        <v>183.1</v>
      </c>
      <c r="S355" s="5">
        <v>176.2</v>
      </c>
      <c r="T355" s="5">
        <v>182.1</v>
      </c>
      <c r="U355" s="5">
        <v>171.8</v>
      </c>
      <c r="V355" s="5">
        <v>181.3</v>
      </c>
      <c r="W355" s="5">
        <v>171.4</v>
      </c>
      <c r="X355" s="5">
        <v>179.8</v>
      </c>
      <c r="Y355" s="5">
        <v>163</v>
      </c>
      <c r="Z355" s="5">
        <v>168.5</v>
      </c>
      <c r="AA355" s="5">
        <v>173.7</v>
      </c>
      <c r="AB355" s="5">
        <v>173.6</v>
      </c>
      <c r="AC355" s="5">
        <v>171.1</v>
      </c>
      <c r="AD355" s="6">
        <v>176.5</v>
      </c>
    </row>
    <row r="356" spans="1:30">
      <c r="A356" s="4" t="s">
        <v>65</v>
      </c>
      <c r="B356" s="5">
        <v>2022</v>
      </c>
      <c r="C356" s="5" t="s">
        <v>80</v>
      </c>
      <c r="D356" s="5">
        <v>168.8</v>
      </c>
      <c r="E356" s="5">
        <v>206.9</v>
      </c>
      <c r="F356" s="5">
        <v>189.1</v>
      </c>
      <c r="G356" s="5">
        <v>173.4</v>
      </c>
      <c r="H356" s="5">
        <v>193.9</v>
      </c>
      <c r="I356" s="5">
        <v>156.69999999999999</v>
      </c>
      <c r="J356" s="5">
        <v>150.19999999999999</v>
      </c>
      <c r="K356" s="5">
        <v>170.5</v>
      </c>
      <c r="L356" s="5">
        <v>121.2</v>
      </c>
      <c r="M356" s="5">
        <v>207.5</v>
      </c>
      <c r="N356" s="5">
        <v>176.8</v>
      </c>
      <c r="O356" s="5">
        <v>187.7</v>
      </c>
      <c r="P356" s="5">
        <v>174.4</v>
      </c>
      <c r="Q356" s="5">
        <v>195.9</v>
      </c>
      <c r="R356" s="5">
        <v>188.1</v>
      </c>
      <c r="S356" s="5">
        <v>185.9</v>
      </c>
      <c r="T356" s="5">
        <v>187.8</v>
      </c>
      <c r="U356" s="5" t="s">
        <v>67</v>
      </c>
      <c r="V356" s="5">
        <v>182.8</v>
      </c>
      <c r="W356" s="5">
        <v>176.4</v>
      </c>
      <c r="X356" s="5">
        <v>183.5</v>
      </c>
      <c r="Y356" s="5">
        <v>167.8</v>
      </c>
      <c r="Z356" s="5">
        <v>171.2</v>
      </c>
      <c r="AA356" s="5">
        <v>177.3</v>
      </c>
      <c r="AB356" s="5">
        <v>175.7</v>
      </c>
      <c r="AC356" s="5">
        <v>175.5</v>
      </c>
      <c r="AD356" s="6">
        <v>177.1</v>
      </c>
    </row>
    <row r="357" spans="1:30">
      <c r="A357" s="4" t="s">
        <v>68</v>
      </c>
      <c r="B357" s="5">
        <v>2022</v>
      </c>
      <c r="C357" s="5" t="s">
        <v>80</v>
      </c>
      <c r="D357" s="5">
        <v>170.2</v>
      </c>
      <c r="E357" s="5">
        <v>212.9</v>
      </c>
      <c r="F357" s="5">
        <v>191.9</v>
      </c>
      <c r="G357" s="5">
        <v>173.9</v>
      </c>
      <c r="H357" s="5">
        <v>179.1</v>
      </c>
      <c r="I357" s="5">
        <v>159.5</v>
      </c>
      <c r="J357" s="5">
        <v>178.7</v>
      </c>
      <c r="K357" s="5">
        <v>171.3</v>
      </c>
      <c r="L357" s="5">
        <v>123.1</v>
      </c>
      <c r="M357" s="5">
        <v>200.5</v>
      </c>
      <c r="N357" s="5">
        <v>162.80000000000001</v>
      </c>
      <c r="O357" s="5">
        <v>193.3</v>
      </c>
      <c r="P357" s="5">
        <v>178.6</v>
      </c>
      <c r="Q357" s="5">
        <v>201.1</v>
      </c>
      <c r="R357" s="5">
        <v>177.7</v>
      </c>
      <c r="S357" s="5">
        <v>164.5</v>
      </c>
      <c r="T357" s="5">
        <v>175.7</v>
      </c>
      <c r="U357" s="5">
        <v>170.7</v>
      </c>
      <c r="V357" s="5">
        <v>180.6</v>
      </c>
      <c r="W357" s="5">
        <v>167.3</v>
      </c>
      <c r="X357" s="5">
        <v>177.2</v>
      </c>
      <c r="Y357" s="5">
        <v>159.4</v>
      </c>
      <c r="Z357" s="5">
        <v>167.1</v>
      </c>
      <c r="AA357" s="5">
        <v>171.8</v>
      </c>
      <c r="AB357" s="5">
        <v>176</v>
      </c>
      <c r="AC357" s="5">
        <v>168.2</v>
      </c>
      <c r="AD357" s="6">
        <v>174.1</v>
      </c>
    </row>
    <row r="358" spans="1:30">
      <c r="A358" s="4" t="s">
        <v>69</v>
      </c>
      <c r="B358" s="5">
        <v>2022</v>
      </c>
      <c r="C358" s="5" t="s">
        <v>80</v>
      </c>
      <c r="D358" s="5">
        <v>169.2</v>
      </c>
      <c r="E358" s="5">
        <v>209</v>
      </c>
      <c r="F358" s="5">
        <v>190.2</v>
      </c>
      <c r="G358" s="5">
        <v>173.6</v>
      </c>
      <c r="H358" s="5">
        <v>188.5</v>
      </c>
      <c r="I358" s="5">
        <v>158</v>
      </c>
      <c r="J358" s="5">
        <v>159.9</v>
      </c>
      <c r="K358" s="5">
        <v>170.8</v>
      </c>
      <c r="L358" s="5">
        <v>121.8</v>
      </c>
      <c r="M358" s="5">
        <v>205.2</v>
      </c>
      <c r="N358" s="5">
        <v>171</v>
      </c>
      <c r="O358" s="5">
        <v>190.3</v>
      </c>
      <c r="P358" s="5">
        <v>175.9</v>
      </c>
      <c r="Q358" s="5">
        <v>197.3</v>
      </c>
      <c r="R358" s="5">
        <v>184</v>
      </c>
      <c r="S358" s="5">
        <v>177</v>
      </c>
      <c r="T358" s="5">
        <v>183</v>
      </c>
      <c r="U358" s="5">
        <v>170.7</v>
      </c>
      <c r="V358" s="5">
        <v>182</v>
      </c>
      <c r="W358" s="5">
        <v>172.1</v>
      </c>
      <c r="X358" s="5">
        <v>181.1</v>
      </c>
      <c r="Y358" s="5">
        <v>163.4</v>
      </c>
      <c r="Z358" s="5">
        <v>168.9</v>
      </c>
      <c r="AA358" s="5">
        <v>174.1</v>
      </c>
      <c r="AB358" s="5">
        <v>175.8</v>
      </c>
      <c r="AC358" s="5">
        <v>172</v>
      </c>
      <c r="AD358" s="6">
        <v>175.7</v>
      </c>
    </row>
    <row r="359" spans="1:30">
      <c r="A359" s="4" t="s">
        <v>65</v>
      </c>
      <c r="B359" s="5">
        <v>2023</v>
      </c>
      <c r="C359" s="5" t="s">
        <v>66</v>
      </c>
      <c r="D359" s="5">
        <v>174</v>
      </c>
      <c r="E359" s="5">
        <v>208.3</v>
      </c>
      <c r="F359" s="5">
        <v>192.9</v>
      </c>
      <c r="G359" s="5">
        <v>174.3</v>
      </c>
      <c r="H359" s="5">
        <v>192.6</v>
      </c>
      <c r="I359" s="5">
        <v>156.30000000000001</v>
      </c>
      <c r="J359" s="5">
        <v>142.9</v>
      </c>
      <c r="K359" s="5">
        <v>170.7</v>
      </c>
      <c r="L359" s="5">
        <v>120.3</v>
      </c>
      <c r="M359" s="5">
        <v>210.5</v>
      </c>
      <c r="N359" s="5">
        <v>176.9</v>
      </c>
      <c r="O359" s="5">
        <v>188.5</v>
      </c>
      <c r="P359" s="5">
        <v>175</v>
      </c>
      <c r="Q359" s="5">
        <v>196.9</v>
      </c>
      <c r="R359" s="5">
        <v>189</v>
      </c>
      <c r="S359" s="5">
        <v>186.3</v>
      </c>
      <c r="T359" s="5">
        <v>188.6</v>
      </c>
      <c r="U359" s="5" t="s">
        <v>67</v>
      </c>
      <c r="V359" s="5">
        <v>183.2</v>
      </c>
      <c r="W359" s="5">
        <v>177.2</v>
      </c>
      <c r="X359" s="5">
        <v>184.7</v>
      </c>
      <c r="Y359" s="5">
        <v>168.2</v>
      </c>
      <c r="Z359" s="5">
        <v>171.8</v>
      </c>
      <c r="AA359" s="5">
        <v>177.8</v>
      </c>
      <c r="AB359" s="5">
        <v>178.4</v>
      </c>
      <c r="AC359" s="5">
        <v>176.5</v>
      </c>
      <c r="AD359" s="6">
        <v>177.8</v>
      </c>
    </row>
    <row r="360" spans="1:30">
      <c r="A360" s="4" t="s">
        <v>68</v>
      </c>
      <c r="B360" s="5">
        <v>2023</v>
      </c>
      <c r="C360" s="5" t="s">
        <v>66</v>
      </c>
      <c r="D360" s="5">
        <v>173.3</v>
      </c>
      <c r="E360" s="5">
        <v>215.2</v>
      </c>
      <c r="F360" s="5">
        <v>197</v>
      </c>
      <c r="G360" s="5">
        <v>175.2</v>
      </c>
      <c r="H360" s="5">
        <v>178</v>
      </c>
      <c r="I360" s="5">
        <v>160.5</v>
      </c>
      <c r="J360" s="5">
        <v>175.3</v>
      </c>
      <c r="K360" s="5">
        <v>171.2</v>
      </c>
      <c r="L360" s="5">
        <v>122.7</v>
      </c>
      <c r="M360" s="5">
        <v>204.3</v>
      </c>
      <c r="N360" s="5">
        <v>163.69999999999999</v>
      </c>
      <c r="O360" s="5">
        <v>194.3</v>
      </c>
      <c r="P360" s="5">
        <v>179.5</v>
      </c>
      <c r="Q360" s="5">
        <v>201.6</v>
      </c>
      <c r="R360" s="5">
        <v>178.7</v>
      </c>
      <c r="S360" s="5">
        <v>165.3</v>
      </c>
      <c r="T360" s="5">
        <v>176.6</v>
      </c>
      <c r="U360" s="5">
        <v>172.1</v>
      </c>
      <c r="V360" s="5">
        <v>180.1</v>
      </c>
      <c r="W360" s="5">
        <v>168</v>
      </c>
      <c r="X360" s="5">
        <v>178.5</v>
      </c>
      <c r="Y360" s="5">
        <v>159.5</v>
      </c>
      <c r="Z360" s="5">
        <v>167.8</v>
      </c>
      <c r="AA360" s="5">
        <v>171.8</v>
      </c>
      <c r="AB360" s="5">
        <v>178.8</v>
      </c>
      <c r="AC360" s="5">
        <v>168.9</v>
      </c>
      <c r="AD360" s="6">
        <v>174.9</v>
      </c>
    </row>
    <row r="361" spans="1:30">
      <c r="A361" s="4" t="s">
        <v>69</v>
      </c>
      <c r="B361" s="5">
        <v>2023</v>
      </c>
      <c r="C361" s="5" t="s">
        <v>66</v>
      </c>
      <c r="D361" s="5">
        <v>173.8</v>
      </c>
      <c r="E361" s="5">
        <v>210.7</v>
      </c>
      <c r="F361" s="5">
        <v>194.5</v>
      </c>
      <c r="G361" s="5">
        <v>174.6</v>
      </c>
      <c r="H361" s="5">
        <v>187.2</v>
      </c>
      <c r="I361" s="5">
        <v>158.30000000000001</v>
      </c>
      <c r="J361" s="5">
        <v>153.9</v>
      </c>
      <c r="K361" s="5">
        <v>170.9</v>
      </c>
      <c r="L361" s="5">
        <v>121.1</v>
      </c>
      <c r="M361" s="5">
        <v>208.4</v>
      </c>
      <c r="N361" s="5">
        <v>171.4</v>
      </c>
      <c r="O361" s="5">
        <v>191.2</v>
      </c>
      <c r="P361" s="5">
        <v>176.7</v>
      </c>
      <c r="Q361" s="5">
        <v>198.2</v>
      </c>
      <c r="R361" s="5">
        <v>184.9</v>
      </c>
      <c r="S361" s="5">
        <v>177.6</v>
      </c>
      <c r="T361" s="5">
        <v>183.8</v>
      </c>
      <c r="U361" s="5">
        <v>172.1</v>
      </c>
      <c r="V361" s="5">
        <v>182</v>
      </c>
      <c r="W361" s="5">
        <v>172.9</v>
      </c>
      <c r="X361" s="5">
        <v>182.3</v>
      </c>
      <c r="Y361" s="5">
        <v>163.6</v>
      </c>
      <c r="Z361" s="5">
        <v>169.5</v>
      </c>
      <c r="AA361" s="5">
        <v>174.3</v>
      </c>
      <c r="AB361" s="5">
        <v>178.6</v>
      </c>
      <c r="AC361" s="5">
        <v>172.8</v>
      </c>
      <c r="AD361" s="6">
        <v>176.5</v>
      </c>
    </row>
    <row r="362" spans="1:30">
      <c r="A362" s="4" t="s">
        <v>65</v>
      </c>
      <c r="B362" s="5">
        <v>2023</v>
      </c>
      <c r="C362" s="5" t="s">
        <v>70</v>
      </c>
      <c r="D362" s="5">
        <v>174.2</v>
      </c>
      <c r="E362" s="5">
        <v>205.2</v>
      </c>
      <c r="F362" s="5">
        <v>173.9</v>
      </c>
      <c r="G362" s="5">
        <v>177</v>
      </c>
      <c r="H362" s="5">
        <v>183.4</v>
      </c>
      <c r="I362" s="5">
        <v>167.2</v>
      </c>
      <c r="J362" s="5">
        <v>140.9</v>
      </c>
      <c r="K362" s="5">
        <v>170.4</v>
      </c>
      <c r="L362" s="5">
        <v>119.1</v>
      </c>
      <c r="M362" s="5">
        <v>212.1</v>
      </c>
      <c r="N362" s="5">
        <v>177.6</v>
      </c>
      <c r="O362" s="5">
        <v>189.9</v>
      </c>
      <c r="P362" s="5">
        <v>174.8</v>
      </c>
      <c r="Q362" s="5">
        <v>198.3</v>
      </c>
      <c r="R362" s="5">
        <v>190</v>
      </c>
      <c r="S362" s="5">
        <v>187</v>
      </c>
      <c r="T362" s="5">
        <v>189.6</v>
      </c>
      <c r="U362" s="5" t="s">
        <v>67</v>
      </c>
      <c r="V362" s="5">
        <v>181.6</v>
      </c>
      <c r="W362" s="5">
        <v>178.6</v>
      </c>
      <c r="X362" s="5">
        <v>186.6</v>
      </c>
      <c r="Y362" s="5">
        <v>169</v>
      </c>
      <c r="Z362" s="5">
        <v>172.8</v>
      </c>
      <c r="AA362" s="5">
        <v>178.5</v>
      </c>
      <c r="AB362" s="5">
        <v>180.7</v>
      </c>
      <c r="AC362" s="5">
        <v>177.9</v>
      </c>
      <c r="AD362" s="6">
        <v>178</v>
      </c>
    </row>
    <row r="363" spans="1:30">
      <c r="A363" s="4" t="s">
        <v>68</v>
      </c>
      <c r="B363" s="5">
        <v>2023</v>
      </c>
      <c r="C363" s="5" t="s">
        <v>70</v>
      </c>
      <c r="D363" s="5">
        <v>174.7</v>
      </c>
      <c r="E363" s="5">
        <v>212.2</v>
      </c>
      <c r="F363" s="5">
        <v>177.2</v>
      </c>
      <c r="G363" s="5">
        <v>177.9</v>
      </c>
      <c r="H363" s="5">
        <v>172.2</v>
      </c>
      <c r="I363" s="5">
        <v>172.1</v>
      </c>
      <c r="J363" s="5">
        <v>175.8</v>
      </c>
      <c r="K363" s="5">
        <v>172.2</v>
      </c>
      <c r="L363" s="5">
        <v>121.9</v>
      </c>
      <c r="M363" s="5">
        <v>204.8</v>
      </c>
      <c r="N363" s="5">
        <v>164.9</v>
      </c>
      <c r="O363" s="5">
        <v>196.6</v>
      </c>
      <c r="P363" s="5">
        <v>180.7</v>
      </c>
      <c r="Q363" s="5">
        <v>202.7</v>
      </c>
      <c r="R363" s="5">
        <v>180.3</v>
      </c>
      <c r="S363" s="5">
        <v>167</v>
      </c>
      <c r="T363" s="5">
        <v>178.2</v>
      </c>
      <c r="U363" s="5">
        <v>173.5</v>
      </c>
      <c r="V363" s="5">
        <v>182.8</v>
      </c>
      <c r="W363" s="5">
        <v>169.2</v>
      </c>
      <c r="X363" s="5">
        <v>180.8</v>
      </c>
      <c r="Y363" s="5">
        <v>159.80000000000001</v>
      </c>
      <c r="Z363" s="5">
        <v>168.4</v>
      </c>
      <c r="AA363" s="5">
        <v>172.5</v>
      </c>
      <c r="AB363" s="5">
        <v>181.4</v>
      </c>
      <c r="AC363" s="5">
        <v>170</v>
      </c>
      <c r="AD363" s="6">
        <v>176.3</v>
      </c>
    </row>
    <row r="364" spans="1:30">
      <c r="A364" s="4" t="s">
        <v>69</v>
      </c>
      <c r="B364" s="5">
        <v>2023</v>
      </c>
      <c r="C364" s="5" t="s">
        <v>70</v>
      </c>
      <c r="D364" s="5">
        <v>174.4</v>
      </c>
      <c r="E364" s="5">
        <v>207.7</v>
      </c>
      <c r="F364" s="5">
        <v>175.2</v>
      </c>
      <c r="G364" s="5">
        <v>177.3</v>
      </c>
      <c r="H364" s="5">
        <v>179.3</v>
      </c>
      <c r="I364" s="5">
        <v>169.5</v>
      </c>
      <c r="J364" s="5">
        <v>152.69999999999999</v>
      </c>
      <c r="K364" s="5">
        <v>171</v>
      </c>
      <c r="L364" s="5">
        <v>120</v>
      </c>
      <c r="M364" s="5">
        <v>209.7</v>
      </c>
      <c r="N364" s="5">
        <v>172.3</v>
      </c>
      <c r="O364" s="5">
        <v>193</v>
      </c>
      <c r="P364" s="5">
        <v>177</v>
      </c>
      <c r="Q364" s="5">
        <v>199.5</v>
      </c>
      <c r="R364" s="5">
        <v>186.2</v>
      </c>
      <c r="S364" s="5">
        <v>178.7</v>
      </c>
      <c r="T364" s="5">
        <v>185.1</v>
      </c>
      <c r="U364" s="5">
        <v>173.5</v>
      </c>
      <c r="V364" s="5">
        <v>182.1</v>
      </c>
      <c r="W364" s="5">
        <v>174.2</v>
      </c>
      <c r="X364" s="5">
        <v>184.4</v>
      </c>
      <c r="Y364" s="5">
        <v>164.2</v>
      </c>
      <c r="Z364" s="5">
        <v>170.3</v>
      </c>
      <c r="AA364" s="5">
        <v>175</v>
      </c>
      <c r="AB364" s="5">
        <v>181</v>
      </c>
      <c r="AC364" s="5">
        <v>174.1</v>
      </c>
      <c r="AD364" s="6">
        <v>177.2</v>
      </c>
    </row>
    <row r="365" spans="1:30">
      <c r="A365" s="4" t="s">
        <v>65</v>
      </c>
      <c r="B365" s="5">
        <v>2023</v>
      </c>
      <c r="C365" s="5" t="s">
        <v>71</v>
      </c>
      <c r="D365" s="5">
        <v>174.3</v>
      </c>
      <c r="E365" s="5">
        <v>205.2</v>
      </c>
      <c r="F365" s="5">
        <v>173.9</v>
      </c>
      <c r="G365" s="5">
        <v>177</v>
      </c>
      <c r="H365" s="5">
        <v>183.3</v>
      </c>
      <c r="I365" s="5">
        <v>167.2</v>
      </c>
      <c r="J365" s="5">
        <v>140.9</v>
      </c>
      <c r="K365" s="5">
        <v>170.5</v>
      </c>
      <c r="L365" s="5">
        <v>119.1</v>
      </c>
      <c r="M365" s="5">
        <v>212.1</v>
      </c>
      <c r="N365" s="5">
        <v>177.6</v>
      </c>
      <c r="O365" s="5">
        <v>189.9</v>
      </c>
      <c r="P365" s="5">
        <v>174.8</v>
      </c>
      <c r="Q365" s="5">
        <v>198.4</v>
      </c>
      <c r="R365" s="5">
        <v>190</v>
      </c>
      <c r="S365" s="5">
        <v>187</v>
      </c>
      <c r="T365" s="5">
        <v>189.6</v>
      </c>
      <c r="U365" s="5" t="s">
        <v>67</v>
      </c>
      <c r="V365" s="5">
        <v>181.4</v>
      </c>
      <c r="W365" s="5">
        <v>178.6</v>
      </c>
      <c r="X365" s="5">
        <v>186.6</v>
      </c>
      <c r="Y365" s="5">
        <v>169</v>
      </c>
      <c r="Z365" s="5">
        <v>172.8</v>
      </c>
      <c r="AA365" s="5">
        <v>178.5</v>
      </c>
      <c r="AB365" s="5">
        <v>180.7</v>
      </c>
      <c r="AC365" s="5">
        <v>177.9</v>
      </c>
      <c r="AD365" s="6">
        <v>178</v>
      </c>
    </row>
    <row r="366" spans="1:30">
      <c r="A366" s="4" t="s">
        <v>68</v>
      </c>
      <c r="B366" s="5">
        <v>2023</v>
      </c>
      <c r="C366" s="5" t="s">
        <v>71</v>
      </c>
      <c r="D366" s="5">
        <v>174.7</v>
      </c>
      <c r="E366" s="5">
        <v>212.2</v>
      </c>
      <c r="F366" s="5">
        <v>177.2</v>
      </c>
      <c r="G366" s="5">
        <v>177.9</v>
      </c>
      <c r="H366" s="5">
        <v>172.2</v>
      </c>
      <c r="I366" s="5">
        <v>172.1</v>
      </c>
      <c r="J366" s="5">
        <v>175.9</v>
      </c>
      <c r="K366" s="5">
        <v>172.2</v>
      </c>
      <c r="L366" s="5">
        <v>121.9</v>
      </c>
      <c r="M366" s="5">
        <v>204.8</v>
      </c>
      <c r="N366" s="5">
        <v>164.9</v>
      </c>
      <c r="O366" s="5">
        <v>196.6</v>
      </c>
      <c r="P366" s="5">
        <v>180.8</v>
      </c>
      <c r="Q366" s="5">
        <v>202.7</v>
      </c>
      <c r="R366" s="5">
        <v>180.2</v>
      </c>
      <c r="S366" s="5">
        <v>167</v>
      </c>
      <c r="T366" s="5">
        <v>178.2</v>
      </c>
      <c r="U366" s="5">
        <v>173.5</v>
      </c>
      <c r="V366" s="5">
        <v>182.6</v>
      </c>
      <c r="W366" s="5">
        <v>169.2</v>
      </c>
      <c r="X366" s="5">
        <v>180.8</v>
      </c>
      <c r="Y366" s="5">
        <v>159.80000000000001</v>
      </c>
      <c r="Z366" s="5">
        <v>168.4</v>
      </c>
      <c r="AA366" s="5">
        <v>172.5</v>
      </c>
      <c r="AB366" s="5">
        <v>181.5</v>
      </c>
      <c r="AC366" s="5">
        <v>170</v>
      </c>
      <c r="AD366" s="6">
        <v>176.3</v>
      </c>
    </row>
    <row r="367" spans="1:30">
      <c r="A367" s="4" t="s">
        <v>69</v>
      </c>
      <c r="B367" s="5">
        <v>2023</v>
      </c>
      <c r="C367" s="5" t="s">
        <v>71</v>
      </c>
      <c r="D367" s="5">
        <v>174.4</v>
      </c>
      <c r="E367" s="5">
        <v>207.7</v>
      </c>
      <c r="F367" s="5">
        <v>175.2</v>
      </c>
      <c r="G367" s="5">
        <v>177.3</v>
      </c>
      <c r="H367" s="5">
        <v>179.2</v>
      </c>
      <c r="I367" s="5">
        <v>169.5</v>
      </c>
      <c r="J367" s="5">
        <v>152.80000000000001</v>
      </c>
      <c r="K367" s="5">
        <v>171.1</v>
      </c>
      <c r="L367" s="5">
        <v>120</v>
      </c>
      <c r="M367" s="5">
        <v>209.7</v>
      </c>
      <c r="N367" s="5">
        <v>172.3</v>
      </c>
      <c r="O367" s="5">
        <v>193</v>
      </c>
      <c r="P367" s="5">
        <v>177</v>
      </c>
      <c r="Q367" s="5">
        <v>199.5</v>
      </c>
      <c r="R367" s="5">
        <v>186.1</v>
      </c>
      <c r="S367" s="5">
        <v>178.7</v>
      </c>
      <c r="T367" s="5">
        <v>185.1</v>
      </c>
      <c r="U367" s="5">
        <v>173.5</v>
      </c>
      <c r="V367" s="5">
        <v>181.9</v>
      </c>
      <c r="W367" s="5">
        <v>174.2</v>
      </c>
      <c r="X367" s="5">
        <v>184.4</v>
      </c>
      <c r="Y367" s="5">
        <v>164.2</v>
      </c>
      <c r="Z367" s="5">
        <v>170.3</v>
      </c>
      <c r="AA367" s="5">
        <v>175</v>
      </c>
      <c r="AB367" s="5">
        <v>181</v>
      </c>
      <c r="AC367" s="5">
        <v>174.1</v>
      </c>
      <c r="AD367" s="6">
        <v>177.2</v>
      </c>
    </row>
    <row r="368" spans="1:30">
      <c r="A368" s="4" t="s">
        <v>65</v>
      </c>
      <c r="B368" s="5">
        <v>2023</v>
      </c>
      <c r="C368" s="5" t="s">
        <v>72</v>
      </c>
      <c r="D368" s="5">
        <v>173.3</v>
      </c>
      <c r="E368" s="5">
        <v>206.9</v>
      </c>
      <c r="F368" s="5">
        <v>167.9</v>
      </c>
      <c r="G368" s="5">
        <v>178.2</v>
      </c>
      <c r="H368" s="5">
        <v>178.5</v>
      </c>
      <c r="I368" s="5">
        <v>173.7</v>
      </c>
      <c r="J368" s="5">
        <v>142.80000000000001</v>
      </c>
      <c r="K368" s="5">
        <v>172.8</v>
      </c>
      <c r="L368" s="5">
        <v>120.4</v>
      </c>
      <c r="M368" s="5">
        <v>215.5</v>
      </c>
      <c r="N368" s="5">
        <v>178.2</v>
      </c>
      <c r="O368" s="5">
        <v>190.5</v>
      </c>
      <c r="P368" s="5">
        <v>175.5</v>
      </c>
      <c r="Q368" s="5">
        <v>199.5</v>
      </c>
      <c r="R368" s="5">
        <v>190.7</v>
      </c>
      <c r="S368" s="5">
        <v>187.3</v>
      </c>
      <c r="T368" s="5">
        <v>190.2</v>
      </c>
      <c r="U368" s="7" t="s">
        <v>82</v>
      </c>
      <c r="V368" s="5">
        <v>181.5</v>
      </c>
      <c r="W368" s="5">
        <v>179.1</v>
      </c>
      <c r="X368" s="5">
        <v>187.2</v>
      </c>
      <c r="Y368" s="5">
        <v>169.4</v>
      </c>
      <c r="Z368" s="5">
        <v>173.2</v>
      </c>
      <c r="AA368" s="5">
        <v>179.4</v>
      </c>
      <c r="AB368" s="5">
        <v>183.8</v>
      </c>
      <c r="AC368" s="5">
        <v>178.9</v>
      </c>
      <c r="AD368" s="6">
        <v>178.8</v>
      </c>
    </row>
    <row r="369" spans="1:30">
      <c r="A369" s="4" t="s">
        <v>68</v>
      </c>
      <c r="B369" s="5">
        <v>2023</v>
      </c>
      <c r="C369" s="5" t="s">
        <v>72</v>
      </c>
      <c r="D369" s="5">
        <v>174.8</v>
      </c>
      <c r="E369" s="5">
        <v>213.7</v>
      </c>
      <c r="F369" s="5">
        <v>172.4</v>
      </c>
      <c r="G369" s="5">
        <v>178.8</v>
      </c>
      <c r="H369" s="5">
        <v>168.7</v>
      </c>
      <c r="I369" s="5">
        <v>179.2</v>
      </c>
      <c r="J369" s="5">
        <v>179.9</v>
      </c>
      <c r="K369" s="5">
        <v>174.7</v>
      </c>
      <c r="L369" s="5">
        <v>123.1</v>
      </c>
      <c r="M369" s="5">
        <v>207.8</v>
      </c>
      <c r="N369" s="5">
        <v>165.5</v>
      </c>
      <c r="O369" s="5">
        <v>197</v>
      </c>
      <c r="P369" s="5">
        <v>182.1</v>
      </c>
      <c r="Q369" s="5">
        <v>203.5</v>
      </c>
      <c r="R369" s="5">
        <v>181</v>
      </c>
      <c r="S369" s="5">
        <v>167.7</v>
      </c>
      <c r="T369" s="5">
        <v>178.9</v>
      </c>
      <c r="U369" s="5">
        <v>175.2</v>
      </c>
      <c r="V369" s="5">
        <v>182.1</v>
      </c>
      <c r="W369" s="5">
        <v>169.6</v>
      </c>
      <c r="X369" s="5">
        <v>181.5</v>
      </c>
      <c r="Y369" s="5">
        <v>160.1</v>
      </c>
      <c r="Z369" s="5">
        <v>168.8</v>
      </c>
      <c r="AA369" s="5">
        <v>174.2</v>
      </c>
      <c r="AB369" s="5">
        <v>184.4</v>
      </c>
      <c r="AC369" s="5">
        <v>170.9</v>
      </c>
      <c r="AD369" s="6">
        <v>177.4</v>
      </c>
    </row>
    <row r="370" spans="1:30">
      <c r="A370" s="4" t="s">
        <v>69</v>
      </c>
      <c r="B370" s="5">
        <v>2023</v>
      </c>
      <c r="C370" s="5" t="s">
        <v>72</v>
      </c>
      <c r="D370" s="5">
        <v>173.8</v>
      </c>
      <c r="E370" s="5">
        <v>209.3</v>
      </c>
      <c r="F370" s="5">
        <v>169.6</v>
      </c>
      <c r="G370" s="5">
        <v>178.4</v>
      </c>
      <c r="H370" s="5">
        <v>174.9</v>
      </c>
      <c r="I370" s="5">
        <v>176.3</v>
      </c>
      <c r="J370" s="5">
        <v>155.4</v>
      </c>
      <c r="K370" s="5">
        <v>173.4</v>
      </c>
      <c r="L370" s="5">
        <v>121.3</v>
      </c>
      <c r="M370" s="5">
        <v>212.9</v>
      </c>
      <c r="N370" s="5">
        <v>172.9</v>
      </c>
      <c r="O370" s="5">
        <v>193.5</v>
      </c>
      <c r="P370" s="5">
        <v>177.9</v>
      </c>
      <c r="Q370" s="5">
        <v>200.6</v>
      </c>
      <c r="R370" s="5">
        <v>186.9</v>
      </c>
      <c r="S370" s="5">
        <v>179.2</v>
      </c>
      <c r="T370" s="5">
        <v>185.7</v>
      </c>
      <c r="U370" s="5">
        <v>175.2</v>
      </c>
      <c r="V370" s="5">
        <v>181.7</v>
      </c>
      <c r="W370" s="5">
        <v>174.6</v>
      </c>
      <c r="X370" s="5">
        <v>185</v>
      </c>
      <c r="Y370" s="5">
        <v>164.5</v>
      </c>
      <c r="Z370" s="5">
        <v>170.7</v>
      </c>
      <c r="AA370" s="5">
        <v>176.4</v>
      </c>
      <c r="AB370" s="5">
        <v>184</v>
      </c>
      <c r="AC370" s="5">
        <v>175</v>
      </c>
      <c r="AD370" s="6">
        <v>178.1</v>
      </c>
    </row>
    <row r="371" spans="1:30">
      <c r="A371" s="4" t="s">
        <v>65</v>
      </c>
      <c r="B371" s="5">
        <v>2023</v>
      </c>
      <c r="C371" s="5" t="s">
        <v>73</v>
      </c>
      <c r="D371" s="5">
        <v>173.2</v>
      </c>
      <c r="E371" s="5">
        <v>211.5</v>
      </c>
      <c r="F371" s="5">
        <v>171</v>
      </c>
      <c r="G371" s="5">
        <v>179.6</v>
      </c>
      <c r="H371" s="5">
        <v>173.3</v>
      </c>
      <c r="I371" s="5">
        <v>169</v>
      </c>
      <c r="J371" s="5">
        <v>148.69999999999999</v>
      </c>
      <c r="K371" s="5">
        <v>174.9</v>
      </c>
      <c r="L371" s="5">
        <v>121.9</v>
      </c>
      <c r="M371" s="5">
        <v>221</v>
      </c>
      <c r="N371" s="5">
        <v>178.7</v>
      </c>
      <c r="O371" s="5">
        <v>191.1</v>
      </c>
      <c r="P371" s="5">
        <v>176.8</v>
      </c>
      <c r="Q371" s="5">
        <v>199.9</v>
      </c>
      <c r="R371" s="5">
        <v>191.2</v>
      </c>
      <c r="S371" s="5">
        <v>187.9</v>
      </c>
      <c r="T371" s="5">
        <v>190.8</v>
      </c>
      <c r="U371" s="7" t="s">
        <v>82</v>
      </c>
      <c r="V371" s="5">
        <v>182.5</v>
      </c>
      <c r="W371" s="5">
        <v>179.8</v>
      </c>
      <c r="X371" s="5">
        <v>187.8</v>
      </c>
      <c r="Y371" s="5">
        <v>169.7</v>
      </c>
      <c r="Z371" s="5">
        <v>173.8</v>
      </c>
      <c r="AA371" s="5">
        <v>180.3</v>
      </c>
      <c r="AB371" s="5">
        <v>184.9</v>
      </c>
      <c r="AC371" s="5">
        <v>179.5</v>
      </c>
      <c r="AD371" s="6">
        <v>179.8</v>
      </c>
    </row>
    <row r="372" spans="1:30">
      <c r="A372" s="4" t="s">
        <v>68</v>
      </c>
      <c r="B372" s="5">
        <v>2023</v>
      </c>
      <c r="C372" s="5" t="s">
        <v>73</v>
      </c>
      <c r="D372" s="5">
        <v>174.7</v>
      </c>
      <c r="E372" s="5">
        <v>219.4</v>
      </c>
      <c r="F372" s="5">
        <v>176.7</v>
      </c>
      <c r="G372" s="5">
        <v>179.4</v>
      </c>
      <c r="H372" s="5">
        <v>164.4</v>
      </c>
      <c r="I372" s="5">
        <v>175.8</v>
      </c>
      <c r="J372" s="5">
        <v>185</v>
      </c>
      <c r="K372" s="5">
        <v>176.9</v>
      </c>
      <c r="L372" s="5">
        <v>124.2</v>
      </c>
      <c r="M372" s="5">
        <v>211.9</v>
      </c>
      <c r="N372" s="5">
        <v>165.9</v>
      </c>
      <c r="O372" s="5">
        <v>197.7</v>
      </c>
      <c r="P372" s="5">
        <v>183.1</v>
      </c>
      <c r="Q372" s="5">
        <v>204.2</v>
      </c>
      <c r="R372" s="5">
        <v>181.3</v>
      </c>
      <c r="S372" s="5">
        <v>168.1</v>
      </c>
      <c r="T372" s="5">
        <v>179.3</v>
      </c>
      <c r="U372" s="5">
        <v>175.6</v>
      </c>
      <c r="V372" s="5">
        <v>183.4</v>
      </c>
      <c r="W372" s="5">
        <v>170.1</v>
      </c>
      <c r="X372" s="5">
        <v>182.2</v>
      </c>
      <c r="Y372" s="5">
        <v>160.4</v>
      </c>
      <c r="Z372" s="5">
        <v>169.2</v>
      </c>
      <c r="AA372" s="5">
        <v>174.8</v>
      </c>
      <c r="AB372" s="5">
        <v>185.6</v>
      </c>
      <c r="AC372" s="5">
        <v>171.6</v>
      </c>
      <c r="AD372" s="6">
        <v>178.2</v>
      </c>
    </row>
    <row r="373" spans="1:30">
      <c r="A373" s="8" t="s">
        <v>69</v>
      </c>
      <c r="B373" s="9">
        <v>2023</v>
      </c>
      <c r="C373" s="9" t="s">
        <v>73</v>
      </c>
      <c r="D373" s="9">
        <v>173.7</v>
      </c>
      <c r="E373" s="9">
        <v>214.3</v>
      </c>
      <c r="F373" s="9">
        <v>173.2</v>
      </c>
      <c r="G373" s="9">
        <v>179.5</v>
      </c>
      <c r="H373" s="9">
        <v>170</v>
      </c>
      <c r="I373" s="9">
        <v>172.2</v>
      </c>
      <c r="J373" s="9">
        <v>161</v>
      </c>
      <c r="K373" s="9">
        <v>175.6</v>
      </c>
      <c r="L373" s="9">
        <v>122.7</v>
      </c>
      <c r="M373" s="9">
        <v>218</v>
      </c>
      <c r="N373" s="9">
        <v>173.4</v>
      </c>
      <c r="O373" s="9">
        <v>194.2</v>
      </c>
      <c r="P373" s="9">
        <v>179.1</v>
      </c>
      <c r="Q373" s="9">
        <v>201</v>
      </c>
      <c r="R373" s="9">
        <v>187.3</v>
      </c>
      <c r="S373" s="9">
        <v>179.7</v>
      </c>
      <c r="T373" s="9">
        <v>186.2</v>
      </c>
      <c r="U373" s="9">
        <v>175.6</v>
      </c>
      <c r="V373" s="9">
        <v>182.8</v>
      </c>
      <c r="W373" s="9">
        <v>175.2</v>
      </c>
      <c r="X373" s="9">
        <v>185.7</v>
      </c>
      <c r="Y373" s="9">
        <v>164.8</v>
      </c>
      <c r="Z373" s="9">
        <v>171.2</v>
      </c>
      <c r="AA373" s="9">
        <v>177.1</v>
      </c>
      <c r="AB373" s="9">
        <v>185.2</v>
      </c>
      <c r="AC373" s="9">
        <v>175.7</v>
      </c>
      <c r="AD373" s="10">
        <v>179.1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39BC-2693-475D-8A90-0A65C8BC508E}">
  <dimension ref="A1:AE379"/>
  <sheetViews>
    <sheetView topLeftCell="A226" workbookViewId="0">
      <selection activeCell="A2" sqref="A2"/>
    </sheetView>
  </sheetViews>
  <sheetFormatPr defaultRowHeight="15"/>
  <cols>
    <col min="1" max="1" width="11.7109375" bestFit="1" customWidth="1"/>
    <col min="2" max="2" width="11.7109375" customWidth="1"/>
    <col min="4" max="4" width="22.7109375" bestFit="1" customWidth="1"/>
    <col min="5" max="5" width="22.7109375" customWidth="1"/>
    <col min="6" max="6" width="15.28515625" bestFit="1" customWidth="1"/>
    <col min="7" max="7" width="21.42578125" customWidth="1"/>
    <col min="8" max="8" width="22.7109375" bestFit="1" customWidth="1"/>
    <col min="9" max="9" width="22.7109375" customWidth="1"/>
    <col min="10" max="10" width="19.42578125" bestFit="1" customWidth="1"/>
    <col min="11" max="11" width="22.85546875" customWidth="1"/>
    <col min="12" max="12" width="25.85546875" customWidth="1"/>
    <col min="13" max="13" width="14.5703125" customWidth="1"/>
    <col min="14" max="14" width="26.7109375" customWidth="1"/>
    <col min="15" max="15" width="37.42578125" bestFit="1" customWidth="1"/>
    <col min="16" max="16" width="22.85546875" bestFit="1" customWidth="1"/>
    <col min="17" max="17" width="28.5703125" customWidth="1"/>
    <col min="18" max="18" width="30.7109375" bestFit="1" customWidth="1"/>
    <col min="19" max="19" width="15.140625" customWidth="1"/>
    <col min="20" max="20" width="26" bestFit="1" customWidth="1"/>
    <col min="21" max="21" width="26" customWidth="1"/>
    <col min="22" max="22" width="22" bestFit="1" customWidth="1"/>
    <col min="23" max="23" width="27.5703125" customWidth="1"/>
    <col min="24" max="24" width="26" bestFit="1" customWidth="1"/>
    <col min="25" max="25" width="26" customWidth="1"/>
    <col min="26" max="26" width="36.42578125" bestFit="1" customWidth="1"/>
    <col min="27" max="27" width="36.42578125" customWidth="1"/>
    <col min="28" max="28" width="25.85546875" bestFit="1" customWidth="1"/>
    <col min="29" max="29" width="25.85546875" customWidth="1"/>
    <col min="30" max="30" width="32.140625" bestFit="1" customWidth="1"/>
    <col min="31" max="31" width="32.140625" customWidth="1"/>
    <col min="32" max="32" width="21.7109375" bestFit="1" customWidth="1"/>
    <col min="33" max="33" width="21.7109375" customWidth="1"/>
    <col min="34" max="34" width="29.7109375" bestFit="1" customWidth="1"/>
    <col min="35" max="35" width="29.7109375" customWidth="1"/>
    <col min="36" max="36" width="23.28515625" bestFit="1" customWidth="1"/>
    <col min="37" max="37" width="23.28515625" customWidth="1"/>
    <col min="38" max="38" width="22.28515625" customWidth="1"/>
    <col min="39" max="39" width="22.140625" customWidth="1"/>
    <col min="40" max="40" width="23.28515625" bestFit="1" customWidth="1"/>
    <col min="41" max="42" width="23.28515625" customWidth="1"/>
    <col min="43" max="43" width="31.42578125" bestFit="1" customWidth="1"/>
    <col min="44" max="44" width="31.42578125" customWidth="1"/>
    <col min="45" max="45" width="15.5703125" bestFit="1" customWidth="1"/>
    <col min="46" max="46" width="15.5703125" customWidth="1"/>
    <col min="47" max="47" width="30.7109375" bestFit="1" customWidth="1"/>
    <col min="48" max="48" width="30.7109375" customWidth="1"/>
    <col min="49" max="49" width="28.28515625" bestFit="1" customWidth="1"/>
    <col min="50" max="50" width="28.28515625" customWidth="1"/>
    <col min="51" max="51" width="30.7109375" bestFit="1" customWidth="1"/>
    <col min="52" max="52" width="30.7109375" customWidth="1"/>
    <col min="53" max="53" width="28.28515625" bestFit="1" customWidth="1"/>
    <col min="54" max="54" width="28.28515625" customWidth="1"/>
    <col min="55" max="55" width="16.28515625" bestFit="1" customWidth="1"/>
    <col min="56" max="56" width="16.28515625" customWidth="1"/>
    <col min="57" max="57" width="26.42578125" bestFit="1" customWidth="1"/>
    <col min="58" max="58" width="26.42578125" customWidth="1"/>
    <col min="59" max="59" width="16.28515625" bestFit="1" customWidth="1"/>
    <col min="60" max="60" width="15.85546875" bestFit="1" customWidth="1"/>
    <col min="61" max="61" width="15.85546875" customWidth="1"/>
  </cols>
  <sheetData>
    <row r="1" spans="1:31">
      <c r="A1" s="13" t="s">
        <v>59</v>
      </c>
      <c r="B1" s="14" t="s">
        <v>60</v>
      </c>
      <c r="C1" s="14" t="s">
        <v>61</v>
      </c>
      <c r="D1" t="s">
        <v>23</v>
      </c>
      <c r="E1" t="s">
        <v>32</v>
      </c>
      <c r="F1" t="s">
        <v>34</v>
      </c>
      <c r="G1" t="s">
        <v>35</v>
      </c>
      <c r="H1" t="s">
        <v>36</v>
      </c>
      <c r="I1" t="s">
        <v>39</v>
      </c>
      <c r="J1" t="s">
        <v>41</v>
      </c>
      <c r="K1" t="s">
        <v>42</v>
      </c>
      <c r="L1" t="s">
        <v>43</v>
      </c>
      <c r="M1" t="s">
        <v>44</v>
      </c>
      <c r="N1" t="s">
        <v>46</v>
      </c>
      <c r="O1" t="s">
        <v>45</v>
      </c>
      <c r="P1" s="14" t="s">
        <v>83</v>
      </c>
      <c r="Q1" t="s">
        <v>50</v>
      </c>
      <c r="R1" t="s">
        <v>24</v>
      </c>
      <c r="S1" t="s">
        <v>33</v>
      </c>
      <c r="T1" s="14" t="s">
        <v>84</v>
      </c>
      <c r="U1" t="s">
        <v>25</v>
      </c>
      <c r="V1" t="s">
        <v>26</v>
      </c>
      <c r="W1" t="s">
        <v>49</v>
      </c>
      <c r="X1" t="s">
        <v>27</v>
      </c>
      <c r="Y1" t="s">
        <v>28</v>
      </c>
      <c r="Z1" t="s">
        <v>30</v>
      </c>
      <c r="AA1" t="s">
        <v>29</v>
      </c>
      <c r="AB1" t="s">
        <v>31</v>
      </c>
      <c r="AC1" t="s">
        <v>58</v>
      </c>
      <c r="AD1" s="15" t="s">
        <v>85</v>
      </c>
      <c r="AE1" s="14" t="s">
        <v>86</v>
      </c>
    </row>
    <row r="2" spans="1:31">
      <c r="A2" s="11" t="s">
        <v>65</v>
      </c>
      <c r="B2" s="5">
        <v>2013</v>
      </c>
      <c r="C2" s="5" t="s">
        <v>66</v>
      </c>
      <c r="D2" s="5">
        <v>107.5</v>
      </c>
      <c r="E2" s="5">
        <v>106.3</v>
      </c>
      <c r="F2" s="5">
        <v>108.1</v>
      </c>
      <c r="G2" s="5">
        <v>104.9</v>
      </c>
      <c r="H2" s="5">
        <v>106.1</v>
      </c>
      <c r="I2" s="5">
        <v>103.9</v>
      </c>
      <c r="J2" s="5">
        <v>101.9</v>
      </c>
      <c r="K2" s="5">
        <v>106.1</v>
      </c>
      <c r="L2" s="5">
        <v>106.8</v>
      </c>
      <c r="M2" s="5">
        <v>103.1</v>
      </c>
      <c r="N2" s="5">
        <v>104.8</v>
      </c>
      <c r="O2" s="5">
        <v>106.7</v>
      </c>
      <c r="P2" s="5">
        <v>105.5</v>
      </c>
      <c r="Q2" s="5">
        <v>105.1</v>
      </c>
      <c r="R2" s="5">
        <v>106.5</v>
      </c>
      <c r="S2" s="5">
        <v>105.8</v>
      </c>
      <c r="T2" s="5">
        <v>106.4</v>
      </c>
      <c r="U2" s="5" t="s">
        <v>67</v>
      </c>
      <c r="V2" s="5">
        <v>105.5</v>
      </c>
      <c r="W2" s="5">
        <v>104.8</v>
      </c>
      <c r="X2" s="5">
        <v>104</v>
      </c>
      <c r="Y2" s="5">
        <v>103.3</v>
      </c>
      <c r="Z2" s="5">
        <v>103.4</v>
      </c>
      <c r="AA2" s="5">
        <v>103.8</v>
      </c>
      <c r="AB2" s="5">
        <v>104.7</v>
      </c>
      <c r="AC2" s="5">
        <v>104</v>
      </c>
      <c r="AD2" s="12">
        <v>105.1</v>
      </c>
      <c r="AE2" s="25">
        <f>COUNTIFS($A$2:$A$379,A2,$B$2:$B$379,B3,$C$2:$C$379,C2)</f>
        <v>1</v>
      </c>
    </row>
    <row r="3" spans="1:31">
      <c r="A3" s="11" t="s">
        <v>68</v>
      </c>
      <c r="B3" s="5">
        <v>2013</v>
      </c>
      <c r="C3" s="5" t="s">
        <v>66</v>
      </c>
      <c r="D3" s="5">
        <v>110.5</v>
      </c>
      <c r="E3" s="5">
        <v>109.1</v>
      </c>
      <c r="F3" s="5">
        <v>113</v>
      </c>
      <c r="G3" s="5">
        <v>103.6</v>
      </c>
      <c r="H3" s="5">
        <v>103.4</v>
      </c>
      <c r="I3" s="5">
        <v>102.3</v>
      </c>
      <c r="J3" s="5">
        <v>102.9</v>
      </c>
      <c r="K3" s="5">
        <v>105.8</v>
      </c>
      <c r="L3" s="5">
        <v>105.1</v>
      </c>
      <c r="M3" s="5">
        <v>101.8</v>
      </c>
      <c r="N3" s="5">
        <v>105.1</v>
      </c>
      <c r="O3" s="5">
        <v>107.9</v>
      </c>
      <c r="P3" s="5">
        <v>105.9</v>
      </c>
      <c r="Q3" s="5">
        <v>105.2</v>
      </c>
      <c r="R3" s="5">
        <v>105.9</v>
      </c>
      <c r="S3" s="5">
        <v>105</v>
      </c>
      <c r="T3" s="5">
        <v>105.8</v>
      </c>
      <c r="U3" s="5">
        <v>100.3</v>
      </c>
      <c r="V3" s="5">
        <v>105.4</v>
      </c>
      <c r="W3" s="5">
        <v>104.8</v>
      </c>
      <c r="X3" s="5">
        <v>104.1</v>
      </c>
      <c r="Y3" s="5">
        <v>103.2</v>
      </c>
      <c r="Z3" s="5">
        <v>102.9</v>
      </c>
      <c r="AA3" s="5">
        <v>103.5</v>
      </c>
      <c r="AB3" s="5">
        <v>104.3</v>
      </c>
      <c r="AC3" s="5">
        <v>103.7</v>
      </c>
      <c r="AD3" s="12">
        <v>104</v>
      </c>
      <c r="AE3" s="26">
        <f>COUNTIFS($A$2:$A$379,A3,$B$2:$B$379,B4,$C$2:$C$379,C3)</f>
        <v>1</v>
      </c>
    </row>
    <row r="4" spans="1:31">
      <c r="A4" s="11" t="s">
        <v>69</v>
      </c>
      <c r="B4" s="5">
        <v>2013</v>
      </c>
      <c r="C4" s="5" t="s">
        <v>66</v>
      </c>
      <c r="D4" s="5">
        <v>108.4</v>
      </c>
      <c r="E4" s="5">
        <v>107.3</v>
      </c>
      <c r="F4" s="5">
        <v>110</v>
      </c>
      <c r="G4" s="5">
        <v>104.4</v>
      </c>
      <c r="H4" s="5">
        <v>105.1</v>
      </c>
      <c r="I4" s="5">
        <v>103.2</v>
      </c>
      <c r="J4" s="5">
        <v>102.2</v>
      </c>
      <c r="K4" s="5">
        <v>106</v>
      </c>
      <c r="L4" s="5">
        <v>106.2</v>
      </c>
      <c r="M4" s="5">
        <v>102.7</v>
      </c>
      <c r="N4" s="5">
        <v>104.9</v>
      </c>
      <c r="O4" s="5">
        <v>107.3</v>
      </c>
      <c r="P4" s="5">
        <v>105.6</v>
      </c>
      <c r="Q4" s="5">
        <v>105.1</v>
      </c>
      <c r="R4" s="5">
        <v>106.3</v>
      </c>
      <c r="S4" s="5">
        <v>105.5</v>
      </c>
      <c r="T4" s="5">
        <v>106.2</v>
      </c>
      <c r="U4" s="5">
        <v>100.3</v>
      </c>
      <c r="V4" s="5">
        <v>105.5</v>
      </c>
      <c r="W4" s="5">
        <v>104.8</v>
      </c>
      <c r="X4" s="5">
        <v>104</v>
      </c>
      <c r="Y4" s="5">
        <v>103.2</v>
      </c>
      <c r="Z4" s="5">
        <v>103.1</v>
      </c>
      <c r="AA4" s="5">
        <v>103.6</v>
      </c>
      <c r="AB4" s="5">
        <v>104.5</v>
      </c>
      <c r="AC4" s="5">
        <v>103.9</v>
      </c>
      <c r="AD4" s="12">
        <v>104.6</v>
      </c>
      <c r="AE4" s="26">
        <f>COUNTIFS($A$2:$A$379,A4,$B$2:$B$379,B5,$C$2:$C$379,C4)</f>
        <v>1</v>
      </c>
    </row>
    <row r="5" spans="1:31">
      <c r="A5" s="11" t="s">
        <v>65</v>
      </c>
      <c r="B5" s="5">
        <v>2013</v>
      </c>
      <c r="C5" s="5" t="s">
        <v>70</v>
      </c>
      <c r="D5" s="5">
        <v>109.2</v>
      </c>
      <c r="E5" s="5">
        <v>108.7</v>
      </c>
      <c r="F5" s="5">
        <v>110.2</v>
      </c>
      <c r="G5" s="5">
        <v>105.4</v>
      </c>
      <c r="H5" s="5">
        <v>106.7</v>
      </c>
      <c r="I5" s="5">
        <v>104</v>
      </c>
      <c r="J5" s="5">
        <v>102.4</v>
      </c>
      <c r="K5" s="5">
        <v>105.9</v>
      </c>
      <c r="L5" s="5">
        <v>105.7</v>
      </c>
      <c r="M5" s="5">
        <v>103.1</v>
      </c>
      <c r="N5" s="5">
        <v>105.1</v>
      </c>
      <c r="O5" s="5">
        <v>107.7</v>
      </c>
      <c r="P5" s="5">
        <v>106.3</v>
      </c>
      <c r="Q5" s="5">
        <v>105.6</v>
      </c>
      <c r="R5" s="5">
        <v>107.1</v>
      </c>
      <c r="S5" s="5">
        <v>106.3</v>
      </c>
      <c r="T5" s="5">
        <v>107</v>
      </c>
      <c r="U5" s="5" t="s">
        <v>67</v>
      </c>
      <c r="V5" s="5">
        <v>106.2</v>
      </c>
      <c r="W5" s="5">
        <v>105.2</v>
      </c>
      <c r="X5" s="5">
        <v>104.4</v>
      </c>
      <c r="Y5" s="5">
        <v>103.9</v>
      </c>
      <c r="Z5" s="5">
        <v>104</v>
      </c>
      <c r="AA5" s="5">
        <v>104.1</v>
      </c>
      <c r="AB5" s="5">
        <v>104.6</v>
      </c>
      <c r="AC5" s="5">
        <v>104.4</v>
      </c>
      <c r="AD5" s="12">
        <v>105.8</v>
      </c>
      <c r="AE5" s="26">
        <f>COUNTIFS($A$2:$A$379,A5,$B$2:$B$379,B6,$C$2:$C$379,C5)</f>
        <v>1</v>
      </c>
    </row>
    <row r="6" spans="1:31">
      <c r="A6" s="11" t="s">
        <v>68</v>
      </c>
      <c r="B6" s="5">
        <v>2013</v>
      </c>
      <c r="C6" s="5" t="s">
        <v>70</v>
      </c>
      <c r="D6" s="5">
        <v>112.9</v>
      </c>
      <c r="E6" s="5">
        <v>112.9</v>
      </c>
      <c r="F6" s="5">
        <v>116.9</v>
      </c>
      <c r="G6" s="5">
        <v>104</v>
      </c>
      <c r="H6" s="5">
        <v>103.5</v>
      </c>
      <c r="I6" s="5">
        <v>103.1</v>
      </c>
      <c r="J6" s="5">
        <v>104.9</v>
      </c>
      <c r="K6" s="5">
        <v>104.1</v>
      </c>
      <c r="L6" s="5">
        <v>103.8</v>
      </c>
      <c r="M6" s="5">
        <v>102.3</v>
      </c>
      <c r="N6" s="5">
        <v>106</v>
      </c>
      <c r="O6" s="5">
        <v>109</v>
      </c>
      <c r="P6" s="5">
        <v>107.2</v>
      </c>
      <c r="Q6" s="5">
        <v>106</v>
      </c>
      <c r="R6" s="5">
        <v>106.6</v>
      </c>
      <c r="S6" s="5">
        <v>105.5</v>
      </c>
      <c r="T6" s="5">
        <v>106.4</v>
      </c>
      <c r="U6" s="5">
        <v>100.4</v>
      </c>
      <c r="V6" s="5">
        <v>105.7</v>
      </c>
      <c r="W6" s="5">
        <v>105.2</v>
      </c>
      <c r="X6" s="5">
        <v>104.7</v>
      </c>
      <c r="Y6" s="5">
        <v>104.4</v>
      </c>
      <c r="Z6" s="5">
        <v>103.3</v>
      </c>
      <c r="AA6" s="5">
        <v>103.7</v>
      </c>
      <c r="AB6" s="5">
        <v>104.3</v>
      </c>
      <c r="AC6" s="5">
        <v>104.3</v>
      </c>
      <c r="AD6" s="12">
        <v>104.7</v>
      </c>
      <c r="AE6" s="26">
        <f>COUNTIFS($A$2:$A$379,A6,$B$2:$B$379,B7,$C$2:$C$379,C6)</f>
        <v>1</v>
      </c>
    </row>
    <row r="7" spans="1:31">
      <c r="A7" s="11" t="s">
        <v>69</v>
      </c>
      <c r="B7" s="5">
        <v>2013</v>
      </c>
      <c r="C7" s="5" t="s">
        <v>70</v>
      </c>
      <c r="D7" s="5">
        <v>110.4</v>
      </c>
      <c r="E7" s="5">
        <v>110.2</v>
      </c>
      <c r="F7" s="5">
        <v>112.8</v>
      </c>
      <c r="G7" s="5">
        <v>104.9</v>
      </c>
      <c r="H7" s="5">
        <v>105.5</v>
      </c>
      <c r="I7" s="5">
        <v>103.6</v>
      </c>
      <c r="J7" s="5">
        <v>103.2</v>
      </c>
      <c r="K7" s="5">
        <v>105.3</v>
      </c>
      <c r="L7" s="5">
        <v>105.1</v>
      </c>
      <c r="M7" s="5">
        <v>102.8</v>
      </c>
      <c r="N7" s="5">
        <v>105.5</v>
      </c>
      <c r="O7" s="5">
        <v>108.3</v>
      </c>
      <c r="P7" s="5">
        <v>106.6</v>
      </c>
      <c r="Q7" s="5">
        <v>105.7</v>
      </c>
      <c r="R7" s="5">
        <v>106.9</v>
      </c>
      <c r="S7" s="5">
        <v>106</v>
      </c>
      <c r="T7" s="5">
        <v>106.8</v>
      </c>
      <c r="U7" s="5">
        <v>100.4</v>
      </c>
      <c r="V7" s="5">
        <v>106</v>
      </c>
      <c r="W7" s="5">
        <v>105.2</v>
      </c>
      <c r="X7" s="5">
        <v>104.5</v>
      </c>
      <c r="Y7" s="5">
        <v>104.2</v>
      </c>
      <c r="Z7" s="5">
        <v>103.6</v>
      </c>
      <c r="AA7" s="5">
        <v>103.9</v>
      </c>
      <c r="AB7" s="5">
        <v>104.5</v>
      </c>
      <c r="AC7" s="5">
        <v>104.4</v>
      </c>
      <c r="AD7" s="12">
        <v>105.3</v>
      </c>
      <c r="AE7" s="26">
        <f>COUNTIFS($A$2:$A$379,A7,$B$2:$B$379,B8,$C$2:$C$379,C7)</f>
        <v>1</v>
      </c>
    </row>
    <row r="8" spans="1:31">
      <c r="A8" s="11" t="s">
        <v>65</v>
      </c>
      <c r="B8" s="5">
        <v>2013</v>
      </c>
      <c r="C8" s="5" t="s">
        <v>71</v>
      </c>
      <c r="D8" s="5">
        <v>110.2</v>
      </c>
      <c r="E8" s="5">
        <v>108.8</v>
      </c>
      <c r="F8" s="5">
        <v>109.9</v>
      </c>
      <c r="G8" s="5">
        <v>105.6</v>
      </c>
      <c r="H8" s="5">
        <v>106.2</v>
      </c>
      <c r="I8" s="5">
        <v>105.7</v>
      </c>
      <c r="J8" s="5">
        <v>101.4</v>
      </c>
      <c r="K8" s="5">
        <v>105.7</v>
      </c>
      <c r="L8" s="5">
        <v>105</v>
      </c>
      <c r="M8" s="5">
        <v>103.3</v>
      </c>
      <c r="N8" s="5">
        <v>105.6</v>
      </c>
      <c r="O8" s="5">
        <v>108.2</v>
      </c>
      <c r="P8" s="5">
        <v>106.6</v>
      </c>
      <c r="Q8" s="5">
        <v>106.5</v>
      </c>
      <c r="R8" s="5">
        <v>107.6</v>
      </c>
      <c r="S8" s="5">
        <v>106.8</v>
      </c>
      <c r="T8" s="5">
        <v>107.5</v>
      </c>
      <c r="U8" s="5" t="s">
        <v>67</v>
      </c>
      <c r="V8" s="5">
        <v>106.1</v>
      </c>
      <c r="W8" s="5">
        <v>105.6</v>
      </c>
      <c r="X8" s="5">
        <v>104.7</v>
      </c>
      <c r="Y8" s="5">
        <v>104.6</v>
      </c>
      <c r="Z8" s="5">
        <v>104</v>
      </c>
      <c r="AA8" s="5">
        <v>104.3</v>
      </c>
      <c r="AB8" s="5">
        <v>104.3</v>
      </c>
      <c r="AC8" s="5">
        <v>104.6</v>
      </c>
      <c r="AD8" s="12">
        <v>106</v>
      </c>
      <c r="AE8" s="26">
        <f>COUNTIFS($A$2:$A$379,A8,$B$2:$B$379,B9,$C$2:$C$379,C8)</f>
        <v>1</v>
      </c>
    </row>
    <row r="9" spans="1:31">
      <c r="A9" s="11" t="s">
        <v>68</v>
      </c>
      <c r="B9" s="5">
        <v>2013</v>
      </c>
      <c r="C9" s="5" t="s">
        <v>71</v>
      </c>
      <c r="D9" s="5">
        <v>113.9</v>
      </c>
      <c r="E9" s="5">
        <v>111.4</v>
      </c>
      <c r="F9" s="5">
        <v>113.2</v>
      </c>
      <c r="G9" s="5">
        <v>104.3</v>
      </c>
      <c r="H9" s="5">
        <v>102.7</v>
      </c>
      <c r="I9" s="5">
        <v>104.9</v>
      </c>
      <c r="J9" s="5">
        <v>103.8</v>
      </c>
      <c r="K9" s="5">
        <v>103.5</v>
      </c>
      <c r="L9" s="5">
        <v>102.6</v>
      </c>
      <c r="M9" s="5">
        <v>102.4</v>
      </c>
      <c r="N9" s="5">
        <v>107</v>
      </c>
      <c r="O9" s="5">
        <v>109.8</v>
      </c>
      <c r="P9" s="5">
        <v>107.3</v>
      </c>
      <c r="Q9" s="5">
        <v>106.8</v>
      </c>
      <c r="R9" s="5">
        <v>107.2</v>
      </c>
      <c r="S9" s="5">
        <v>106</v>
      </c>
      <c r="T9" s="5">
        <v>107</v>
      </c>
      <c r="U9" s="5">
        <v>100.4</v>
      </c>
      <c r="V9" s="5">
        <v>106</v>
      </c>
      <c r="W9" s="5">
        <v>105.7</v>
      </c>
      <c r="X9" s="5">
        <v>105.2</v>
      </c>
      <c r="Y9" s="5">
        <v>105.5</v>
      </c>
      <c r="Z9" s="5">
        <v>103.5</v>
      </c>
      <c r="AA9" s="5">
        <v>103.8</v>
      </c>
      <c r="AB9" s="5">
        <v>104.2</v>
      </c>
      <c r="AC9" s="5">
        <v>104.9</v>
      </c>
      <c r="AD9" s="12">
        <v>105</v>
      </c>
      <c r="AE9" s="26">
        <f>COUNTIFS($A$2:$A$379,A9,$B$2:$B$379,B10,$C$2:$C$379,C9)</f>
        <v>1</v>
      </c>
    </row>
    <row r="10" spans="1:31">
      <c r="A10" s="11" t="s">
        <v>69</v>
      </c>
      <c r="B10" s="5">
        <v>2013</v>
      </c>
      <c r="C10" s="5" t="s">
        <v>71</v>
      </c>
      <c r="D10" s="5">
        <v>111.4</v>
      </c>
      <c r="E10" s="5">
        <v>109.7</v>
      </c>
      <c r="F10" s="5">
        <v>111.2</v>
      </c>
      <c r="G10" s="5">
        <v>105.1</v>
      </c>
      <c r="H10" s="5">
        <v>104.9</v>
      </c>
      <c r="I10" s="5">
        <v>105.3</v>
      </c>
      <c r="J10" s="5">
        <v>102.2</v>
      </c>
      <c r="K10" s="5">
        <v>105</v>
      </c>
      <c r="L10" s="5">
        <v>104.2</v>
      </c>
      <c r="M10" s="5">
        <v>103</v>
      </c>
      <c r="N10" s="5">
        <v>106.2</v>
      </c>
      <c r="O10" s="5">
        <v>108.9</v>
      </c>
      <c r="P10" s="5">
        <v>106.9</v>
      </c>
      <c r="Q10" s="5">
        <v>106.6</v>
      </c>
      <c r="R10" s="5">
        <v>107.4</v>
      </c>
      <c r="S10" s="5">
        <v>106.5</v>
      </c>
      <c r="T10" s="5">
        <v>107.3</v>
      </c>
      <c r="U10" s="5">
        <v>100.4</v>
      </c>
      <c r="V10" s="5">
        <v>106.1</v>
      </c>
      <c r="W10" s="5">
        <v>105.6</v>
      </c>
      <c r="X10" s="5">
        <v>104.9</v>
      </c>
      <c r="Y10" s="5">
        <v>105.1</v>
      </c>
      <c r="Z10" s="5">
        <v>103.7</v>
      </c>
      <c r="AA10" s="5">
        <v>104</v>
      </c>
      <c r="AB10" s="5">
        <v>104.3</v>
      </c>
      <c r="AC10" s="5">
        <v>104.7</v>
      </c>
      <c r="AD10" s="12">
        <v>105.5</v>
      </c>
      <c r="AE10" s="26">
        <f>COUNTIFS($A$2:$A$379,A10,$B$2:$B$379,B11,$C$2:$C$379,C10)</f>
        <v>1</v>
      </c>
    </row>
    <row r="11" spans="1:31">
      <c r="A11" s="11" t="s">
        <v>65</v>
      </c>
      <c r="B11" s="5">
        <v>2013</v>
      </c>
      <c r="C11" s="5" t="s">
        <v>72</v>
      </c>
      <c r="D11" s="5">
        <v>110.2</v>
      </c>
      <c r="E11" s="5">
        <v>109.5</v>
      </c>
      <c r="F11" s="5">
        <v>106.9</v>
      </c>
      <c r="G11" s="5">
        <v>106.3</v>
      </c>
      <c r="H11" s="5">
        <v>105.7</v>
      </c>
      <c r="I11" s="5">
        <v>108.3</v>
      </c>
      <c r="J11" s="5">
        <v>103.4</v>
      </c>
      <c r="K11" s="5">
        <v>105.7</v>
      </c>
      <c r="L11" s="5">
        <v>104.2</v>
      </c>
      <c r="M11" s="5">
        <v>103.2</v>
      </c>
      <c r="N11" s="5">
        <v>106.5</v>
      </c>
      <c r="O11" s="5">
        <v>108.8</v>
      </c>
      <c r="P11" s="5">
        <v>107.1</v>
      </c>
      <c r="Q11" s="5">
        <v>107.1</v>
      </c>
      <c r="R11" s="5">
        <v>108.1</v>
      </c>
      <c r="S11" s="5">
        <v>107.4</v>
      </c>
      <c r="T11" s="5">
        <v>108</v>
      </c>
      <c r="U11" s="5" t="s">
        <v>67</v>
      </c>
      <c r="V11" s="5">
        <v>106.5</v>
      </c>
      <c r="W11" s="5">
        <v>106.1</v>
      </c>
      <c r="X11" s="5">
        <v>105.1</v>
      </c>
      <c r="Y11" s="5">
        <v>104.4</v>
      </c>
      <c r="Z11" s="5">
        <v>104.5</v>
      </c>
      <c r="AA11" s="5">
        <v>104.8</v>
      </c>
      <c r="AB11" s="5">
        <v>102.7</v>
      </c>
      <c r="AC11" s="5">
        <v>104.6</v>
      </c>
      <c r="AD11" s="12">
        <v>106.4</v>
      </c>
      <c r="AE11" s="26">
        <f>COUNTIFS($A$2:$A$379,A11,$B$2:$B$379,B12,$C$2:$C$379,C11)</f>
        <v>1</v>
      </c>
    </row>
    <row r="12" spans="1:31">
      <c r="A12" s="11" t="s">
        <v>68</v>
      </c>
      <c r="B12" s="5">
        <v>2013</v>
      </c>
      <c r="C12" s="5" t="s">
        <v>72</v>
      </c>
      <c r="D12" s="5">
        <v>114.6</v>
      </c>
      <c r="E12" s="5">
        <v>113.4</v>
      </c>
      <c r="F12" s="5">
        <v>106</v>
      </c>
      <c r="G12" s="5">
        <v>104.7</v>
      </c>
      <c r="H12" s="5">
        <v>102.1</v>
      </c>
      <c r="I12" s="5">
        <v>109.5</v>
      </c>
      <c r="J12" s="5">
        <v>109.7</v>
      </c>
      <c r="K12" s="5">
        <v>104.6</v>
      </c>
      <c r="L12" s="5">
        <v>102</v>
      </c>
      <c r="M12" s="5">
        <v>103.5</v>
      </c>
      <c r="N12" s="5">
        <v>108.2</v>
      </c>
      <c r="O12" s="5">
        <v>110.6</v>
      </c>
      <c r="P12" s="5">
        <v>108.8</v>
      </c>
      <c r="Q12" s="5">
        <v>108.5</v>
      </c>
      <c r="R12" s="5">
        <v>107.9</v>
      </c>
      <c r="S12" s="5">
        <v>106.4</v>
      </c>
      <c r="T12" s="5">
        <v>107.7</v>
      </c>
      <c r="U12" s="5">
        <v>100.5</v>
      </c>
      <c r="V12" s="5">
        <v>106.4</v>
      </c>
      <c r="W12" s="5">
        <v>106.5</v>
      </c>
      <c r="X12" s="5">
        <v>105.7</v>
      </c>
      <c r="Y12" s="5">
        <v>105</v>
      </c>
      <c r="Z12" s="5">
        <v>104</v>
      </c>
      <c r="AA12" s="5">
        <v>105.2</v>
      </c>
      <c r="AB12" s="5">
        <v>103.2</v>
      </c>
      <c r="AC12" s="5">
        <v>105.1</v>
      </c>
      <c r="AD12" s="12">
        <v>105.7</v>
      </c>
      <c r="AE12" s="26">
        <f>COUNTIFS($A$2:$A$379,A12,$B$2:$B$379,B13,$C$2:$C$379,C12)</f>
        <v>1</v>
      </c>
    </row>
    <row r="13" spans="1:31">
      <c r="A13" s="11" t="s">
        <v>69</v>
      </c>
      <c r="B13" s="5">
        <v>2013</v>
      </c>
      <c r="C13" s="5" t="s">
        <v>72</v>
      </c>
      <c r="D13" s="5">
        <v>111.6</v>
      </c>
      <c r="E13" s="5">
        <v>110.9</v>
      </c>
      <c r="F13" s="5">
        <v>106.6</v>
      </c>
      <c r="G13" s="5">
        <v>105.7</v>
      </c>
      <c r="H13" s="5">
        <v>104.4</v>
      </c>
      <c r="I13" s="5">
        <v>108.9</v>
      </c>
      <c r="J13" s="5">
        <v>105.5</v>
      </c>
      <c r="K13" s="5">
        <v>105.3</v>
      </c>
      <c r="L13" s="5">
        <v>103.5</v>
      </c>
      <c r="M13" s="5">
        <v>103.3</v>
      </c>
      <c r="N13" s="5">
        <v>107.2</v>
      </c>
      <c r="O13" s="5">
        <v>109.6</v>
      </c>
      <c r="P13" s="5">
        <v>107.7</v>
      </c>
      <c r="Q13" s="5">
        <v>107.5</v>
      </c>
      <c r="R13" s="5">
        <v>108</v>
      </c>
      <c r="S13" s="5">
        <v>107</v>
      </c>
      <c r="T13" s="5">
        <v>107.9</v>
      </c>
      <c r="U13" s="5">
        <v>100.5</v>
      </c>
      <c r="V13" s="5">
        <v>106.5</v>
      </c>
      <c r="W13" s="5">
        <v>106.3</v>
      </c>
      <c r="X13" s="5">
        <v>105.3</v>
      </c>
      <c r="Y13" s="5">
        <v>104.7</v>
      </c>
      <c r="Z13" s="5">
        <v>104.2</v>
      </c>
      <c r="AA13" s="5">
        <v>105</v>
      </c>
      <c r="AB13" s="5">
        <v>102.9</v>
      </c>
      <c r="AC13" s="5">
        <v>104.8</v>
      </c>
      <c r="AD13" s="12">
        <v>106.1</v>
      </c>
      <c r="AE13" s="26">
        <f>COUNTIFS($A$2:$A$379,A13,$B$2:$B$379,B14,$C$2:$C$379,C13)</f>
        <v>1</v>
      </c>
    </row>
    <row r="14" spans="1:31">
      <c r="A14" s="11" t="s">
        <v>65</v>
      </c>
      <c r="B14" s="5">
        <v>2013</v>
      </c>
      <c r="C14" s="5" t="s">
        <v>73</v>
      </c>
      <c r="D14" s="5">
        <v>110.9</v>
      </c>
      <c r="E14" s="5">
        <v>109.8</v>
      </c>
      <c r="F14" s="5">
        <v>105.9</v>
      </c>
      <c r="G14" s="5">
        <v>107.5</v>
      </c>
      <c r="H14" s="5">
        <v>105.3</v>
      </c>
      <c r="I14" s="5">
        <v>108.1</v>
      </c>
      <c r="J14" s="5">
        <v>107.3</v>
      </c>
      <c r="K14" s="5">
        <v>106.1</v>
      </c>
      <c r="L14" s="5">
        <v>103.7</v>
      </c>
      <c r="M14" s="5">
        <v>104</v>
      </c>
      <c r="N14" s="5">
        <v>107.4</v>
      </c>
      <c r="O14" s="5">
        <v>109.9</v>
      </c>
      <c r="P14" s="5">
        <v>108.1</v>
      </c>
      <c r="Q14" s="5">
        <v>108.1</v>
      </c>
      <c r="R14" s="5">
        <v>108.8</v>
      </c>
      <c r="S14" s="5">
        <v>107.9</v>
      </c>
      <c r="T14" s="5">
        <v>108.6</v>
      </c>
      <c r="U14" s="5" t="s">
        <v>67</v>
      </c>
      <c r="V14" s="5">
        <v>107.5</v>
      </c>
      <c r="W14" s="5">
        <v>106.8</v>
      </c>
      <c r="X14" s="5">
        <v>105.7</v>
      </c>
      <c r="Y14" s="5">
        <v>104.1</v>
      </c>
      <c r="Z14" s="5">
        <v>105</v>
      </c>
      <c r="AA14" s="5">
        <v>105.5</v>
      </c>
      <c r="AB14" s="5">
        <v>102.1</v>
      </c>
      <c r="AC14" s="5">
        <v>104.8</v>
      </c>
      <c r="AD14" s="12">
        <v>107.2</v>
      </c>
      <c r="AE14" s="26">
        <f>COUNTIFS($A$2:$A$379,A14,$B$2:$B$379,B15,$C$2:$C$379,C14)</f>
        <v>1</v>
      </c>
    </row>
    <row r="15" spans="1:31">
      <c r="A15" s="11" t="s">
        <v>68</v>
      </c>
      <c r="B15" s="5">
        <v>2013</v>
      </c>
      <c r="C15" s="5" t="s">
        <v>73</v>
      </c>
      <c r="D15" s="5">
        <v>115.4</v>
      </c>
      <c r="E15" s="5">
        <v>114.2</v>
      </c>
      <c r="F15" s="5">
        <v>102.7</v>
      </c>
      <c r="G15" s="5">
        <v>105.5</v>
      </c>
      <c r="H15" s="5">
        <v>101.5</v>
      </c>
      <c r="I15" s="5">
        <v>110.6</v>
      </c>
      <c r="J15" s="5">
        <v>123.7</v>
      </c>
      <c r="K15" s="5">
        <v>105.2</v>
      </c>
      <c r="L15" s="5">
        <v>101.9</v>
      </c>
      <c r="M15" s="5">
        <v>105</v>
      </c>
      <c r="N15" s="5">
        <v>109.1</v>
      </c>
      <c r="O15" s="5">
        <v>111.3</v>
      </c>
      <c r="P15" s="5">
        <v>111.1</v>
      </c>
      <c r="Q15" s="5">
        <v>109.8</v>
      </c>
      <c r="R15" s="5">
        <v>108.5</v>
      </c>
      <c r="S15" s="5">
        <v>106.7</v>
      </c>
      <c r="T15" s="5">
        <v>108.3</v>
      </c>
      <c r="U15" s="5">
        <v>100.5</v>
      </c>
      <c r="V15" s="5">
        <v>107.2</v>
      </c>
      <c r="W15" s="5">
        <v>107.1</v>
      </c>
      <c r="X15" s="5">
        <v>106.2</v>
      </c>
      <c r="Y15" s="5">
        <v>103.9</v>
      </c>
      <c r="Z15" s="5">
        <v>104.6</v>
      </c>
      <c r="AA15" s="5">
        <v>105.7</v>
      </c>
      <c r="AB15" s="5">
        <v>102.6</v>
      </c>
      <c r="AC15" s="5">
        <v>104.9</v>
      </c>
      <c r="AD15" s="12">
        <v>106.6</v>
      </c>
      <c r="AE15" s="26">
        <f>COUNTIFS($A$2:$A$379,A15,$B$2:$B$379,B16,$C$2:$C$379,C15)</f>
        <v>1</v>
      </c>
    </row>
    <row r="16" spans="1:31">
      <c r="A16" s="11" t="s">
        <v>69</v>
      </c>
      <c r="B16" s="5">
        <v>2013</v>
      </c>
      <c r="C16" s="5" t="s">
        <v>73</v>
      </c>
      <c r="D16" s="5">
        <v>112.3</v>
      </c>
      <c r="E16" s="5">
        <v>111.3</v>
      </c>
      <c r="F16" s="5">
        <v>104.7</v>
      </c>
      <c r="G16" s="5">
        <v>106.8</v>
      </c>
      <c r="H16" s="5">
        <v>103.9</v>
      </c>
      <c r="I16" s="5">
        <v>109.3</v>
      </c>
      <c r="J16" s="5">
        <v>112.9</v>
      </c>
      <c r="K16" s="5">
        <v>105.8</v>
      </c>
      <c r="L16" s="5">
        <v>103.1</v>
      </c>
      <c r="M16" s="5">
        <v>104.3</v>
      </c>
      <c r="N16" s="5">
        <v>108.1</v>
      </c>
      <c r="O16" s="5">
        <v>110.5</v>
      </c>
      <c r="P16" s="5">
        <v>109.2</v>
      </c>
      <c r="Q16" s="5">
        <v>108.6</v>
      </c>
      <c r="R16" s="5">
        <v>108.7</v>
      </c>
      <c r="S16" s="5">
        <v>107.4</v>
      </c>
      <c r="T16" s="5">
        <v>108.5</v>
      </c>
      <c r="U16" s="5">
        <v>100.5</v>
      </c>
      <c r="V16" s="5">
        <v>107.4</v>
      </c>
      <c r="W16" s="5">
        <v>106.9</v>
      </c>
      <c r="X16" s="5">
        <v>105.9</v>
      </c>
      <c r="Y16" s="5">
        <v>104</v>
      </c>
      <c r="Z16" s="5">
        <v>104.8</v>
      </c>
      <c r="AA16" s="5">
        <v>105.6</v>
      </c>
      <c r="AB16" s="5">
        <v>102.3</v>
      </c>
      <c r="AC16" s="5">
        <v>104.8</v>
      </c>
      <c r="AD16" s="12">
        <v>106.9</v>
      </c>
      <c r="AE16" s="26">
        <f>COUNTIFS($A$2:$A$379,A16,$B$2:$B$379,B17,$C$2:$C$379,C16)</f>
        <v>1</v>
      </c>
    </row>
    <row r="17" spans="1:31">
      <c r="A17" s="11" t="s">
        <v>65</v>
      </c>
      <c r="B17" s="5">
        <v>2013</v>
      </c>
      <c r="C17" s="5" t="s">
        <v>74</v>
      </c>
      <c r="D17" s="5">
        <v>112.3</v>
      </c>
      <c r="E17" s="5">
        <v>112.1</v>
      </c>
      <c r="F17" s="5">
        <v>108.1</v>
      </c>
      <c r="G17" s="5">
        <v>108.3</v>
      </c>
      <c r="H17" s="5">
        <v>105.9</v>
      </c>
      <c r="I17" s="5">
        <v>109.2</v>
      </c>
      <c r="J17" s="5">
        <v>118</v>
      </c>
      <c r="K17" s="5">
        <v>106.8</v>
      </c>
      <c r="L17" s="5">
        <v>104.1</v>
      </c>
      <c r="M17" s="5">
        <v>105.4</v>
      </c>
      <c r="N17" s="5">
        <v>108.2</v>
      </c>
      <c r="O17" s="5">
        <v>111</v>
      </c>
      <c r="P17" s="5">
        <v>110.6</v>
      </c>
      <c r="Q17" s="5">
        <v>109</v>
      </c>
      <c r="R17" s="5">
        <v>109.7</v>
      </c>
      <c r="S17" s="5">
        <v>108.8</v>
      </c>
      <c r="T17" s="5">
        <v>109.5</v>
      </c>
      <c r="U17" s="5" t="s">
        <v>67</v>
      </c>
      <c r="V17" s="5">
        <v>108.5</v>
      </c>
      <c r="W17" s="5">
        <v>107.5</v>
      </c>
      <c r="X17" s="5">
        <v>106.3</v>
      </c>
      <c r="Y17" s="5">
        <v>105</v>
      </c>
      <c r="Z17" s="5">
        <v>105.6</v>
      </c>
      <c r="AA17" s="5">
        <v>106.5</v>
      </c>
      <c r="AB17" s="5">
        <v>102.5</v>
      </c>
      <c r="AC17" s="5">
        <v>105.5</v>
      </c>
      <c r="AD17" s="12">
        <v>108.9</v>
      </c>
      <c r="AE17" s="26">
        <f>COUNTIFS($A$2:$A$379,A17,$B$2:$B$379,B18,$C$2:$C$379,C17)</f>
        <v>1</v>
      </c>
    </row>
    <row r="18" spans="1:31">
      <c r="A18" s="11" t="s">
        <v>68</v>
      </c>
      <c r="B18" s="5">
        <v>2013</v>
      </c>
      <c r="C18" s="5" t="s">
        <v>74</v>
      </c>
      <c r="D18" s="5">
        <v>117</v>
      </c>
      <c r="E18" s="5">
        <v>120.1</v>
      </c>
      <c r="F18" s="5">
        <v>112.5</v>
      </c>
      <c r="G18" s="5">
        <v>107.3</v>
      </c>
      <c r="H18" s="5">
        <v>101.3</v>
      </c>
      <c r="I18" s="5">
        <v>112.4</v>
      </c>
      <c r="J18" s="5">
        <v>143.6</v>
      </c>
      <c r="K18" s="5">
        <v>105.4</v>
      </c>
      <c r="L18" s="5">
        <v>101.4</v>
      </c>
      <c r="M18" s="5">
        <v>106.4</v>
      </c>
      <c r="N18" s="5">
        <v>110</v>
      </c>
      <c r="O18" s="5">
        <v>112.2</v>
      </c>
      <c r="P18" s="5">
        <v>115</v>
      </c>
      <c r="Q18" s="5">
        <v>110.9</v>
      </c>
      <c r="R18" s="5">
        <v>109.2</v>
      </c>
      <c r="S18" s="5">
        <v>107.2</v>
      </c>
      <c r="T18" s="5">
        <v>108.9</v>
      </c>
      <c r="U18" s="5">
        <v>106.6</v>
      </c>
      <c r="V18" s="5">
        <v>108</v>
      </c>
      <c r="W18" s="5">
        <v>107.7</v>
      </c>
      <c r="X18" s="5">
        <v>106.5</v>
      </c>
      <c r="Y18" s="5">
        <v>105.2</v>
      </c>
      <c r="Z18" s="5">
        <v>105.2</v>
      </c>
      <c r="AA18" s="5">
        <v>108.1</v>
      </c>
      <c r="AB18" s="5">
        <v>103.3</v>
      </c>
      <c r="AC18" s="5">
        <v>106.1</v>
      </c>
      <c r="AD18" s="12">
        <v>109.7</v>
      </c>
      <c r="AE18" s="26">
        <f>COUNTIFS($A$2:$A$379,A18,$B$2:$B$379,B19,$C$2:$C$379,C18)</f>
        <v>1</v>
      </c>
    </row>
    <row r="19" spans="1:31">
      <c r="A19" s="11" t="s">
        <v>69</v>
      </c>
      <c r="B19" s="5">
        <v>2013</v>
      </c>
      <c r="C19" s="5" t="s">
        <v>74</v>
      </c>
      <c r="D19" s="5">
        <v>113.8</v>
      </c>
      <c r="E19" s="5">
        <v>114.9</v>
      </c>
      <c r="F19" s="5">
        <v>109.8</v>
      </c>
      <c r="G19" s="5">
        <v>107.9</v>
      </c>
      <c r="H19" s="5">
        <v>104.2</v>
      </c>
      <c r="I19" s="5">
        <v>110.7</v>
      </c>
      <c r="J19" s="5">
        <v>126.7</v>
      </c>
      <c r="K19" s="5">
        <v>106.3</v>
      </c>
      <c r="L19" s="5">
        <v>103.2</v>
      </c>
      <c r="M19" s="5">
        <v>105.7</v>
      </c>
      <c r="N19" s="5">
        <v>109</v>
      </c>
      <c r="O19" s="5">
        <v>111.6</v>
      </c>
      <c r="P19" s="5">
        <v>112.2</v>
      </c>
      <c r="Q19" s="5">
        <v>109.5</v>
      </c>
      <c r="R19" s="5">
        <v>109.5</v>
      </c>
      <c r="S19" s="5">
        <v>108.1</v>
      </c>
      <c r="T19" s="5">
        <v>109.3</v>
      </c>
      <c r="U19" s="5">
        <v>106.6</v>
      </c>
      <c r="V19" s="5">
        <v>108.3</v>
      </c>
      <c r="W19" s="5">
        <v>107.6</v>
      </c>
      <c r="X19" s="5">
        <v>106.4</v>
      </c>
      <c r="Y19" s="5">
        <v>105.1</v>
      </c>
      <c r="Z19" s="5">
        <v>105.4</v>
      </c>
      <c r="AA19" s="5">
        <v>107.4</v>
      </c>
      <c r="AB19" s="5">
        <v>102.8</v>
      </c>
      <c r="AC19" s="5">
        <v>105.8</v>
      </c>
      <c r="AD19" s="12">
        <v>109.3</v>
      </c>
      <c r="AE19" s="26">
        <f>COUNTIFS($A$2:$A$379,A19,$B$2:$B$379,B20,$C$2:$C$379,C19)</f>
        <v>1</v>
      </c>
    </row>
    <row r="20" spans="1:31">
      <c r="A20" s="11" t="s">
        <v>65</v>
      </c>
      <c r="B20" s="5">
        <v>2013</v>
      </c>
      <c r="C20" s="5" t="s">
        <v>75</v>
      </c>
      <c r="D20" s="5">
        <v>113.4</v>
      </c>
      <c r="E20" s="5">
        <v>114.9</v>
      </c>
      <c r="F20" s="5">
        <v>110.5</v>
      </c>
      <c r="G20" s="5">
        <v>109.3</v>
      </c>
      <c r="H20" s="5">
        <v>106.2</v>
      </c>
      <c r="I20" s="5">
        <v>110.3</v>
      </c>
      <c r="J20" s="5">
        <v>129.19999999999999</v>
      </c>
      <c r="K20" s="5">
        <v>107.1</v>
      </c>
      <c r="L20" s="5">
        <v>104.3</v>
      </c>
      <c r="M20" s="5">
        <v>106.4</v>
      </c>
      <c r="N20" s="5">
        <v>109.1</v>
      </c>
      <c r="O20" s="5">
        <v>112.1</v>
      </c>
      <c r="P20" s="5">
        <v>113.1</v>
      </c>
      <c r="Q20" s="5">
        <v>109.8</v>
      </c>
      <c r="R20" s="5">
        <v>110.5</v>
      </c>
      <c r="S20" s="5">
        <v>109.5</v>
      </c>
      <c r="T20" s="5">
        <v>110.3</v>
      </c>
      <c r="U20" s="5" t="s">
        <v>67</v>
      </c>
      <c r="V20" s="5">
        <v>109.5</v>
      </c>
      <c r="W20" s="5">
        <v>108.3</v>
      </c>
      <c r="X20" s="5">
        <v>106.9</v>
      </c>
      <c r="Y20" s="5">
        <v>106.8</v>
      </c>
      <c r="Z20" s="5">
        <v>106.4</v>
      </c>
      <c r="AA20" s="5">
        <v>107.8</v>
      </c>
      <c r="AB20" s="5">
        <v>102.5</v>
      </c>
      <c r="AC20" s="5">
        <v>106.5</v>
      </c>
      <c r="AD20" s="12">
        <v>110.7</v>
      </c>
      <c r="AE20" s="26">
        <f>COUNTIFS($A$2:$A$379,A20,$B$2:$B$379,B21,$C$2:$C$379,C20)</f>
        <v>1</v>
      </c>
    </row>
    <row r="21" spans="1:31">
      <c r="A21" s="11" t="s">
        <v>68</v>
      </c>
      <c r="B21" s="5">
        <v>2013</v>
      </c>
      <c r="C21" s="5" t="s">
        <v>75</v>
      </c>
      <c r="D21" s="5">
        <v>117.8</v>
      </c>
      <c r="E21" s="5">
        <v>119.2</v>
      </c>
      <c r="F21" s="5">
        <v>114</v>
      </c>
      <c r="G21" s="5">
        <v>108.3</v>
      </c>
      <c r="H21" s="5">
        <v>101.1</v>
      </c>
      <c r="I21" s="5">
        <v>113.2</v>
      </c>
      <c r="J21" s="5">
        <v>160.9</v>
      </c>
      <c r="K21" s="5">
        <v>105.1</v>
      </c>
      <c r="L21" s="5">
        <v>101.3</v>
      </c>
      <c r="M21" s="5">
        <v>107.5</v>
      </c>
      <c r="N21" s="5">
        <v>110.4</v>
      </c>
      <c r="O21" s="5">
        <v>113.1</v>
      </c>
      <c r="P21" s="5">
        <v>117.5</v>
      </c>
      <c r="Q21" s="5">
        <v>111.7</v>
      </c>
      <c r="R21" s="5">
        <v>109.8</v>
      </c>
      <c r="S21" s="5">
        <v>107.8</v>
      </c>
      <c r="T21" s="5">
        <v>109.5</v>
      </c>
      <c r="U21" s="5">
        <v>107.7</v>
      </c>
      <c r="V21" s="5">
        <v>108.6</v>
      </c>
      <c r="W21" s="5">
        <v>108.1</v>
      </c>
      <c r="X21" s="5">
        <v>107.1</v>
      </c>
      <c r="Y21" s="5">
        <v>107.3</v>
      </c>
      <c r="Z21" s="5">
        <v>105.9</v>
      </c>
      <c r="AA21" s="5">
        <v>110.1</v>
      </c>
      <c r="AB21" s="5">
        <v>103.2</v>
      </c>
      <c r="AC21" s="5">
        <v>107.3</v>
      </c>
      <c r="AD21" s="12">
        <v>111.4</v>
      </c>
      <c r="AE21" s="26">
        <f>COUNTIFS($A$2:$A$379,A21,$B$2:$B$379,B22,$C$2:$C$379,C21)</f>
        <v>1</v>
      </c>
    </row>
    <row r="22" spans="1:31">
      <c r="A22" s="11" t="s">
        <v>69</v>
      </c>
      <c r="B22" s="5">
        <v>2013</v>
      </c>
      <c r="C22" s="5" t="s">
        <v>75</v>
      </c>
      <c r="D22" s="5">
        <v>114.8</v>
      </c>
      <c r="E22" s="5">
        <v>116.4</v>
      </c>
      <c r="F22" s="5">
        <v>111.9</v>
      </c>
      <c r="G22" s="5">
        <v>108.9</v>
      </c>
      <c r="H22" s="5">
        <v>104.3</v>
      </c>
      <c r="I22" s="5">
        <v>111.7</v>
      </c>
      <c r="J22" s="5">
        <v>140</v>
      </c>
      <c r="K22" s="5">
        <v>106.4</v>
      </c>
      <c r="L22" s="5">
        <v>103.3</v>
      </c>
      <c r="M22" s="5">
        <v>106.8</v>
      </c>
      <c r="N22" s="5">
        <v>109.6</v>
      </c>
      <c r="O22" s="5">
        <v>112.6</v>
      </c>
      <c r="P22" s="5">
        <v>114.7</v>
      </c>
      <c r="Q22" s="5">
        <v>110.3</v>
      </c>
      <c r="R22" s="5">
        <v>110.2</v>
      </c>
      <c r="S22" s="5">
        <v>108.8</v>
      </c>
      <c r="T22" s="5">
        <v>110</v>
      </c>
      <c r="U22" s="5">
        <v>107.7</v>
      </c>
      <c r="V22" s="5">
        <v>109.2</v>
      </c>
      <c r="W22" s="5">
        <v>108.2</v>
      </c>
      <c r="X22" s="5">
        <v>107</v>
      </c>
      <c r="Y22" s="5">
        <v>107.1</v>
      </c>
      <c r="Z22" s="5">
        <v>106.1</v>
      </c>
      <c r="AA22" s="5">
        <v>109.1</v>
      </c>
      <c r="AB22" s="5">
        <v>102.8</v>
      </c>
      <c r="AC22" s="5">
        <v>106.9</v>
      </c>
      <c r="AD22" s="12">
        <v>111</v>
      </c>
      <c r="AE22" s="26">
        <f>COUNTIFS($A$2:$A$379,A22,$B$2:$B$379,B23,$C$2:$C$379,C22)</f>
        <v>1</v>
      </c>
    </row>
    <row r="23" spans="1:31">
      <c r="A23" s="11" t="s">
        <v>65</v>
      </c>
      <c r="B23" s="5">
        <v>2013</v>
      </c>
      <c r="C23" s="5" t="s">
        <v>76</v>
      </c>
      <c r="D23" s="5">
        <v>114.3</v>
      </c>
      <c r="E23" s="5">
        <v>115.4</v>
      </c>
      <c r="F23" s="5">
        <v>111.1</v>
      </c>
      <c r="G23" s="5">
        <v>110</v>
      </c>
      <c r="H23" s="5">
        <v>106.4</v>
      </c>
      <c r="I23" s="5">
        <v>110.8</v>
      </c>
      <c r="J23" s="5">
        <v>138.9</v>
      </c>
      <c r="K23" s="5">
        <v>107.4</v>
      </c>
      <c r="L23" s="5">
        <v>104.1</v>
      </c>
      <c r="M23" s="5">
        <v>106.9</v>
      </c>
      <c r="N23" s="5">
        <v>109.7</v>
      </c>
      <c r="O23" s="5">
        <v>112.6</v>
      </c>
      <c r="P23" s="5">
        <v>114.9</v>
      </c>
      <c r="Q23" s="5">
        <v>110.7</v>
      </c>
      <c r="R23" s="5">
        <v>111.3</v>
      </c>
      <c r="S23" s="5">
        <v>110.2</v>
      </c>
      <c r="T23" s="5">
        <v>111.1</v>
      </c>
      <c r="U23" s="5" t="s">
        <v>67</v>
      </c>
      <c r="V23" s="5">
        <v>109.9</v>
      </c>
      <c r="W23" s="5">
        <v>108.7</v>
      </c>
      <c r="X23" s="5">
        <v>107.5</v>
      </c>
      <c r="Y23" s="5">
        <v>107.8</v>
      </c>
      <c r="Z23" s="5">
        <v>106.8</v>
      </c>
      <c r="AA23" s="5">
        <v>108.7</v>
      </c>
      <c r="AB23" s="5">
        <v>105</v>
      </c>
      <c r="AC23" s="5">
        <v>107.5</v>
      </c>
      <c r="AD23" s="12">
        <v>112.1</v>
      </c>
      <c r="AE23" s="26">
        <f>COUNTIFS($A$2:$A$379,A23,$B$2:$B$379,B24,$C$2:$C$379,C23)</f>
        <v>1</v>
      </c>
    </row>
    <row r="24" spans="1:31">
      <c r="A24" s="11" t="s">
        <v>68</v>
      </c>
      <c r="B24" s="5">
        <v>2013</v>
      </c>
      <c r="C24" s="5" t="s">
        <v>76</v>
      </c>
      <c r="D24" s="5">
        <v>118.3</v>
      </c>
      <c r="E24" s="5">
        <v>120.4</v>
      </c>
      <c r="F24" s="5">
        <v>112.7</v>
      </c>
      <c r="G24" s="5">
        <v>108.9</v>
      </c>
      <c r="H24" s="5">
        <v>101.1</v>
      </c>
      <c r="I24" s="5">
        <v>108.7</v>
      </c>
      <c r="J24" s="5">
        <v>177</v>
      </c>
      <c r="K24" s="5">
        <v>104.7</v>
      </c>
      <c r="L24" s="5">
        <v>101</v>
      </c>
      <c r="M24" s="5">
        <v>108.5</v>
      </c>
      <c r="N24" s="5">
        <v>110.9</v>
      </c>
      <c r="O24" s="5">
        <v>114.3</v>
      </c>
      <c r="P24" s="5">
        <v>119.6</v>
      </c>
      <c r="Q24" s="5">
        <v>112.4</v>
      </c>
      <c r="R24" s="5">
        <v>110.6</v>
      </c>
      <c r="S24" s="5">
        <v>108.3</v>
      </c>
      <c r="T24" s="5">
        <v>110.2</v>
      </c>
      <c r="U24" s="5">
        <v>108.9</v>
      </c>
      <c r="V24" s="5">
        <v>109.3</v>
      </c>
      <c r="W24" s="5">
        <v>108.7</v>
      </c>
      <c r="X24" s="5">
        <v>107.6</v>
      </c>
      <c r="Y24" s="5">
        <v>108.1</v>
      </c>
      <c r="Z24" s="5">
        <v>106.5</v>
      </c>
      <c r="AA24" s="5">
        <v>110.8</v>
      </c>
      <c r="AB24" s="5">
        <v>106</v>
      </c>
      <c r="AC24" s="5">
        <v>108.3</v>
      </c>
      <c r="AD24" s="12">
        <v>112.7</v>
      </c>
      <c r="AE24" s="26">
        <f>COUNTIFS($A$2:$A$379,A24,$B$2:$B$379,B25,$C$2:$C$379,C24)</f>
        <v>1</v>
      </c>
    </row>
    <row r="25" spans="1:31">
      <c r="A25" s="11" t="s">
        <v>69</v>
      </c>
      <c r="B25" s="5">
        <v>2013</v>
      </c>
      <c r="C25" s="5" t="s">
        <v>76</v>
      </c>
      <c r="D25" s="5">
        <v>115.6</v>
      </c>
      <c r="E25" s="5">
        <v>117.2</v>
      </c>
      <c r="F25" s="5">
        <v>111.7</v>
      </c>
      <c r="G25" s="5">
        <v>109.6</v>
      </c>
      <c r="H25" s="5">
        <v>104.5</v>
      </c>
      <c r="I25" s="5">
        <v>109.8</v>
      </c>
      <c r="J25" s="5">
        <v>151.80000000000001</v>
      </c>
      <c r="K25" s="5">
        <v>106.5</v>
      </c>
      <c r="L25" s="5">
        <v>103.1</v>
      </c>
      <c r="M25" s="5">
        <v>107.4</v>
      </c>
      <c r="N25" s="5">
        <v>110.2</v>
      </c>
      <c r="O25" s="5">
        <v>113.4</v>
      </c>
      <c r="P25" s="5">
        <v>116.6</v>
      </c>
      <c r="Q25" s="5">
        <v>111.2</v>
      </c>
      <c r="R25" s="5">
        <v>111</v>
      </c>
      <c r="S25" s="5">
        <v>109.4</v>
      </c>
      <c r="T25" s="5">
        <v>110.7</v>
      </c>
      <c r="U25" s="5">
        <v>108.9</v>
      </c>
      <c r="V25" s="5">
        <v>109.7</v>
      </c>
      <c r="W25" s="5">
        <v>108.7</v>
      </c>
      <c r="X25" s="5">
        <v>107.5</v>
      </c>
      <c r="Y25" s="5">
        <v>108</v>
      </c>
      <c r="Z25" s="5">
        <v>106.6</v>
      </c>
      <c r="AA25" s="5">
        <v>109.9</v>
      </c>
      <c r="AB25" s="5">
        <v>105.4</v>
      </c>
      <c r="AC25" s="5">
        <v>107.9</v>
      </c>
      <c r="AD25" s="12">
        <v>112.4</v>
      </c>
      <c r="AE25" s="26">
        <f>COUNTIFS($A$2:$A$379,A25,$B$2:$B$379,B26,$C$2:$C$379,C25)</f>
        <v>1</v>
      </c>
    </row>
    <row r="26" spans="1:31">
      <c r="A26" s="11" t="s">
        <v>65</v>
      </c>
      <c r="B26" s="5">
        <v>2013</v>
      </c>
      <c r="C26" s="5" t="s">
        <v>77</v>
      </c>
      <c r="D26" s="5">
        <v>115.4</v>
      </c>
      <c r="E26" s="5">
        <v>115.7</v>
      </c>
      <c r="F26" s="5">
        <v>111.7</v>
      </c>
      <c r="G26" s="5">
        <v>111</v>
      </c>
      <c r="H26" s="5">
        <v>107.4</v>
      </c>
      <c r="I26" s="5">
        <v>110.9</v>
      </c>
      <c r="J26" s="5">
        <v>154</v>
      </c>
      <c r="K26" s="5">
        <v>108.1</v>
      </c>
      <c r="L26" s="5">
        <v>104.2</v>
      </c>
      <c r="M26" s="5">
        <v>107.9</v>
      </c>
      <c r="N26" s="5">
        <v>110.4</v>
      </c>
      <c r="O26" s="5">
        <v>114</v>
      </c>
      <c r="P26" s="5">
        <v>117.8</v>
      </c>
      <c r="Q26" s="5">
        <v>111.7</v>
      </c>
      <c r="R26" s="5">
        <v>112.7</v>
      </c>
      <c r="S26" s="5">
        <v>111.4</v>
      </c>
      <c r="T26" s="5">
        <v>112.5</v>
      </c>
      <c r="U26" s="5" t="s">
        <v>67</v>
      </c>
      <c r="V26" s="5">
        <v>111.1</v>
      </c>
      <c r="W26" s="5">
        <v>109.6</v>
      </c>
      <c r="X26" s="5">
        <v>108.3</v>
      </c>
      <c r="Y26" s="5">
        <v>109.3</v>
      </c>
      <c r="Z26" s="5">
        <v>107.7</v>
      </c>
      <c r="AA26" s="5">
        <v>109.8</v>
      </c>
      <c r="AB26" s="5">
        <v>106.7</v>
      </c>
      <c r="AC26" s="5">
        <v>108.7</v>
      </c>
      <c r="AD26" s="12">
        <v>114.2</v>
      </c>
      <c r="AE26" s="26">
        <f>COUNTIFS($A$2:$A$379,A26,$B$2:$B$379,B27,$C$2:$C$379,C26)</f>
        <v>1</v>
      </c>
    </row>
    <row r="27" spans="1:31">
      <c r="A27" s="11" t="s">
        <v>68</v>
      </c>
      <c r="B27" s="5">
        <v>2013</v>
      </c>
      <c r="C27" s="5" t="s">
        <v>77</v>
      </c>
      <c r="D27" s="5">
        <v>118.6</v>
      </c>
      <c r="E27" s="5">
        <v>119.1</v>
      </c>
      <c r="F27" s="5">
        <v>113.2</v>
      </c>
      <c r="G27" s="5">
        <v>109.6</v>
      </c>
      <c r="H27" s="5">
        <v>101.7</v>
      </c>
      <c r="I27" s="5">
        <v>103.2</v>
      </c>
      <c r="J27" s="5">
        <v>174.3</v>
      </c>
      <c r="K27" s="5">
        <v>105.1</v>
      </c>
      <c r="L27" s="5">
        <v>100.8</v>
      </c>
      <c r="M27" s="5">
        <v>109.1</v>
      </c>
      <c r="N27" s="5">
        <v>111.1</v>
      </c>
      <c r="O27" s="5">
        <v>115.4</v>
      </c>
      <c r="P27" s="5">
        <v>119.2</v>
      </c>
      <c r="Q27" s="5">
        <v>112.9</v>
      </c>
      <c r="R27" s="5">
        <v>111.4</v>
      </c>
      <c r="S27" s="5">
        <v>109</v>
      </c>
      <c r="T27" s="5">
        <v>111.1</v>
      </c>
      <c r="U27" s="5">
        <v>109.7</v>
      </c>
      <c r="V27" s="5">
        <v>109.5</v>
      </c>
      <c r="W27" s="5">
        <v>109.6</v>
      </c>
      <c r="X27" s="5">
        <v>107.9</v>
      </c>
      <c r="Y27" s="5">
        <v>110.4</v>
      </c>
      <c r="Z27" s="5">
        <v>107.4</v>
      </c>
      <c r="AA27" s="5">
        <v>111.2</v>
      </c>
      <c r="AB27" s="5">
        <v>106.9</v>
      </c>
      <c r="AC27" s="5">
        <v>109.4</v>
      </c>
      <c r="AD27" s="12">
        <v>113.2</v>
      </c>
      <c r="AE27" s="26">
        <f>COUNTIFS($A$2:$A$379,A27,$B$2:$B$379,B28,$C$2:$C$379,C27)</f>
        <v>1</v>
      </c>
    </row>
    <row r="28" spans="1:31">
      <c r="A28" s="11" t="s">
        <v>69</v>
      </c>
      <c r="B28" s="5">
        <v>2013</v>
      </c>
      <c r="C28" s="5" t="s">
        <v>77</v>
      </c>
      <c r="D28" s="5">
        <v>116.4</v>
      </c>
      <c r="E28" s="5">
        <v>116.9</v>
      </c>
      <c r="F28" s="5">
        <v>112.3</v>
      </c>
      <c r="G28" s="5">
        <v>110.5</v>
      </c>
      <c r="H28" s="5">
        <v>105.3</v>
      </c>
      <c r="I28" s="5">
        <v>107.3</v>
      </c>
      <c r="J28" s="5">
        <v>160.9</v>
      </c>
      <c r="K28" s="5">
        <v>107.1</v>
      </c>
      <c r="L28" s="5">
        <v>103.1</v>
      </c>
      <c r="M28" s="5">
        <v>108.3</v>
      </c>
      <c r="N28" s="5">
        <v>110.7</v>
      </c>
      <c r="O28" s="5">
        <v>114.6</v>
      </c>
      <c r="P28" s="5">
        <v>118.3</v>
      </c>
      <c r="Q28" s="5">
        <v>112</v>
      </c>
      <c r="R28" s="5">
        <v>112.2</v>
      </c>
      <c r="S28" s="5">
        <v>110.4</v>
      </c>
      <c r="T28" s="5">
        <v>111.9</v>
      </c>
      <c r="U28" s="5">
        <v>109.7</v>
      </c>
      <c r="V28" s="5">
        <v>110.5</v>
      </c>
      <c r="W28" s="5">
        <v>109.6</v>
      </c>
      <c r="X28" s="5">
        <v>108.1</v>
      </c>
      <c r="Y28" s="5">
        <v>109.9</v>
      </c>
      <c r="Z28" s="5">
        <v>107.5</v>
      </c>
      <c r="AA28" s="5">
        <v>110.6</v>
      </c>
      <c r="AB28" s="5">
        <v>106.8</v>
      </c>
      <c r="AC28" s="5">
        <v>109</v>
      </c>
      <c r="AD28" s="12">
        <v>113.7</v>
      </c>
      <c r="AE28" s="26">
        <f>COUNTIFS($A$2:$A$379,A28,$B$2:$B$379,B29,$C$2:$C$379,C28)</f>
        <v>1</v>
      </c>
    </row>
    <row r="29" spans="1:31">
      <c r="A29" s="11" t="s">
        <v>65</v>
      </c>
      <c r="B29" s="5">
        <v>2013</v>
      </c>
      <c r="C29" s="5" t="s">
        <v>78</v>
      </c>
      <c r="D29" s="5">
        <v>116.3</v>
      </c>
      <c r="E29" s="5">
        <v>115.4</v>
      </c>
      <c r="F29" s="5">
        <v>112.6</v>
      </c>
      <c r="G29" s="5">
        <v>111.7</v>
      </c>
      <c r="H29" s="5">
        <v>107.7</v>
      </c>
      <c r="I29" s="5">
        <v>113.2</v>
      </c>
      <c r="J29" s="5">
        <v>164.9</v>
      </c>
      <c r="K29" s="5">
        <v>108.3</v>
      </c>
      <c r="L29" s="5">
        <v>103.9</v>
      </c>
      <c r="M29" s="5">
        <v>108.2</v>
      </c>
      <c r="N29" s="5">
        <v>111.1</v>
      </c>
      <c r="O29" s="5">
        <v>114.9</v>
      </c>
      <c r="P29" s="5">
        <v>119.8</v>
      </c>
      <c r="Q29" s="5">
        <v>112.2</v>
      </c>
      <c r="R29" s="5">
        <v>113.6</v>
      </c>
      <c r="S29" s="5">
        <v>112.3</v>
      </c>
      <c r="T29" s="5">
        <v>113.4</v>
      </c>
      <c r="U29" s="5" t="s">
        <v>67</v>
      </c>
      <c r="V29" s="5">
        <v>111.6</v>
      </c>
      <c r="W29" s="5">
        <v>110.4</v>
      </c>
      <c r="X29" s="5">
        <v>108.9</v>
      </c>
      <c r="Y29" s="5">
        <v>109.3</v>
      </c>
      <c r="Z29" s="5">
        <v>108.3</v>
      </c>
      <c r="AA29" s="5">
        <v>110.2</v>
      </c>
      <c r="AB29" s="5">
        <v>107.5</v>
      </c>
      <c r="AC29" s="5">
        <v>109.1</v>
      </c>
      <c r="AD29" s="12">
        <v>115.5</v>
      </c>
      <c r="AE29" s="26">
        <f>COUNTIFS($A$2:$A$379,A29,$B$2:$B$379,B30,$C$2:$C$379,C29)</f>
        <v>1</v>
      </c>
    </row>
    <row r="30" spans="1:31">
      <c r="A30" s="11" t="s">
        <v>68</v>
      </c>
      <c r="B30" s="5">
        <v>2013</v>
      </c>
      <c r="C30" s="5" t="s">
        <v>78</v>
      </c>
      <c r="D30" s="5">
        <v>118.9</v>
      </c>
      <c r="E30" s="5">
        <v>118.1</v>
      </c>
      <c r="F30" s="5">
        <v>114.5</v>
      </c>
      <c r="G30" s="5">
        <v>110.4</v>
      </c>
      <c r="H30" s="5">
        <v>102.3</v>
      </c>
      <c r="I30" s="5">
        <v>106.2</v>
      </c>
      <c r="J30" s="5">
        <v>183.5</v>
      </c>
      <c r="K30" s="5">
        <v>105.3</v>
      </c>
      <c r="L30" s="5">
        <v>100.2</v>
      </c>
      <c r="M30" s="5">
        <v>109.6</v>
      </c>
      <c r="N30" s="5">
        <v>111.4</v>
      </c>
      <c r="O30" s="5">
        <v>116</v>
      </c>
      <c r="P30" s="5">
        <v>120.8</v>
      </c>
      <c r="Q30" s="5">
        <v>113.5</v>
      </c>
      <c r="R30" s="5">
        <v>112.5</v>
      </c>
      <c r="S30" s="5">
        <v>109.7</v>
      </c>
      <c r="T30" s="5">
        <v>112</v>
      </c>
      <c r="U30" s="5">
        <v>110.5</v>
      </c>
      <c r="V30" s="5">
        <v>109.7</v>
      </c>
      <c r="W30" s="5">
        <v>110.2</v>
      </c>
      <c r="X30" s="5">
        <v>108.2</v>
      </c>
      <c r="Y30" s="5">
        <v>109.7</v>
      </c>
      <c r="Z30" s="5">
        <v>108</v>
      </c>
      <c r="AA30" s="5">
        <v>111.3</v>
      </c>
      <c r="AB30" s="5">
        <v>107.3</v>
      </c>
      <c r="AC30" s="5">
        <v>109.4</v>
      </c>
      <c r="AD30" s="12">
        <v>114</v>
      </c>
      <c r="AE30" s="26">
        <f>COUNTIFS($A$2:$A$379,A30,$B$2:$B$379,B31,$C$2:$C$379,C30)</f>
        <v>1</v>
      </c>
    </row>
    <row r="31" spans="1:31">
      <c r="A31" s="11" t="s">
        <v>69</v>
      </c>
      <c r="B31" s="5">
        <v>2013</v>
      </c>
      <c r="C31" s="5" t="s">
        <v>78</v>
      </c>
      <c r="D31" s="5">
        <v>117.1</v>
      </c>
      <c r="E31" s="5">
        <v>116.3</v>
      </c>
      <c r="F31" s="5">
        <v>113.3</v>
      </c>
      <c r="G31" s="5">
        <v>111.2</v>
      </c>
      <c r="H31" s="5">
        <v>105.7</v>
      </c>
      <c r="I31" s="5">
        <v>109.9</v>
      </c>
      <c r="J31" s="5">
        <v>171.2</v>
      </c>
      <c r="K31" s="5">
        <v>107.3</v>
      </c>
      <c r="L31" s="5">
        <v>102.7</v>
      </c>
      <c r="M31" s="5">
        <v>108.7</v>
      </c>
      <c r="N31" s="5">
        <v>111.2</v>
      </c>
      <c r="O31" s="5">
        <v>115.4</v>
      </c>
      <c r="P31" s="5">
        <v>120.2</v>
      </c>
      <c r="Q31" s="5">
        <v>112.5</v>
      </c>
      <c r="R31" s="5">
        <v>113.2</v>
      </c>
      <c r="S31" s="5">
        <v>111.2</v>
      </c>
      <c r="T31" s="5">
        <v>112.8</v>
      </c>
      <c r="U31" s="5">
        <v>110.5</v>
      </c>
      <c r="V31" s="5">
        <v>110.9</v>
      </c>
      <c r="W31" s="5">
        <v>110.3</v>
      </c>
      <c r="X31" s="5">
        <v>108.6</v>
      </c>
      <c r="Y31" s="5">
        <v>109.5</v>
      </c>
      <c r="Z31" s="5">
        <v>108.1</v>
      </c>
      <c r="AA31" s="5">
        <v>110.8</v>
      </c>
      <c r="AB31" s="5">
        <v>107.4</v>
      </c>
      <c r="AC31" s="5">
        <v>109.2</v>
      </c>
      <c r="AD31" s="12">
        <v>114.8</v>
      </c>
      <c r="AE31" s="26">
        <f>COUNTIFS($A$2:$A$379,A31,$B$2:$B$379,B32,$C$2:$C$379,C31)</f>
        <v>1</v>
      </c>
    </row>
    <row r="32" spans="1:31">
      <c r="A32" s="11" t="s">
        <v>65</v>
      </c>
      <c r="B32" s="5">
        <v>2013</v>
      </c>
      <c r="C32" s="5" t="s">
        <v>79</v>
      </c>
      <c r="D32" s="5">
        <v>117.3</v>
      </c>
      <c r="E32" s="5">
        <v>114.9</v>
      </c>
      <c r="F32" s="5">
        <v>116.2</v>
      </c>
      <c r="G32" s="5">
        <v>112.8</v>
      </c>
      <c r="H32" s="5">
        <v>108.9</v>
      </c>
      <c r="I32" s="5">
        <v>116.6</v>
      </c>
      <c r="J32" s="5">
        <v>178.1</v>
      </c>
      <c r="K32" s="5">
        <v>109.1</v>
      </c>
      <c r="L32" s="5">
        <v>103.6</v>
      </c>
      <c r="M32" s="5">
        <v>109</v>
      </c>
      <c r="N32" s="5">
        <v>111.8</v>
      </c>
      <c r="O32" s="5">
        <v>116</v>
      </c>
      <c r="P32" s="5">
        <v>122.5</v>
      </c>
      <c r="Q32" s="5">
        <v>112.8</v>
      </c>
      <c r="R32" s="5">
        <v>114.6</v>
      </c>
      <c r="S32" s="5">
        <v>113.1</v>
      </c>
      <c r="T32" s="5">
        <v>114.4</v>
      </c>
      <c r="U32" s="5" t="s">
        <v>67</v>
      </c>
      <c r="V32" s="5">
        <v>112.6</v>
      </c>
      <c r="W32" s="5">
        <v>111.3</v>
      </c>
      <c r="X32" s="5">
        <v>109.7</v>
      </c>
      <c r="Y32" s="5">
        <v>109.6</v>
      </c>
      <c r="Z32" s="5">
        <v>108.7</v>
      </c>
      <c r="AA32" s="5">
        <v>111</v>
      </c>
      <c r="AB32" s="5">
        <v>108.2</v>
      </c>
      <c r="AC32" s="5">
        <v>109.8</v>
      </c>
      <c r="AD32" s="12">
        <v>117.4</v>
      </c>
      <c r="AE32" s="26">
        <f>COUNTIFS($A$2:$A$379,A32,$B$2:$B$379,B33,$C$2:$C$379,C32)</f>
        <v>1</v>
      </c>
    </row>
    <row r="33" spans="1:31">
      <c r="A33" s="11" t="s">
        <v>68</v>
      </c>
      <c r="B33" s="5">
        <v>2013</v>
      </c>
      <c r="C33" s="5" t="s">
        <v>79</v>
      </c>
      <c r="D33" s="5">
        <v>119.8</v>
      </c>
      <c r="E33" s="5">
        <v>116.3</v>
      </c>
      <c r="F33" s="5">
        <v>122.6</v>
      </c>
      <c r="G33" s="5">
        <v>112</v>
      </c>
      <c r="H33" s="5">
        <v>103.2</v>
      </c>
      <c r="I33" s="5">
        <v>110</v>
      </c>
      <c r="J33" s="5">
        <v>192.8</v>
      </c>
      <c r="K33" s="5">
        <v>106.3</v>
      </c>
      <c r="L33" s="5">
        <v>99.5</v>
      </c>
      <c r="M33" s="5">
        <v>110.3</v>
      </c>
      <c r="N33" s="5">
        <v>111.8</v>
      </c>
      <c r="O33" s="5">
        <v>117.1</v>
      </c>
      <c r="P33" s="5">
        <v>122.9</v>
      </c>
      <c r="Q33" s="5">
        <v>114.1</v>
      </c>
      <c r="R33" s="5">
        <v>113.5</v>
      </c>
      <c r="S33" s="5">
        <v>110.3</v>
      </c>
      <c r="T33" s="5">
        <v>113</v>
      </c>
      <c r="U33" s="5">
        <v>111.1</v>
      </c>
      <c r="V33" s="5">
        <v>110</v>
      </c>
      <c r="W33" s="5">
        <v>110.9</v>
      </c>
      <c r="X33" s="5">
        <v>108.6</v>
      </c>
      <c r="Y33" s="5">
        <v>109.5</v>
      </c>
      <c r="Z33" s="5">
        <v>108.5</v>
      </c>
      <c r="AA33" s="5">
        <v>111.3</v>
      </c>
      <c r="AB33" s="5">
        <v>107.9</v>
      </c>
      <c r="AC33" s="5">
        <v>109.6</v>
      </c>
      <c r="AD33" s="12">
        <v>115</v>
      </c>
      <c r="AE33" s="26">
        <f>COUNTIFS($A$2:$A$379,A33,$B$2:$B$379,B34,$C$2:$C$379,C33)</f>
        <v>1</v>
      </c>
    </row>
    <row r="34" spans="1:31">
      <c r="A34" s="11" t="s">
        <v>69</v>
      </c>
      <c r="B34" s="5">
        <v>2013</v>
      </c>
      <c r="C34" s="5" t="s">
        <v>79</v>
      </c>
      <c r="D34" s="5">
        <v>118.1</v>
      </c>
      <c r="E34" s="5">
        <v>115.4</v>
      </c>
      <c r="F34" s="5">
        <v>118.7</v>
      </c>
      <c r="G34" s="5">
        <v>112.5</v>
      </c>
      <c r="H34" s="5">
        <v>106.8</v>
      </c>
      <c r="I34" s="5">
        <v>113.5</v>
      </c>
      <c r="J34" s="5">
        <v>183.1</v>
      </c>
      <c r="K34" s="5">
        <v>108.2</v>
      </c>
      <c r="L34" s="5">
        <v>102.2</v>
      </c>
      <c r="M34" s="5">
        <v>109.4</v>
      </c>
      <c r="N34" s="5">
        <v>111.8</v>
      </c>
      <c r="O34" s="5">
        <v>116.5</v>
      </c>
      <c r="P34" s="5">
        <v>122.6</v>
      </c>
      <c r="Q34" s="5">
        <v>113.1</v>
      </c>
      <c r="R34" s="5">
        <v>114.2</v>
      </c>
      <c r="S34" s="5">
        <v>111.9</v>
      </c>
      <c r="T34" s="5">
        <v>113.8</v>
      </c>
      <c r="U34" s="5">
        <v>111.1</v>
      </c>
      <c r="V34" s="5">
        <v>111.6</v>
      </c>
      <c r="W34" s="5">
        <v>111.1</v>
      </c>
      <c r="X34" s="5">
        <v>109.3</v>
      </c>
      <c r="Y34" s="5">
        <v>109.5</v>
      </c>
      <c r="Z34" s="5">
        <v>108.6</v>
      </c>
      <c r="AA34" s="5">
        <v>111.2</v>
      </c>
      <c r="AB34" s="5">
        <v>108.1</v>
      </c>
      <c r="AC34" s="5">
        <v>109.7</v>
      </c>
      <c r="AD34" s="12">
        <v>116.3</v>
      </c>
      <c r="AE34" s="26">
        <f>COUNTIFS($A$2:$A$379,A34,$B$2:$B$379,B35,$C$2:$C$379,C34)</f>
        <v>1</v>
      </c>
    </row>
    <row r="35" spans="1:31">
      <c r="A35" s="11" t="s">
        <v>65</v>
      </c>
      <c r="B35" s="5">
        <v>2013</v>
      </c>
      <c r="C35" s="5" t="s">
        <v>80</v>
      </c>
      <c r="D35" s="5">
        <v>118.4</v>
      </c>
      <c r="E35" s="5">
        <v>115.9</v>
      </c>
      <c r="F35" s="5">
        <v>120.4</v>
      </c>
      <c r="G35" s="5">
        <v>113.8</v>
      </c>
      <c r="H35" s="5">
        <v>109.5</v>
      </c>
      <c r="I35" s="5">
        <v>115.5</v>
      </c>
      <c r="J35" s="5">
        <v>145.69999999999999</v>
      </c>
      <c r="K35" s="5">
        <v>109.5</v>
      </c>
      <c r="L35" s="5">
        <v>102.9</v>
      </c>
      <c r="M35" s="5">
        <v>109.8</v>
      </c>
      <c r="N35" s="5">
        <v>112.1</v>
      </c>
      <c r="O35" s="5">
        <v>116.8</v>
      </c>
      <c r="P35" s="5">
        <v>118.7</v>
      </c>
      <c r="Q35" s="5">
        <v>113.6</v>
      </c>
      <c r="R35" s="5">
        <v>115.8</v>
      </c>
      <c r="S35" s="5">
        <v>114</v>
      </c>
      <c r="T35" s="5">
        <v>115.5</v>
      </c>
      <c r="U35" s="5" t="s">
        <v>67</v>
      </c>
      <c r="V35" s="5">
        <v>112.8</v>
      </c>
      <c r="W35" s="5">
        <v>112.1</v>
      </c>
      <c r="X35" s="5">
        <v>110.1</v>
      </c>
      <c r="Y35" s="5">
        <v>109.9</v>
      </c>
      <c r="Z35" s="5">
        <v>109.2</v>
      </c>
      <c r="AA35" s="5">
        <v>111.6</v>
      </c>
      <c r="AB35" s="5">
        <v>108.1</v>
      </c>
      <c r="AC35" s="5">
        <v>110.1</v>
      </c>
      <c r="AD35" s="12">
        <v>115.5</v>
      </c>
      <c r="AE35" s="26">
        <f>COUNTIFS($A$2:$A$379,A35,$B$2:$B$379,B36,$C$2:$C$379,C35)</f>
        <v>1</v>
      </c>
    </row>
    <row r="36" spans="1:31">
      <c r="A36" s="11" t="s">
        <v>68</v>
      </c>
      <c r="B36" s="5">
        <v>2013</v>
      </c>
      <c r="C36" s="5" t="s">
        <v>80</v>
      </c>
      <c r="D36" s="5">
        <v>120.5</v>
      </c>
      <c r="E36" s="5">
        <v>118.1</v>
      </c>
      <c r="F36" s="5">
        <v>128.5</v>
      </c>
      <c r="G36" s="5">
        <v>112.8</v>
      </c>
      <c r="H36" s="5">
        <v>103.4</v>
      </c>
      <c r="I36" s="5">
        <v>110.7</v>
      </c>
      <c r="J36" s="5">
        <v>144.80000000000001</v>
      </c>
      <c r="K36" s="5">
        <v>107.1</v>
      </c>
      <c r="L36" s="5">
        <v>98.6</v>
      </c>
      <c r="M36" s="5">
        <v>111.9</v>
      </c>
      <c r="N36" s="5">
        <v>112.1</v>
      </c>
      <c r="O36" s="5">
        <v>118.1</v>
      </c>
      <c r="P36" s="5">
        <v>117.8</v>
      </c>
      <c r="Q36" s="5">
        <v>115</v>
      </c>
      <c r="R36" s="5">
        <v>114.2</v>
      </c>
      <c r="S36" s="5">
        <v>110.9</v>
      </c>
      <c r="T36" s="5">
        <v>113.7</v>
      </c>
      <c r="U36" s="5">
        <v>110.7</v>
      </c>
      <c r="V36" s="5">
        <v>110.4</v>
      </c>
      <c r="W36" s="5">
        <v>111.3</v>
      </c>
      <c r="X36" s="5">
        <v>109</v>
      </c>
      <c r="Y36" s="5">
        <v>109.7</v>
      </c>
      <c r="Z36" s="5">
        <v>108.9</v>
      </c>
      <c r="AA36" s="5">
        <v>111.4</v>
      </c>
      <c r="AB36" s="5">
        <v>107.7</v>
      </c>
      <c r="AC36" s="5">
        <v>109.8</v>
      </c>
      <c r="AD36" s="12">
        <v>113.3</v>
      </c>
      <c r="AE36" s="26">
        <f>COUNTIFS($A$2:$A$379,A36,$B$2:$B$379,B37,$C$2:$C$379,C36)</f>
        <v>1</v>
      </c>
    </row>
    <row r="37" spans="1:31">
      <c r="A37" s="11" t="s">
        <v>69</v>
      </c>
      <c r="B37" s="5">
        <v>2013</v>
      </c>
      <c r="C37" s="5" t="s">
        <v>80</v>
      </c>
      <c r="D37" s="5">
        <v>119.1</v>
      </c>
      <c r="E37" s="5">
        <v>116.7</v>
      </c>
      <c r="F37" s="5">
        <v>123.5</v>
      </c>
      <c r="G37" s="5">
        <v>113.4</v>
      </c>
      <c r="H37" s="5">
        <v>107.3</v>
      </c>
      <c r="I37" s="5">
        <v>113.3</v>
      </c>
      <c r="J37" s="5">
        <v>145.4</v>
      </c>
      <c r="K37" s="5">
        <v>108.7</v>
      </c>
      <c r="L37" s="5">
        <v>101.5</v>
      </c>
      <c r="M37" s="5">
        <v>110.5</v>
      </c>
      <c r="N37" s="5">
        <v>112.1</v>
      </c>
      <c r="O37" s="5">
        <v>117.4</v>
      </c>
      <c r="P37" s="5">
        <v>118.4</v>
      </c>
      <c r="Q37" s="5">
        <v>114</v>
      </c>
      <c r="R37" s="5">
        <v>115.2</v>
      </c>
      <c r="S37" s="5">
        <v>112.7</v>
      </c>
      <c r="T37" s="5">
        <v>114.8</v>
      </c>
      <c r="U37" s="5">
        <v>110.7</v>
      </c>
      <c r="V37" s="5">
        <v>111.9</v>
      </c>
      <c r="W37" s="5">
        <v>111.7</v>
      </c>
      <c r="X37" s="5">
        <v>109.7</v>
      </c>
      <c r="Y37" s="5">
        <v>109.8</v>
      </c>
      <c r="Z37" s="5">
        <v>109</v>
      </c>
      <c r="AA37" s="5">
        <v>111.5</v>
      </c>
      <c r="AB37" s="5">
        <v>107.9</v>
      </c>
      <c r="AC37" s="5">
        <v>110</v>
      </c>
      <c r="AD37" s="12">
        <v>114.5</v>
      </c>
      <c r="AE37" s="26">
        <f>COUNTIFS($A$2:$A$379,A37,$B$2:$B$379,B38,$C$2:$C$379,C37)</f>
        <v>1</v>
      </c>
    </row>
    <row r="38" spans="1:31">
      <c r="A38" s="11" t="s">
        <v>65</v>
      </c>
      <c r="B38" s="5">
        <v>2014</v>
      </c>
      <c r="C38" s="5" t="s">
        <v>66</v>
      </c>
      <c r="D38" s="5">
        <v>118.9</v>
      </c>
      <c r="E38" s="5">
        <v>117.1</v>
      </c>
      <c r="F38" s="5">
        <v>120.5</v>
      </c>
      <c r="G38" s="5">
        <v>114.4</v>
      </c>
      <c r="H38" s="5">
        <v>109</v>
      </c>
      <c r="I38" s="5">
        <v>115.5</v>
      </c>
      <c r="J38" s="5">
        <v>123.9</v>
      </c>
      <c r="K38" s="5">
        <v>109.6</v>
      </c>
      <c r="L38" s="5">
        <v>101.8</v>
      </c>
      <c r="M38" s="5">
        <v>110.2</v>
      </c>
      <c r="N38" s="5">
        <v>112.4</v>
      </c>
      <c r="O38" s="5">
        <v>117.3</v>
      </c>
      <c r="P38" s="5">
        <v>116</v>
      </c>
      <c r="Q38" s="5">
        <v>114</v>
      </c>
      <c r="R38" s="5">
        <v>116.5</v>
      </c>
      <c r="S38" s="5">
        <v>114.5</v>
      </c>
      <c r="T38" s="5">
        <v>116.2</v>
      </c>
      <c r="U38" s="5" t="s">
        <v>67</v>
      </c>
      <c r="V38" s="5">
        <v>113</v>
      </c>
      <c r="W38" s="5">
        <v>112.6</v>
      </c>
      <c r="X38" s="5">
        <v>110.6</v>
      </c>
      <c r="Y38" s="5">
        <v>110.5</v>
      </c>
      <c r="Z38" s="5">
        <v>109.6</v>
      </c>
      <c r="AA38" s="5">
        <v>111.8</v>
      </c>
      <c r="AB38" s="5">
        <v>108.3</v>
      </c>
      <c r="AC38" s="5">
        <v>110.6</v>
      </c>
      <c r="AD38" s="12">
        <v>114.2</v>
      </c>
      <c r="AE38" s="26">
        <f>COUNTIFS($A$2:$A$379,A38,$B$2:$B$379,B39,$C$2:$C$379,C38)</f>
        <v>1</v>
      </c>
    </row>
    <row r="39" spans="1:31">
      <c r="A39" s="11" t="s">
        <v>68</v>
      </c>
      <c r="B39" s="5">
        <v>2014</v>
      </c>
      <c r="C39" s="5" t="s">
        <v>66</v>
      </c>
      <c r="D39" s="5">
        <v>121.2</v>
      </c>
      <c r="E39" s="5">
        <v>122</v>
      </c>
      <c r="F39" s="5">
        <v>129.9</v>
      </c>
      <c r="G39" s="5">
        <v>113.6</v>
      </c>
      <c r="H39" s="5">
        <v>102.9</v>
      </c>
      <c r="I39" s="5">
        <v>112.1</v>
      </c>
      <c r="J39" s="5">
        <v>118.9</v>
      </c>
      <c r="K39" s="5">
        <v>107.5</v>
      </c>
      <c r="L39" s="5">
        <v>96.9</v>
      </c>
      <c r="M39" s="5">
        <v>112.7</v>
      </c>
      <c r="N39" s="5">
        <v>112.1</v>
      </c>
      <c r="O39" s="5">
        <v>119</v>
      </c>
      <c r="P39" s="5">
        <v>115.5</v>
      </c>
      <c r="Q39" s="5">
        <v>115.7</v>
      </c>
      <c r="R39" s="5">
        <v>114.8</v>
      </c>
      <c r="S39" s="5">
        <v>111.3</v>
      </c>
      <c r="T39" s="5">
        <v>114.3</v>
      </c>
      <c r="U39" s="5">
        <v>111.6</v>
      </c>
      <c r="V39" s="5">
        <v>111</v>
      </c>
      <c r="W39" s="5">
        <v>111.9</v>
      </c>
      <c r="X39" s="5">
        <v>109.7</v>
      </c>
      <c r="Y39" s="5">
        <v>110.8</v>
      </c>
      <c r="Z39" s="5">
        <v>109.8</v>
      </c>
      <c r="AA39" s="5">
        <v>111.5</v>
      </c>
      <c r="AB39" s="5">
        <v>108</v>
      </c>
      <c r="AC39" s="5">
        <v>110.5</v>
      </c>
      <c r="AD39" s="12">
        <v>112.9</v>
      </c>
      <c r="AE39" s="26">
        <f>COUNTIFS($A$2:$A$379,A39,$B$2:$B$379,B40,$C$2:$C$379,C39)</f>
        <v>1</v>
      </c>
    </row>
    <row r="40" spans="1:31">
      <c r="A40" s="11" t="s">
        <v>69</v>
      </c>
      <c r="B40" s="5">
        <v>2014</v>
      </c>
      <c r="C40" s="5" t="s">
        <v>66</v>
      </c>
      <c r="D40" s="5">
        <v>119.6</v>
      </c>
      <c r="E40" s="5">
        <v>118.8</v>
      </c>
      <c r="F40" s="5">
        <v>124.1</v>
      </c>
      <c r="G40" s="5">
        <v>114.1</v>
      </c>
      <c r="H40" s="5">
        <v>106.8</v>
      </c>
      <c r="I40" s="5">
        <v>113.9</v>
      </c>
      <c r="J40" s="5">
        <v>122.2</v>
      </c>
      <c r="K40" s="5">
        <v>108.9</v>
      </c>
      <c r="L40" s="5">
        <v>100.2</v>
      </c>
      <c r="M40" s="5">
        <v>111</v>
      </c>
      <c r="N40" s="5">
        <v>112.3</v>
      </c>
      <c r="O40" s="5">
        <v>118.1</v>
      </c>
      <c r="P40" s="5">
        <v>115.8</v>
      </c>
      <c r="Q40" s="5">
        <v>114.5</v>
      </c>
      <c r="R40" s="5">
        <v>115.8</v>
      </c>
      <c r="S40" s="5">
        <v>113.2</v>
      </c>
      <c r="T40" s="5">
        <v>115.4</v>
      </c>
      <c r="U40" s="5">
        <v>111.6</v>
      </c>
      <c r="V40" s="5">
        <v>112.2</v>
      </c>
      <c r="W40" s="5">
        <v>112.3</v>
      </c>
      <c r="X40" s="5">
        <v>110.3</v>
      </c>
      <c r="Y40" s="5">
        <v>110.7</v>
      </c>
      <c r="Z40" s="5">
        <v>109.7</v>
      </c>
      <c r="AA40" s="5">
        <v>111.6</v>
      </c>
      <c r="AB40" s="5">
        <v>108.2</v>
      </c>
      <c r="AC40" s="5">
        <v>110.6</v>
      </c>
      <c r="AD40" s="12">
        <v>113.6</v>
      </c>
      <c r="AE40" s="26">
        <f>COUNTIFS($A$2:$A$379,A40,$B$2:$B$379,B41,$C$2:$C$379,C40)</f>
        <v>1</v>
      </c>
    </row>
    <row r="41" spans="1:31">
      <c r="A41" s="11" t="s">
        <v>65</v>
      </c>
      <c r="B41" s="5">
        <v>2014</v>
      </c>
      <c r="C41" s="5" t="s">
        <v>70</v>
      </c>
      <c r="D41" s="5">
        <v>119.4</v>
      </c>
      <c r="E41" s="5">
        <v>117.7</v>
      </c>
      <c r="F41" s="5">
        <v>121.2</v>
      </c>
      <c r="G41" s="5">
        <v>115</v>
      </c>
      <c r="H41" s="5">
        <v>109</v>
      </c>
      <c r="I41" s="5">
        <v>116.6</v>
      </c>
      <c r="J41" s="5">
        <v>116</v>
      </c>
      <c r="K41" s="5">
        <v>109.8</v>
      </c>
      <c r="L41" s="5">
        <v>101.1</v>
      </c>
      <c r="M41" s="5">
        <v>110.4</v>
      </c>
      <c r="N41" s="5">
        <v>112.9</v>
      </c>
      <c r="O41" s="5">
        <v>117.8</v>
      </c>
      <c r="P41" s="5">
        <v>115.3</v>
      </c>
      <c r="Q41" s="5">
        <v>114.2</v>
      </c>
      <c r="R41" s="5">
        <v>117.1</v>
      </c>
      <c r="S41" s="5">
        <v>114.5</v>
      </c>
      <c r="T41" s="5">
        <v>116.7</v>
      </c>
      <c r="U41" s="5" t="s">
        <v>67</v>
      </c>
      <c r="V41" s="5">
        <v>113.2</v>
      </c>
      <c r="W41" s="5">
        <v>112.9</v>
      </c>
      <c r="X41" s="5">
        <v>110.9</v>
      </c>
      <c r="Y41" s="5">
        <v>110.8</v>
      </c>
      <c r="Z41" s="5">
        <v>109.9</v>
      </c>
      <c r="AA41" s="5">
        <v>112</v>
      </c>
      <c r="AB41" s="5">
        <v>108.7</v>
      </c>
      <c r="AC41" s="5">
        <v>110.9</v>
      </c>
      <c r="AD41" s="12">
        <v>114</v>
      </c>
      <c r="AE41" s="26">
        <f>COUNTIFS($A$2:$A$379,A41,$B$2:$B$379,B42,$C$2:$C$379,C41)</f>
        <v>1</v>
      </c>
    </row>
    <row r="42" spans="1:31">
      <c r="A42" s="11" t="s">
        <v>68</v>
      </c>
      <c r="B42" s="5">
        <v>2014</v>
      </c>
      <c r="C42" s="5" t="s">
        <v>70</v>
      </c>
      <c r="D42" s="5">
        <v>121.9</v>
      </c>
      <c r="E42" s="5">
        <v>122</v>
      </c>
      <c r="F42" s="5">
        <v>124.5</v>
      </c>
      <c r="G42" s="5">
        <v>115.2</v>
      </c>
      <c r="H42" s="5">
        <v>102.5</v>
      </c>
      <c r="I42" s="5">
        <v>114.1</v>
      </c>
      <c r="J42" s="5">
        <v>111.5</v>
      </c>
      <c r="K42" s="5">
        <v>108.2</v>
      </c>
      <c r="L42" s="5">
        <v>95.4</v>
      </c>
      <c r="M42" s="5">
        <v>113.5</v>
      </c>
      <c r="N42" s="5">
        <v>112.1</v>
      </c>
      <c r="O42" s="5">
        <v>119.9</v>
      </c>
      <c r="P42" s="5">
        <v>115.2</v>
      </c>
      <c r="Q42" s="5">
        <v>116.2</v>
      </c>
      <c r="R42" s="5">
        <v>115.3</v>
      </c>
      <c r="S42" s="5">
        <v>111.7</v>
      </c>
      <c r="T42" s="5">
        <v>114.7</v>
      </c>
      <c r="U42" s="5">
        <v>112.5</v>
      </c>
      <c r="V42" s="5">
        <v>111.1</v>
      </c>
      <c r="W42" s="5">
        <v>112.6</v>
      </c>
      <c r="X42" s="5">
        <v>110.4</v>
      </c>
      <c r="Y42" s="5">
        <v>111.3</v>
      </c>
      <c r="Z42" s="5">
        <v>110.3</v>
      </c>
      <c r="AA42" s="5">
        <v>111.6</v>
      </c>
      <c r="AB42" s="5">
        <v>108.7</v>
      </c>
      <c r="AC42" s="5">
        <v>111</v>
      </c>
      <c r="AD42" s="12">
        <v>113.1</v>
      </c>
      <c r="AE42" s="26">
        <f>COUNTIFS($A$2:$A$379,A42,$B$2:$B$379,B43,$C$2:$C$379,C42)</f>
        <v>1</v>
      </c>
    </row>
    <row r="43" spans="1:31">
      <c r="A43" s="11" t="s">
        <v>69</v>
      </c>
      <c r="B43" s="5">
        <v>2014</v>
      </c>
      <c r="C43" s="5" t="s">
        <v>70</v>
      </c>
      <c r="D43" s="5">
        <v>120.2</v>
      </c>
      <c r="E43" s="5">
        <v>119.2</v>
      </c>
      <c r="F43" s="5">
        <v>122.5</v>
      </c>
      <c r="G43" s="5">
        <v>115.1</v>
      </c>
      <c r="H43" s="5">
        <v>106.6</v>
      </c>
      <c r="I43" s="5">
        <v>115.4</v>
      </c>
      <c r="J43" s="5">
        <v>114.5</v>
      </c>
      <c r="K43" s="5">
        <v>109.3</v>
      </c>
      <c r="L43" s="5">
        <v>99.2</v>
      </c>
      <c r="M43" s="5">
        <v>111.4</v>
      </c>
      <c r="N43" s="5">
        <v>112.6</v>
      </c>
      <c r="O43" s="5">
        <v>118.8</v>
      </c>
      <c r="P43" s="5">
        <v>115.3</v>
      </c>
      <c r="Q43" s="5">
        <v>114.7</v>
      </c>
      <c r="R43" s="5">
        <v>116.4</v>
      </c>
      <c r="S43" s="5">
        <v>113.3</v>
      </c>
      <c r="T43" s="5">
        <v>115.9</v>
      </c>
      <c r="U43" s="5">
        <v>112.5</v>
      </c>
      <c r="V43" s="5">
        <v>112.4</v>
      </c>
      <c r="W43" s="5">
        <v>112.8</v>
      </c>
      <c r="X43" s="5">
        <v>110.7</v>
      </c>
      <c r="Y43" s="5">
        <v>111.1</v>
      </c>
      <c r="Z43" s="5">
        <v>110.1</v>
      </c>
      <c r="AA43" s="5">
        <v>111.8</v>
      </c>
      <c r="AB43" s="5">
        <v>108.7</v>
      </c>
      <c r="AC43" s="5">
        <v>110.9</v>
      </c>
      <c r="AD43" s="12">
        <v>113.6</v>
      </c>
      <c r="AE43" s="26">
        <f>COUNTIFS($A$2:$A$379,A43,$B$2:$B$379,B44,$C$2:$C$379,C43)</f>
        <v>1</v>
      </c>
    </row>
    <row r="44" spans="1:31">
      <c r="A44" s="11" t="s">
        <v>65</v>
      </c>
      <c r="B44" s="5">
        <v>2014</v>
      </c>
      <c r="C44" s="5" t="s">
        <v>71</v>
      </c>
      <c r="D44" s="5">
        <v>120.1</v>
      </c>
      <c r="E44" s="5">
        <v>118.1</v>
      </c>
      <c r="F44" s="5">
        <v>120.7</v>
      </c>
      <c r="G44" s="5">
        <v>116.1</v>
      </c>
      <c r="H44" s="5">
        <v>109.3</v>
      </c>
      <c r="I44" s="5">
        <v>119.6</v>
      </c>
      <c r="J44" s="5">
        <v>117.9</v>
      </c>
      <c r="K44" s="5">
        <v>110.2</v>
      </c>
      <c r="L44" s="5">
        <v>101.2</v>
      </c>
      <c r="M44" s="5">
        <v>110.7</v>
      </c>
      <c r="N44" s="5">
        <v>113</v>
      </c>
      <c r="O44" s="5">
        <v>118.3</v>
      </c>
      <c r="P44" s="5">
        <v>116.2</v>
      </c>
      <c r="Q44" s="5">
        <v>114.6</v>
      </c>
      <c r="R44" s="5">
        <v>117.5</v>
      </c>
      <c r="S44" s="5">
        <v>114.9</v>
      </c>
      <c r="T44" s="5">
        <v>117.2</v>
      </c>
      <c r="U44" s="5" t="s">
        <v>67</v>
      </c>
      <c r="V44" s="5">
        <v>113.4</v>
      </c>
      <c r="W44" s="5">
        <v>113.4</v>
      </c>
      <c r="X44" s="5">
        <v>111.4</v>
      </c>
      <c r="Y44" s="5">
        <v>111.2</v>
      </c>
      <c r="Z44" s="5">
        <v>110.2</v>
      </c>
      <c r="AA44" s="5">
        <v>112.4</v>
      </c>
      <c r="AB44" s="5">
        <v>108.9</v>
      </c>
      <c r="AC44" s="5">
        <v>111.3</v>
      </c>
      <c r="AD44" s="12">
        <v>114.6</v>
      </c>
      <c r="AE44" s="26">
        <f>COUNTIFS($A$2:$A$379,A44,$B$2:$B$379,B45,$C$2:$C$379,C44)</f>
        <v>1</v>
      </c>
    </row>
    <row r="45" spans="1:31">
      <c r="A45" s="11" t="s">
        <v>68</v>
      </c>
      <c r="B45" s="5">
        <v>2014</v>
      </c>
      <c r="C45" s="5" t="s">
        <v>71</v>
      </c>
      <c r="D45" s="5">
        <v>122.1</v>
      </c>
      <c r="E45" s="5">
        <v>121.4</v>
      </c>
      <c r="F45" s="5">
        <v>121.5</v>
      </c>
      <c r="G45" s="5">
        <v>116.2</v>
      </c>
      <c r="H45" s="5">
        <v>102.8</v>
      </c>
      <c r="I45" s="5">
        <v>117.7</v>
      </c>
      <c r="J45" s="5">
        <v>113.3</v>
      </c>
      <c r="K45" s="5">
        <v>108.9</v>
      </c>
      <c r="L45" s="5">
        <v>96.3</v>
      </c>
      <c r="M45" s="5">
        <v>114.1</v>
      </c>
      <c r="N45" s="5">
        <v>112.2</v>
      </c>
      <c r="O45" s="5">
        <v>120.5</v>
      </c>
      <c r="P45" s="5">
        <v>116</v>
      </c>
      <c r="Q45" s="5">
        <v>116.7</v>
      </c>
      <c r="R45" s="5">
        <v>115.8</v>
      </c>
      <c r="S45" s="5">
        <v>112.1</v>
      </c>
      <c r="T45" s="5">
        <v>115.2</v>
      </c>
      <c r="U45" s="5">
        <v>113.2</v>
      </c>
      <c r="V45" s="5">
        <v>110.9</v>
      </c>
      <c r="W45" s="5">
        <v>113</v>
      </c>
      <c r="X45" s="5">
        <v>110.8</v>
      </c>
      <c r="Y45" s="5">
        <v>111.6</v>
      </c>
      <c r="Z45" s="5">
        <v>110.9</v>
      </c>
      <c r="AA45" s="5">
        <v>111.8</v>
      </c>
      <c r="AB45" s="5">
        <v>109.2</v>
      </c>
      <c r="AC45" s="5">
        <v>111.4</v>
      </c>
      <c r="AD45" s="12">
        <v>113.7</v>
      </c>
      <c r="AE45" s="26">
        <f>COUNTIFS($A$2:$A$379,A45,$B$2:$B$379,B46,$C$2:$C$379,C45)</f>
        <v>1</v>
      </c>
    </row>
    <row r="46" spans="1:31">
      <c r="A46" s="11" t="s">
        <v>69</v>
      </c>
      <c r="B46" s="5">
        <v>2014</v>
      </c>
      <c r="C46" s="5" t="s">
        <v>71</v>
      </c>
      <c r="D46" s="5">
        <v>120.7</v>
      </c>
      <c r="E46" s="5">
        <v>119.3</v>
      </c>
      <c r="F46" s="5">
        <v>121</v>
      </c>
      <c r="G46" s="5">
        <v>116.1</v>
      </c>
      <c r="H46" s="5">
        <v>106.9</v>
      </c>
      <c r="I46" s="5">
        <v>118.7</v>
      </c>
      <c r="J46" s="5">
        <v>116.3</v>
      </c>
      <c r="K46" s="5">
        <v>109.8</v>
      </c>
      <c r="L46" s="5">
        <v>99.6</v>
      </c>
      <c r="M46" s="5">
        <v>111.8</v>
      </c>
      <c r="N46" s="5">
        <v>112.7</v>
      </c>
      <c r="O46" s="5">
        <v>119.3</v>
      </c>
      <c r="P46" s="5">
        <v>116.1</v>
      </c>
      <c r="Q46" s="5">
        <v>115.2</v>
      </c>
      <c r="R46" s="5">
        <v>116.8</v>
      </c>
      <c r="S46" s="5">
        <v>113.7</v>
      </c>
      <c r="T46" s="5">
        <v>116.4</v>
      </c>
      <c r="U46" s="5">
        <v>113.2</v>
      </c>
      <c r="V46" s="5">
        <v>112.5</v>
      </c>
      <c r="W46" s="5">
        <v>113.2</v>
      </c>
      <c r="X46" s="5">
        <v>111.2</v>
      </c>
      <c r="Y46" s="5">
        <v>111.4</v>
      </c>
      <c r="Z46" s="5">
        <v>110.6</v>
      </c>
      <c r="AA46" s="5">
        <v>112</v>
      </c>
      <c r="AB46" s="5">
        <v>109</v>
      </c>
      <c r="AC46" s="5">
        <v>111.3</v>
      </c>
      <c r="AD46" s="12">
        <v>114.2</v>
      </c>
      <c r="AE46" s="26">
        <f>COUNTIFS($A$2:$A$379,A46,$B$2:$B$379,B47,$C$2:$C$379,C46)</f>
        <v>1</v>
      </c>
    </row>
    <row r="47" spans="1:31">
      <c r="A47" s="11" t="s">
        <v>65</v>
      </c>
      <c r="B47" s="5">
        <v>2014</v>
      </c>
      <c r="C47" s="5" t="s">
        <v>72</v>
      </c>
      <c r="D47" s="5">
        <v>120.2</v>
      </c>
      <c r="E47" s="5">
        <v>118.9</v>
      </c>
      <c r="F47" s="5">
        <v>118.1</v>
      </c>
      <c r="G47" s="5">
        <v>117</v>
      </c>
      <c r="H47" s="5">
        <v>109.7</v>
      </c>
      <c r="I47" s="5">
        <v>125.5</v>
      </c>
      <c r="J47" s="5">
        <v>120.5</v>
      </c>
      <c r="K47" s="5">
        <v>111</v>
      </c>
      <c r="L47" s="5">
        <v>102.6</v>
      </c>
      <c r="M47" s="5">
        <v>111.2</v>
      </c>
      <c r="N47" s="5">
        <v>113.5</v>
      </c>
      <c r="O47" s="5">
        <v>118.7</v>
      </c>
      <c r="P47" s="5">
        <v>117.2</v>
      </c>
      <c r="Q47" s="5">
        <v>115.4</v>
      </c>
      <c r="R47" s="5">
        <v>118.1</v>
      </c>
      <c r="S47" s="5">
        <v>116.1</v>
      </c>
      <c r="T47" s="5">
        <v>117.8</v>
      </c>
      <c r="U47" s="5" t="s">
        <v>67</v>
      </c>
      <c r="V47" s="5">
        <v>113.4</v>
      </c>
      <c r="W47" s="5">
        <v>113.7</v>
      </c>
      <c r="X47" s="5">
        <v>111.8</v>
      </c>
      <c r="Y47" s="5">
        <v>111.2</v>
      </c>
      <c r="Z47" s="5">
        <v>110.5</v>
      </c>
      <c r="AA47" s="5">
        <v>113</v>
      </c>
      <c r="AB47" s="5">
        <v>108.9</v>
      </c>
      <c r="AC47" s="5">
        <v>111.5</v>
      </c>
      <c r="AD47" s="12">
        <v>115.4</v>
      </c>
      <c r="AE47" s="26">
        <f>COUNTIFS($A$2:$A$379,A47,$B$2:$B$379,B48,$C$2:$C$379,C47)</f>
        <v>1</v>
      </c>
    </row>
    <row r="48" spans="1:31">
      <c r="A48" s="11" t="s">
        <v>68</v>
      </c>
      <c r="B48" s="5">
        <v>2014</v>
      </c>
      <c r="C48" s="5" t="s">
        <v>72</v>
      </c>
      <c r="D48" s="5">
        <v>122.5</v>
      </c>
      <c r="E48" s="5">
        <v>121.7</v>
      </c>
      <c r="F48" s="5">
        <v>113.3</v>
      </c>
      <c r="G48" s="5">
        <v>117</v>
      </c>
      <c r="H48" s="5">
        <v>103.1</v>
      </c>
      <c r="I48" s="5">
        <v>126.7</v>
      </c>
      <c r="J48" s="5">
        <v>121.2</v>
      </c>
      <c r="K48" s="5">
        <v>111</v>
      </c>
      <c r="L48" s="5">
        <v>100.3</v>
      </c>
      <c r="M48" s="5">
        <v>115.3</v>
      </c>
      <c r="N48" s="5">
        <v>112.7</v>
      </c>
      <c r="O48" s="5">
        <v>121</v>
      </c>
      <c r="P48" s="5">
        <v>118.2</v>
      </c>
      <c r="Q48" s="5">
        <v>117.6</v>
      </c>
      <c r="R48" s="5">
        <v>116.3</v>
      </c>
      <c r="S48" s="5">
        <v>112.5</v>
      </c>
      <c r="T48" s="5">
        <v>115.7</v>
      </c>
      <c r="U48" s="5">
        <v>113.9</v>
      </c>
      <c r="V48" s="5">
        <v>110.9</v>
      </c>
      <c r="W48" s="5">
        <v>113.4</v>
      </c>
      <c r="X48" s="5">
        <v>111</v>
      </c>
      <c r="Y48" s="5">
        <v>111.2</v>
      </c>
      <c r="Z48" s="5">
        <v>111.2</v>
      </c>
      <c r="AA48" s="5">
        <v>112.5</v>
      </c>
      <c r="AB48" s="5">
        <v>109.1</v>
      </c>
      <c r="AC48" s="5">
        <v>111.4</v>
      </c>
      <c r="AD48" s="12">
        <v>114.7</v>
      </c>
      <c r="AE48" s="26">
        <f>COUNTIFS($A$2:$A$379,A48,$B$2:$B$379,B49,$C$2:$C$379,C48)</f>
        <v>1</v>
      </c>
    </row>
    <row r="49" spans="1:31">
      <c r="A49" s="11" t="s">
        <v>69</v>
      </c>
      <c r="B49" s="5">
        <v>2014</v>
      </c>
      <c r="C49" s="5" t="s">
        <v>72</v>
      </c>
      <c r="D49" s="5">
        <v>120.9</v>
      </c>
      <c r="E49" s="5">
        <v>119.9</v>
      </c>
      <c r="F49" s="5">
        <v>116.2</v>
      </c>
      <c r="G49" s="5">
        <v>117</v>
      </c>
      <c r="H49" s="5">
        <v>107.3</v>
      </c>
      <c r="I49" s="5">
        <v>126.1</v>
      </c>
      <c r="J49" s="5">
        <v>120.7</v>
      </c>
      <c r="K49" s="5">
        <v>111</v>
      </c>
      <c r="L49" s="5">
        <v>101.8</v>
      </c>
      <c r="M49" s="5">
        <v>112.6</v>
      </c>
      <c r="N49" s="5">
        <v>113.2</v>
      </c>
      <c r="O49" s="5">
        <v>119.8</v>
      </c>
      <c r="P49" s="5">
        <v>117.6</v>
      </c>
      <c r="Q49" s="5">
        <v>116</v>
      </c>
      <c r="R49" s="5">
        <v>117.4</v>
      </c>
      <c r="S49" s="5">
        <v>114.6</v>
      </c>
      <c r="T49" s="5">
        <v>117</v>
      </c>
      <c r="U49" s="5">
        <v>113.9</v>
      </c>
      <c r="V49" s="5">
        <v>112.5</v>
      </c>
      <c r="W49" s="5">
        <v>113.6</v>
      </c>
      <c r="X49" s="5">
        <v>111.5</v>
      </c>
      <c r="Y49" s="5">
        <v>111.2</v>
      </c>
      <c r="Z49" s="5">
        <v>110.9</v>
      </c>
      <c r="AA49" s="5">
        <v>112.7</v>
      </c>
      <c r="AB49" s="5">
        <v>109</v>
      </c>
      <c r="AC49" s="5">
        <v>111.5</v>
      </c>
      <c r="AD49" s="12">
        <v>115.1</v>
      </c>
      <c r="AE49" s="26">
        <f>COUNTIFS($A$2:$A$379,A49,$B$2:$B$379,B50,$C$2:$C$379,C49)</f>
        <v>1</v>
      </c>
    </row>
    <row r="50" spans="1:31">
      <c r="A50" s="11" t="s">
        <v>65</v>
      </c>
      <c r="B50" s="5">
        <v>2014</v>
      </c>
      <c r="C50" s="5" t="s">
        <v>73</v>
      </c>
      <c r="D50" s="5">
        <v>120.3</v>
      </c>
      <c r="E50" s="5">
        <v>120.2</v>
      </c>
      <c r="F50" s="5">
        <v>116.9</v>
      </c>
      <c r="G50" s="5">
        <v>118</v>
      </c>
      <c r="H50" s="5">
        <v>110.1</v>
      </c>
      <c r="I50" s="5">
        <v>126.3</v>
      </c>
      <c r="J50" s="5">
        <v>123.9</v>
      </c>
      <c r="K50" s="5">
        <v>111.5</v>
      </c>
      <c r="L50" s="5">
        <v>103.5</v>
      </c>
      <c r="M50" s="5">
        <v>111.6</v>
      </c>
      <c r="N50" s="5">
        <v>114.2</v>
      </c>
      <c r="O50" s="5">
        <v>119.2</v>
      </c>
      <c r="P50" s="5">
        <v>118.2</v>
      </c>
      <c r="Q50" s="5">
        <v>116.3</v>
      </c>
      <c r="R50" s="5">
        <v>118.7</v>
      </c>
      <c r="S50" s="5">
        <v>116.8</v>
      </c>
      <c r="T50" s="5">
        <v>118.5</v>
      </c>
      <c r="U50" s="5" t="s">
        <v>67</v>
      </c>
      <c r="V50" s="5">
        <v>113.4</v>
      </c>
      <c r="W50" s="5">
        <v>114.1</v>
      </c>
      <c r="X50" s="5">
        <v>112.1</v>
      </c>
      <c r="Y50" s="5">
        <v>111.4</v>
      </c>
      <c r="Z50" s="5">
        <v>110.9</v>
      </c>
      <c r="AA50" s="5">
        <v>113.1</v>
      </c>
      <c r="AB50" s="5">
        <v>108.9</v>
      </c>
      <c r="AC50" s="5">
        <v>111.8</v>
      </c>
      <c r="AD50" s="12">
        <v>116</v>
      </c>
      <c r="AE50" s="26">
        <f>COUNTIFS($A$2:$A$379,A50,$B$2:$B$379,B51,$C$2:$C$379,C50)</f>
        <v>1</v>
      </c>
    </row>
    <row r="51" spans="1:31">
      <c r="A51" s="11" t="s">
        <v>68</v>
      </c>
      <c r="B51" s="5">
        <v>2014</v>
      </c>
      <c r="C51" s="5" t="s">
        <v>73</v>
      </c>
      <c r="D51" s="5">
        <v>122.7</v>
      </c>
      <c r="E51" s="5">
        <v>124.1</v>
      </c>
      <c r="F51" s="5">
        <v>114.2</v>
      </c>
      <c r="G51" s="5">
        <v>119.1</v>
      </c>
      <c r="H51" s="5">
        <v>103.5</v>
      </c>
      <c r="I51" s="5">
        <v>129.19999999999999</v>
      </c>
      <c r="J51" s="5">
        <v>127</v>
      </c>
      <c r="K51" s="5">
        <v>112.6</v>
      </c>
      <c r="L51" s="5">
        <v>101.3</v>
      </c>
      <c r="M51" s="5">
        <v>117</v>
      </c>
      <c r="N51" s="5">
        <v>112.9</v>
      </c>
      <c r="O51" s="5">
        <v>121.7</v>
      </c>
      <c r="P51" s="5">
        <v>120</v>
      </c>
      <c r="Q51" s="5">
        <v>118.3</v>
      </c>
      <c r="R51" s="5">
        <v>116.8</v>
      </c>
      <c r="S51" s="5">
        <v>112.9</v>
      </c>
      <c r="T51" s="5">
        <v>116.2</v>
      </c>
      <c r="U51" s="5">
        <v>114.3</v>
      </c>
      <c r="V51" s="5">
        <v>111.1</v>
      </c>
      <c r="W51" s="5">
        <v>114.1</v>
      </c>
      <c r="X51" s="5">
        <v>111.2</v>
      </c>
      <c r="Y51" s="5">
        <v>111.3</v>
      </c>
      <c r="Z51" s="5">
        <v>111.5</v>
      </c>
      <c r="AA51" s="5">
        <v>112.9</v>
      </c>
      <c r="AB51" s="5">
        <v>109.3</v>
      </c>
      <c r="AC51" s="5">
        <v>111.7</v>
      </c>
      <c r="AD51" s="12">
        <v>115.6</v>
      </c>
      <c r="AE51" s="26">
        <f>COUNTIFS($A$2:$A$379,A51,$B$2:$B$379,B52,$C$2:$C$379,C51)</f>
        <v>1</v>
      </c>
    </row>
    <row r="52" spans="1:31">
      <c r="A52" s="11" t="s">
        <v>69</v>
      </c>
      <c r="B52" s="5">
        <v>2014</v>
      </c>
      <c r="C52" s="5" t="s">
        <v>73</v>
      </c>
      <c r="D52" s="5">
        <v>121.1</v>
      </c>
      <c r="E52" s="5">
        <v>121.6</v>
      </c>
      <c r="F52" s="5">
        <v>115.9</v>
      </c>
      <c r="G52" s="5">
        <v>118.4</v>
      </c>
      <c r="H52" s="5">
        <v>107.7</v>
      </c>
      <c r="I52" s="5">
        <v>127.7</v>
      </c>
      <c r="J52" s="5">
        <v>125</v>
      </c>
      <c r="K52" s="5">
        <v>111.9</v>
      </c>
      <c r="L52" s="5">
        <v>102.8</v>
      </c>
      <c r="M52" s="5">
        <v>113.4</v>
      </c>
      <c r="N52" s="5">
        <v>113.7</v>
      </c>
      <c r="O52" s="5">
        <v>120.4</v>
      </c>
      <c r="P52" s="5">
        <v>118.9</v>
      </c>
      <c r="Q52" s="5">
        <v>116.8</v>
      </c>
      <c r="R52" s="5">
        <v>118</v>
      </c>
      <c r="S52" s="5">
        <v>115.2</v>
      </c>
      <c r="T52" s="5">
        <v>117.6</v>
      </c>
      <c r="U52" s="5">
        <v>114.3</v>
      </c>
      <c r="V52" s="5">
        <v>112.5</v>
      </c>
      <c r="W52" s="5">
        <v>114.1</v>
      </c>
      <c r="X52" s="5">
        <v>111.8</v>
      </c>
      <c r="Y52" s="5">
        <v>111.3</v>
      </c>
      <c r="Z52" s="5">
        <v>111.2</v>
      </c>
      <c r="AA52" s="5">
        <v>113</v>
      </c>
      <c r="AB52" s="5">
        <v>109.1</v>
      </c>
      <c r="AC52" s="5">
        <v>111.8</v>
      </c>
      <c r="AD52" s="12">
        <v>115.8</v>
      </c>
      <c r="AE52" s="26">
        <f>COUNTIFS($A$2:$A$379,A52,$B$2:$B$379,B53,$C$2:$C$379,C52)</f>
        <v>1</v>
      </c>
    </row>
    <row r="53" spans="1:31">
      <c r="A53" s="11" t="s">
        <v>65</v>
      </c>
      <c r="B53" s="5">
        <v>2014</v>
      </c>
      <c r="C53" s="5" t="s">
        <v>74</v>
      </c>
      <c r="D53" s="5">
        <v>120.7</v>
      </c>
      <c r="E53" s="5">
        <v>121.6</v>
      </c>
      <c r="F53" s="5">
        <v>116.1</v>
      </c>
      <c r="G53" s="5">
        <v>119.3</v>
      </c>
      <c r="H53" s="5">
        <v>110.3</v>
      </c>
      <c r="I53" s="5">
        <v>125.8</v>
      </c>
      <c r="J53" s="5">
        <v>129.30000000000001</v>
      </c>
      <c r="K53" s="5">
        <v>112.2</v>
      </c>
      <c r="L53" s="5">
        <v>103.6</v>
      </c>
      <c r="M53" s="5">
        <v>112.3</v>
      </c>
      <c r="N53" s="5">
        <v>114.9</v>
      </c>
      <c r="O53" s="5">
        <v>120.1</v>
      </c>
      <c r="P53" s="5">
        <v>119.5</v>
      </c>
      <c r="Q53" s="5">
        <v>117.3</v>
      </c>
      <c r="R53" s="5">
        <v>119.7</v>
      </c>
      <c r="S53" s="5">
        <v>117.3</v>
      </c>
      <c r="T53" s="5">
        <v>119.3</v>
      </c>
      <c r="U53" s="5" t="s">
        <v>67</v>
      </c>
      <c r="V53" s="5">
        <v>114.4</v>
      </c>
      <c r="W53" s="5">
        <v>114.9</v>
      </c>
      <c r="X53" s="5">
        <v>112.8</v>
      </c>
      <c r="Y53" s="5">
        <v>112.2</v>
      </c>
      <c r="Z53" s="5">
        <v>111.4</v>
      </c>
      <c r="AA53" s="5">
        <v>114.3</v>
      </c>
      <c r="AB53" s="5">
        <v>108</v>
      </c>
      <c r="AC53" s="5">
        <v>112.3</v>
      </c>
      <c r="AD53" s="12">
        <v>117</v>
      </c>
      <c r="AE53" s="26">
        <f>COUNTIFS($A$2:$A$379,A53,$B$2:$B$379,B54,$C$2:$C$379,C53)</f>
        <v>1</v>
      </c>
    </row>
    <row r="54" spans="1:31">
      <c r="A54" s="11" t="s">
        <v>68</v>
      </c>
      <c r="B54" s="5">
        <v>2014</v>
      </c>
      <c r="C54" s="5" t="s">
        <v>74</v>
      </c>
      <c r="D54" s="5">
        <v>123.1</v>
      </c>
      <c r="E54" s="5">
        <v>125.9</v>
      </c>
      <c r="F54" s="5">
        <v>115.4</v>
      </c>
      <c r="G54" s="5">
        <v>120.4</v>
      </c>
      <c r="H54" s="5">
        <v>103.4</v>
      </c>
      <c r="I54" s="5">
        <v>131.19999999999999</v>
      </c>
      <c r="J54" s="5">
        <v>137.5</v>
      </c>
      <c r="K54" s="5">
        <v>112.8</v>
      </c>
      <c r="L54" s="5">
        <v>101.4</v>
      </c>
      <c r="M54" s="5">
        <v>118.3</v>
      </c>
      <c r="N54" s="5">
        <v>113.2</v>
      </c>
      <c r="O54" s="5">
        <v>122.4</v>
      </c>
      <c r="P54" s="5">
        <v>122</v>
      </c>
      <c r="Q54" s="5">
        <v>119</v>
      </c>
      <c r="R54" s="5">
        <v>117.4</v>
      </c>
      <c r="S54" s="5">
        <v>113.2</v>
      </c>
      <c r="T54" s="5">
        <v>116.7</v>
      </c>
      <c r="U54" s="5">
        <v>113.9</v>
      </c>
      <c r="V54" s="5">
        <v>111.2</v>
      </c>
      <c r="W54" s="5">
        <v>114.3</v>
      </c>
      <c r="X54" s="5">
        <v>111.4</v>
      </c>
      <c r="Y54" s="5">
        <v>111.5</v>
      </c>
      <c r="Z54" s="5">
        <v>111.8</v>
      </c>
      <c r="AA54" s="5">
        <v>115.1</v>
      </c>
      <c r="AB54" s="5">
        <v>108.7</v>
      </c>
      <c r="AC54" s="5">
        <v>112.2</v>
      </c>
      <c r="AD54" s="12">
        <v>116.4</v>
      </c>
      <c r="AE54" s="26">
        <f>COUNTIFS($A$2:$A$379,A54,$B$2:$B$379,B55,$C$2:$C$379,C54)</f>
        <v>1</v>
      </c>
    </row>
    <row r="55" spans="1:31">
      <c r="A55" s="11" t="s">
        <v>69</v>
      </c>
      <c r="B55" s="5">
        <v>2014</v>
      </c>
      <c r="C55" s="5" t="s">
        <v>74</v>
      </c>
      <c r="D55" s="5">
        <v>121.5</v>
      </c>
      <c r="E55" s="5">
        <v>123.1</v>
      </c>
      <c r="F55" s="5">
        <v>115.8</v>
      </c>
      <c r="G55" s="5">
        <v>119.7</v>
      </c>
      <c r="H55" s="5">
        <v>107.8</v>
      </c>
      <c r="I55" s="5">
        <v>128.30000000000001</v>
      </c>
      <c r="J55" s="5">
        <v>132.1</v>
      </c>
      <c r="K55" s="5">
        <v>112.4</v>
      </c>
      <c r="L55" s="5">
        <v>102.9</v>
      </c>
      <c r="M55" s="5">
        <v>114.3</v>
      </c>
      <c r="N55" s="5">
        <v>114.2</v>
      </c>
      <c r="O55" s="5">
        <v>121.2</v>
      </c>
      <c r="P55" s="5">
        <v>120.4</v>
      </c>
      <c r="Q55" s="5">
        <v>117.8</v>
      </c>
      <c r="R55" s="5">
        <v>118.8</v>
      </c>
      <c r="S55" s="5">
        <v>115.6</v>
      </c>
      <c r="T55" s="5">
        <v>118.3</v>
      </c>
      <c r="U55" s="5">
        <v>113.9</v>
      </c>
      <c r="V55" s="5">
        <v>113.2</v>
      </c>
      <c r="W55" s="5">
        <v>114.6</v>
      </c>
      <c r="X55" s="5">
        <v>112.3</v>
      </c>
      <c r="Y55" s="5">
        <v>111.8</v>
      </c>
      <c r="Z55" s="5">
        <v>111.6</v>
      </c>
      <c r="AA55" s="5">
        <v>114.8</v>
      </c>
      <c r="AB55" s="5">
        <v>108.3</v>
      </c>
      <c r="AC55" s="5">
        <v>112.3</v>
      </c>
      <c r="AD55" s="12">
        <v>116.7</v>
      </c>
      <c r="AE55" s="26">
        <f>COUNTIFS($A$2:$A$379,A55,$B$2:$B$379,B56,$C$2:$C$379,C55)</f>
        <v>1</v>
      </c>
    </row>
    <row r="56" spans="1:31">
      <c r="A56" s="11" t="s">
        <v>65</v>
      </c>
      <c r="B56" s="5">
        <v>2014</v>
      </c>
      <c r="C56" s="5" t="s">
        <v>75</v>
      </c>
      <c r="D56" s="5">
        <v>121.7</v>
      </c>
      <c r="E56" s="5">
        <v>122.5</v>
      </c>
      <c r="F56" s="5">
        <v>117.7</v>
      </c>
      <c r="G56" s="5">
        <v>120.6</v>
      </c>
      <c r="H56" s="5">
        <v>110.4</v>
      </c>
      <c r="I56" s="5">
        <v>129.1</v>
      </c>
      <c r="J56" s="5">
        <v>150.1</v>
      </c>
      <c r="K56" s="5">
        <v>113.2</v>
      </c>
      <c r="L56" s="5">
        <v>104.8</v>
      </c>
      <c r="M56" s="5">
        <v>113.3</v>
      </c>
      <c r="N56" s="5">
        <v>115.6</v>
      </c>
      <c r="O56" s="5">
        <v>120.9</v>
      </c>
      <c r="P56" s="5">
        <v>123.3</v>
      </c>
      <c r="Q56" s="5">
        <v>118</v>
      </c>
      <c r="R56" s="5">
        <v>120.7</v>
      </c>
      <c r="S56" s="5">
        <v>118.3</v>
      </c>
      <c r="T56" s="5">
        <v>120.3</v>
      </c>
      <c r="U56" s="5" t="s">
        <v>67</v>
      </c>
      <c r="V56" s="5">
        <v>115.3</v>
      </c>
      <c r="W56" s="5">
        <v>115.4</v>
      </c>
      <c r="X56" s="5">
        <v>113.4</v>
      </c>
      <c r="Y56" s="5">
        <v>113.2</v>
      </c>
      <c r="Z56" s="5">
        <v>111.8</v>
      </c>
      <c r="AA56" s="5">
        <v>115.5</v>
      </c>
      <c r="AB56" s="5">
        <v>108.8</v>
      </c>
      <c r="AC56" s="5">
        <v>113.1</v>
      </c>
      <c r="AD56" s="12">
        <v>119.5</v>
      </c>
      <c r="AE56" s="26">
        <f>COUNTIFS($A$2:$A$379,A56,$B$2:$B$379,B57,$C$2:$C$379,C56)</f>
        <v>1</v>
      </c>
    </row>
    <row r="57" spans="1:31">
      <c r="A57" s="11" t="s">
        <v>68</v>
      </c>
      <c r="B57" s="5">
        <v>2014</v>
      </c>
      <c r="C57" s="5" t="s">
        <v>75</v>
      </c>
      <c r="D57" s="5">
        <v>123.8</v>
      </c>
      <c r="E57" s="5">
        <v>126.4</v>
      </c>
      <c r="F57" s="5">
        <v>118</v>
      </c>
      <c r="G57" s="5">
        <v>121.6</v>
      </c>
      <c r="H57" s="5">
        <v>103.5</v>
      </c>
      <c r="I57" s="5">
        <v>133.69999999999999</v>
      </c>
      <c r="J57" s="5">
        <v>172.4</v>
      </c>
      <c r="K57" s="5">
        <v>113.1</v>
      </c>
      <c r="L57" s="5">
        <v>102.7</v>
      </c>
      <c r="M57" s="5">
        <v>120</v>
      </c>
      <c r="N57" s="5">
        <v>113.8</v>
      </c>
      <c r="O57" s="5">
        <v>123.4</v>
      </c>
      <c r="P57" s="5">
        <v>127.1</v>
      </c>
      <c r="Q57" s="5">
        <v>121</v>
      </c>
      <c r="R57" s="5">
        <v>118</v>
      </c>
      <c r="S57" s="5">
        <v>113.6</v>
      </c>
      <c r="T57" s="5">
        <v>117.4</v>
      </c>
      <c r="U57" s="5">
        <v>114.8</v>
      </c>
      <c r="V57" s="5">
        <v>111.6</v>
      </c>
      <c r="W57" s="5">
        <v>114.9</v>
      </c>
      <c r="X57" s="5">
        <v>111.5</v>
      </c>
      <c r="Y57" s="5">
        <v>113</v>
      </c>
      <c r="Z57" s="5">
        <v>112.4</v>
      </c>
      <c r="AA57" s="5">
        <v>117.8</v>
      </c>
      <c r="AB57" s="5">
        <v>109.7</v>
      </c>
      <c r="AC57" s="5">
        <v>113.5</v>
      </c>
      <c r="AD57" s="12">
        <v>118.9</v>
      </c>
      <c r="AE57" s="26">
        <f>COUNTIFS($A$2:$A$379,A57,$B$2:$B$379,B58,$C$2:$C$379,C57)</f>
        <v>1</v>
      </c>
    </row>
    <row r="58" spans="1:31">
      <c r="A58" s="11" t="s">
        <v>69</v>
      </c>
      <c r="B58" s="5">
        <v>2014</v>
      </c>
      <c r="C58" s="5" t="s">
        <v>75</v>
      </c>
      <c r="D58" s="5">
        <v>122.4</v>
      </c>
      <c r="E58" s="5">
        <v>123.9</v>
      </c>
      <c r="F58" s="5">
        <v>117.8</v>
      </c>
      <c r="G58" s="5">
        <v>121</v>
      </c>
      <c r="H58" s="5">
        <v>107.9</v>
      </c>
      <c r="I58" s="5">
        <v>131.19999999999999</v>
      </c>
      <c r="J58" s="5">
        <v>157.69999999999999</v>
      </c>
      <c r="K58" s="5">
        <v>113.2</v>
      </c>
      <c r="L58" s="5">
        <v>104.1</v>
      </c>
      <c r="M58" s="5">
        <v>115.5</v>
      </c>
      <c r="N58" s="5">
        <v>114.8</v>
      </c>
      <c r="O58" s="5">
        <v>122.1</v>
      </c>
      <c r="P58" s="5">
        <v>124.7</v>
      </c>
      <c r="Q58" s="5">
        <v>118.8</v>
      </c>
      <c r="R58" s="5">
        <v>119.6</v>
      </c>
      <c r="S58" s="5">
        <v>116.3</v>
      </c>
      <c r="T58" s="5">
        <v>119.1</v>
      </c>
      <c r="U58" s="5">
        <v>114.8</v>
      </c>
      <c r="V58" s="5">
        <v>113.9</v>
      </c>
      <c r="W58" s="5">
        <v>115.2</v>
      </c>
      <c r="X58" s="5">
        <v>112.7</v>
      </c>
      <c r="Y58" s="5">
        <v>113.1</v>
      </c>
      <c r="Z58" s="5">
        <v>112.1</v>
      </c>
      <c r="AA58" s="5">
        <v>116.8</v>
      </c>
      <c r="AB58" s="5">
        <v>109.2</v>
      </c>
      <c r="AC58" s="5">
        <v>113.3</v>
      </c>
      <c r="AD58" s="12">
        <v>119.2</v>
      </c>
      <c r="AE58" s="26">
        <f>COUNTIFS($A$2:$A$379,A58,$B$2:$B$379,B59,$C$2:$C$379,C58)</f>
        <v>1</v>
      </c>
    </row>
    <row r="59" spans="1:31">
      <c r="A59" s="11" t="s">
        <v>65</v>
      </c>
      <c r="B59" s="5">
        <v>2014</v>
      </c>
      <c r="C59" s="5" t="s">
        <v>76</v>
      </c>
      <c r="D59" s="5">
        <v>121.8</v>
      </c>
      <c r="E59" s="5">
        <v>122.8</v>
      </c>
      <c r="F59" s="5">
        <v>117.8</v>
      </c>
      <c r="G59" s="5">
        <v>121.9</v>
      </c>
      <c r="H59" s="5">
        <v>110.6</v>
      </c>
      <c r="I59" s="5">
        <v>129.69999999999999</v>
      </c>
      <c r="J59" s="5">
        <v>161.1</v>
      </c>
      <c r="K59" s="5">
        <v>114.1</v>
      </c>
      <c r="L59" s="5">
        <v>105.1</v>
      </c>
      <c r="M59" s="5">
        <v>114.6</v>
      </c>
      <c r="N59" s="5">
        <v>115.8</v>
      </c>
      <c r="O59" s="5">
        <v>121.7</v>
      </c>
      <c r="P59" s="5">
        <v>125.3</v>
      </c>
      <c r="Q59" s="5">
        <v>118.8</v>
      </c>
      <c r="R59" s="5">
        <v>120.9</v>
      </c>
      <c r="S59" s="5">
        <v>118.8</v>
      </c>
      <c r="T59" s="5">
        <v>120.7</v>
      </c>
      <c r="U59" s="5" t="s">
        <v>67</v>
      </c>
      <c r="V59" s="5">
        <v>115.4</v>
      </c>
      <c r="W59" s="5">
        <v>115.9</v>
      </c>
      <c r="X59" s="5">
        <v>114</v>
      </c>
      <c r="Y59" s="5">
        <v>113.2</v>
      </c>
      <c r="Z59" s="5">
        <v>112.2</v>
      </c>
      <c r="AA59" s="5">
        <v>116.2</v>
      </c>
      <c r="AB59" s="5">
        <v>109.4</v>
      </c>
      <c r="AC59" s="5">
        <v>113.5</v>
      </c>
      <c r="AD59" s="12">
        <v>120.7</v>
      </c>
      <c r="AE59" s="26">
        <f>COUNTIFS($A$2:$A$379,A59,$B$2:$B$379,B60,$C$2:$C$379,C59)</f>
        <v>1</v>
      </c>
    </row>
    <row r="60" spans="1:31">
      <c r="A60" s="11" t="s">
        <v>68</v>
      </c>
      <c r="B60" s="5">
        <v>2014</v>
      </c>
      <c r="C60" s="5" t="s">
        <v>76</v>
      </c>
      <c r="D60" s="5">
        <v>124.8</v>
      </c>
      <c r="E60" s="5">
        <v>127.3</v>
      </c>
      <c r="F60" s="5">
        <v>116.5</v>
      </c>
      <c r="G60" s="5">
        <v>122.2</v>
      </c>
      <c r="H60" s="5">
        <v>103.6</v>
      </c>
      <c r="I60" s="5">
        <v>132.69999999999999</v>
      </c>
      <c r="J60" s="5">
        <v>181.9</v>
      </c>
      <c r="K60" s="5">
        <v>115.2</v>
      </c>
      <c r="L60" s="5">
        <v>102.7</v>
      </c>
      <c r="M60" s="5">
        <v>122.1</v>
      </c>
      <c r="N60" s="5">
        <v>114.4</v>
      </c>
      <c r="O60" s="5">
        <v>124.7</v>
      </c>
      <c r="P60" s="5">
        <v>128.9</v>
      </c>
      <c r="Q60" s="5">
        <v>123</v>
      </c>
      <c r="R60" s="5">
        <v>118.6</v>
      </c>
      <c r="S60" s="5">
        <v>114.1</v>
      </c>
      <c r="T60" s="5">
        <v>117.9</v>
      </c>
      <c r="U60" s="5">
        <v>115.5</v>
      </c>
      <c r="V60" s="5">
        <v>111.8</v>
      </c>
      <c r="W60" s="5">
        <v>115.3</v>
      </c>
      <c r="X60" s="5">
        <v>112.2</v>
      </c>
      <c r="Y60" s="5">
        <v>112.5</v>
      </c>
      <c r="Z60" s="5">
        <v>112.9</v>
      </c>
      <c r="AA60" s="5">
        <v>119.2</v>
      </c>
      <c r="AB60" s="5">
        <v>110.5</v>
      </c>
      <c r="AC60" s="5">
        <v>113.9</v>
      </c>
      <c r="AD60" s="12">
        <v>119.9</v>
      </c>
      <c r="AE60" s="26">
        <f>COUNTIFS($A$2:$A$379,A60,$B$2:$B$379,B61,$C$2:$C$379,C60)</f>
        <v>1</v>
      </c>
    </row>
    <row r="61" spans="1:31">
      <c r="A61" s="11" t="s">
        <v>69</v>
      </c>
      <c r="B61" s="5">
        <v>2014</v>
      </c>
      <c r="C61" s="5" t="s">
        <v>76</v>
      </c>
      <c r="D61" s="5">
        <v>122.7</v>
      </c>
      <c r="E61" s="5">
        <v>124.4</v>
      </c>
      <c r="F61" s="5">
        <v>117.3</v>
      </c>
      <c r="G61" s="5">
        <v>122</v>
      </c>
      <c r="H61" s="5">
        <v>108</v>
      </c>
      <c r="I61" s="5">
        <v>131.1</v>
      </c>
      <c r="J61" s="5">
        <v>168.2</v>
      </c>
      <c r="K61" s="5">
        <v>114.5</v>
      </c>
      <c r="L61" s="5">
        <v>104.3</v>
      </c>
      <c r="M61" s="5">
        <v>117.1</v>
      </c>
      <c r="N61" s="5">
        <v>115.2</v>
      </c>
      <c r="O61" s="5">
        <v>123.1</v>
      </c>
      <c r="P61" s="5">
        <v>126.6</v>
      </c>
      <c r="Q61" s="5">
        <v>119.9</v>
      </c>
      <c r="R61" s="5">
        <v>120</v>
      </c>
      <c r="S61" s="5">
        <v>116.8</v>
      </c>
      <c r="T61" s="5">
        <v>119.6</v>
      </c>
      <c r="U61" s="5">
        <v>115.5</v>
      </c>
      <c r="V61" s="5">
        <v>114</v>
      </c>
      <c r="W61" s="5">
        <v>115.6</v>
      </c>
      <c r="X61" s="5">
        <v>113.3</v>
      </c>
      <c r="Y61" s="5">
        <v>112.8</v>
      </c>
      <c r="Z61" s="5">
        <v>112.6</v>
      </c>
      <c r="AA61" s="5">
        <v>118</v>
      </c>
      <c r="AB61" s="5">
        <v>109.9</v>
      </c>
      <c r="AC61" s="5">
        <v>113.7</v>
      </c>
      <c r="AD61" s="12">
        <v>120.3</v>
      </c>
      <c r="AE61" s="26">
        <f>COUNTIFS($A$2:$A$379,A61,$B$2:$B$379,B62,$C$2:$C$379,C61)</f>
        <v>1</v>
      </c>
    </row>
    <row r="62" spans="1:31">
      <c r="A62" s="11" t="s">
        <v>65</v>
      </c>
      <c r="B62" s="5">
        <v>2014</v>
      </c>
      <c r="C62" s="5" t="s">
        <v>77</v>
      </c>
      <c r="D62" s="5">
        <v>122.3</v>
      </c>
      <c r="E62" s="5">
        <v>122.4</v>
      </c>
      <c r="F62" s="5">
        <v>117.8</v>
      </c>
      <c r="G62" s="5">
        <v>122.7</v>
      </c>
      <c r="H62" s="5">
        <v>110.4</v>
      </c>
      <c r="I62" s="5">
        <v>129.80000000000001</v>
      </c>
      <c r="J62" s="5">
        <v>158.80000000000001</v>
      </c>
      <c r="K62" s="5">
        <v>115</v>
      </c>
      <c r="L62" s="5">
        <v>104.7</v>
      </c>
      <c r="M62" s="5">
        <v>114.9</v>
      </c>
      <c r="N62" s="5">
        <v>116.5</v>
      </c>
      <c r="O62" s="5">
        <v>122.6</v>
      </c>
      <c r="P62" s="5">
        <v>125.3</v>
      </c>
      <c r="Q62" s="5">
        <v>119.5</v>
      </c>
      <c r="R62" s="5">
        <v>121.7</v>
      </c>
      <c r="S62" s="5">
        <v>119.2</v>
      </c>
      <c r="T62" s="5">
        <v>121.3</v>
      </c>
      <c r="U62" s="5" t="s">
        <v>67</v>
      </c>
      <c r="V62" s="5">
        <v>115.8</v>
      </c>
      <c r="W62" s="5">
        <v>116.7</v>
      </c>
      <c r="X62" s="5">
        <v>114.5</v>
      </c>
      <c r="Y62" s="5">
        <v>112.8</v>
      </c>
      <c r="Z62" s="5">
        <v>112.6</v>
      </c>
      <c r="AA62" s="5">
        <v>116.6</v>
      </c>
      <c r="AB62" s="5">
        <v>109.1</v>
      </c>
      <c r="AC62" s="5">
        <v>113.7</v>
      </c>
      <c r="AD62" s="12">
        <v>120.9</v>
      </c>
      <c r="AE62" s="26">
        <f>COUNTIFS($A$2:$A$379,A62,$B$2:$B$379,B63,$C$2:$C$379,C62)</f>
        <v>1</v>
      </c>
    </row>
    <row r="63" spans="1:31">
      <c r="A63" s="11" t="s">
        <v>68</v>
      </c>
      <c r="B63" s="5">
        <v>2014</v>
      </c>
      <c r="C63" s="5" t="s">
        <v>77</v>
      </c>
      <c r="D63" s="5">
        <v>124.2</v>
      </c>
      <c r="E63" s="5">
        <v>125.4</v>
      </c>
      <c r="F63" s="5">
        <v>116.4</v>
      </c>
      <c r="G63" s="5">
        <v>122.7</v>
      </c>
      <c r="H63" s="5">
        <v>103.5</v>
      </c>
      <c r="I63" s="5">
        <v>124.5</v>
      </c>
      <c r="J63" s="5">
        <v>168.6</v>
      </c>
      <c r="K63" s="5">
        <v>116.9</v>
      </c>
      <c r="L63" s="5">
        <v>101.9</v>
      </c>
      <c r="M63" s="5">
        <v>122.9</v>
      </c>
      <c r="N63" s="5">
        <v>114.8</v>
      </c>
      <c r="O63" s="5">
        <v>125.2</v>
      </c>
      <c r="P63" s="5">
        <v>126.7</v>
      </c>
      <c r="Q63" s="5">
        <v>124.3</v>
      </c>
      <c r="R63" s="5">
        <v>119.2</v>
      </c>
      <c r="S63" s="5">
        <v>114.5</v>
      </c>
      <c r="T63" s="5">
        <v>118.4</v>
      </c>
      <c r="U63" s="5">
        <v>116.1</v>
      </c>
      <c r="V63" s="5">
        <v>111.8</v>
      </c>
      <c r="W63" s="5">
        <v>115.5</v>
      </c>
      <c r="X63" s="5">
        <v>112.3</v>
      </c>
      <c r="Y63" s="5">
        <v>111.2</v>
      </c>
      <c r="Z63" s="5">
        <v>113.4</v>
      </c>
      <c r="AA63" s="5">
        <v>120</v>
      </c>
      <c r="AB63" s="5">
        <v>110</v>
      </c>
      <c r="AC63" s="5">
        <v>113.6</v>
      </c>
      <c r="AD63" s="12">
        <v>119.2</v>
      </c>
      <c r="AE63" s="26">
        <f>COUNTIFS($A$2:$A$379,A63,$B$2:$B$379,B64,$C$2:$C$379,C63)</f>
        <v>1</v>
      </c>
    </row>
    <row r="64" spans="1:31">
      <c r="A64" s="11" t="s">
        <v>69</v>
      </c>
      <c r="B64" s="5">
        <v>2014</v>
      </c>
      <c r="C64" s="5" t="s">
        <v>77</v>
      </c>
      <c r="D64" s="5">
        <v>122.9</v>
      </c>
      <c r="E64" s="5">
        <v>123.5</v>
      </c>
      <c r="F64" s="5">
        <v>117.3</v>
      </c>
      <c r="G64" s="5">
        <v>122.7</v>
      </c>
      <c r="H64" s="5">
        <v>107.9</v>
      </c>
      <c r="I64" s="5">
        <v>127.3</v>
      </c>
      <c r="J64" s="5">
        <v>162.1</v>
      </c>
      <c r="K64" s="5">
        <v>115.6</v>
      </c>
      <c r="L64" s="5">
        <v>103.8</v>
      </c>
      <c r="M64" s="5">
        <v>117.6</v>
      </c>
      <c r="N64" s="5">
        <v>115.8</v>
      </c>
      <c r="O64" s="5">
        <v>123.8</v>
      </c>
      <c r="P64" s="5">
        <v>125.8</v>
      </c>
      <c r="Q64" s="5">
        <v>120.8</v>
      </c>
      <c r="R64" s="5">
        <v>120.7</v>
      </c>
      <c r="S64" s="5">
        <v>117.2</v>
      </c>
      <c r="T64" s="5">
        <v>120.1</v>
      </c>
      <c r="U64" s="5">
        <v>116.1</v>
      </c>
      <c r="V64" s="5">
        <v>114.3</v>
      </c>
      <c r="W64" s="5">
        <v>116.1</v>
      </c>
      <c r="X64" s="5">
        <v>113.7</v>
      </c>
      <c r="Y64" s="5">
        <v>112</v>
      </c>
      <c r="Z64" s="5">
        <v>113.1</v>
      </c>
      <c r="AA64" s="5">
        <v>118.6</v>
      </c>
      <c r="AB64" s="5">
        <v>109.5</v>
      </c>
      <c r="AC64" s="5">
        <v>113.7</v>
      </c>
      <c r="AD64" s="12">
        <v>120.1</v>
      </c>
      <c r="AE64" s="26">
        <f>COUNTIFS($A$2:$A$379,A64,$B$2:$B$379,B65,$C$2:$C$379,C64)</f>
        <v>1</v>
      </c>
    </row>
    <row r="65" spans="1:31">
      <c r="A65" s="11" t="s">
        <v>65</v>
      </c>
      <c r="B65" s="5">
        <v>2014</v>
      </c>
      <c r="C65" s="5" t="s">
        <v>78</v>
      </c>
      <c r="D65" s="5">
        <v>122.6</v>
      </c>
      <c r="E65" s="5">
        <v>122.5</v>
      </c>
      <c r="F65" s="5">
        <v>118.3</v>
      </c>
      <c r="G65" s="5">
        <v>123.2</v>
      </c>
      <c r="H65" s="5">
        <v>110.5</v>
      </c>
      <c r="I65" s="5">
        <v>128.9</v>
      </c>
      <c r="J65" s="5">
        <v>155.30000000000001</v>
      </c>
      <c r="K65" s="5">
        <v>115.5</v>
      </c>
      <c r="L65" s="5">
        <v>104</v>
      </c>
      <c r="M65" s="5">
        <v>115.3</v>
      </c>
      <c r="N65" s="5">
        <v>116.8</v>
      </c>
      <c r="O65" s="5">
        <v>123.2</v>
      </c>
      <c r="P65" s="5">
        <v>125.1</v>
      </c>
      <c r="Q65" s="5">
        <v>120</v>
      </c>
      <c r="R65" s="5">
        <v>122.7</v>
      </c>
      <c r="S65" s="5">
        <v>120.3</v>
      </c>
      <c r="T65" s="5">
        <v>122.3</v>
      </c>
      <c r="U65" s="5" t="s">
        <v>67</v>
      </c>
      <c r="V65" s="5">
        <v>116.4</v>
      </c>
      <c r="W65" s="5">
        <v>117.5</v>
      </c>
      <c r="X65" s="5">
        <v>115.3</v>
      </c>
      <c r="Y65" s="5">
        <v>112.6</v>
      </c>
      <c r="Z65" s="5">
        <v>113</v>
      </c>
      <c r="AA65" s="5">
        <v>116.9</v>
      </c>
      <c r="AB65" s="5">
        <v>109.3</v>
      </c>
      <c r="AC65" s="5">
        <v>114</v>
      </c>
      <c r="AD65" s="12">
        <v>121</v>
      </c>
      <c r="AE65" s="26">
        <f>COUNTIFS($A$2:$A$379,A65,$B$2:$B$379,B66,$C$2:$C$379,C65)</f>
        <v>1</v>
      </c>
    </row>
    <row r="66" spans="1:31">
      <c r="A66" s="11" t="s">
        <v>68</v>
      </c>
      <c r="B66" s="5">
        <v>2014</v>
      </c>
      <c r="C66" s="5" t="s">
        <v>78</v>
      </c>
      <c r="D66" s="5">
        <v>124.6</v>
      </c>
      <c r="E66" s="5">
        <v>126.1</v>
      </c>
      <c r="F66" s="5">
        <v>117.8</v>
      </c>
      <c r="G66" s="5">
        <v>123.1</v>
      </c>
      <c r="H66" s="5">
        <v>103.5</v>
      </c>
      <c r="I66" s="5">
        <v>123.5</v>
      </c>
      <c r="J66" s="5">
        <v>159.6</v>
      </c>
      <c r="K66" s="5">
        <v>117.4</v>
      </c>
      <c r="L66" s="5">
        <v>101.2</v>
      </c>
      <c r="M66" s="5">
        <v>123.8</v>
      </c>
      <c r="N66" s="5">
        <v>115.2</v>
      </c>
      <c r="O66" s="5">
        <v>125.9</v>
      </c>
      <c r="P66" s="5">
        <v>125.8</v>
      </c>
      <c r="Q66" s="5">
        <v>124.3</v>
      </c>
      <c r="R66" s="5">
        <v>119.6</v>
      </c>
      <c r="S66" s="5">
        <v>114.9</v>
      </c>
      <c r="T66" s="5">
        <v>118.9</v>
      </c>
      <c r="U66" s="5">
        <v>116.7</v>
      </c>
      <c r="V66" s="5">
        <v>112</v>
      </c>
      <c r="W66" s="5">
        <v>115.8</v>
      </c>
      <c r="X66" s="5">
        <v>112.6</v>
      </c>
      <c r="Y66" s="5">
        <v>111</v>
      </c>
      <c r="Z66" s="5">
        <v>113.6</v>
      </c>
      <c r="AA66" s="5">
        <v>120.2</v>
      </c>
      <c r="AB66" s="5">
        <v>110.1</v>
      </c>
      <c r="AC66" s="5">
        <v>113.7</v>
      </c>
      <c r="AD66" s="12">
        <v>119.1</v>
      </c>
      <c r="AE66" s="26">
        <f>COUNTIFS($A$2:$A$379,A66,$B$2:$B$379,B67,$C$2:$C$379,C66)</f>
        <v>1</v>
      </c>
    </row>
    <row r="67" spans="1:31">
      <c r="A67" s="11" t="s">
        <v>69</v>
      </c>
      <c r="B67" s="5">
        <v>2014</v>
      </c>
      <c r="C67" s="5" t="s">
        <v>78</v>
      </c>
      <c r="D67" s="5">
        <v>123.2</v>
      </c>
      <c r="E67" s="5">
        <v>123.8</v>
      </c>
      <c r="F67" s="5">
        <v>118.1</v>
      </c>
      <c r="G67" s="5">
        <v>123.2</v>
      </c>
      <c r="H67" s="5">
        <v>107.9</v>
      </c>
      <c r="I67" s="5">
        <v>126.4</v>
      </c>
      <c r="J67" s="5">
        <v>156.80000000000001</v>
      </c>
      <c r="K67" s="5">
        <v>116.1</v>
      </c>
      <c r="L67" s="5">
        <v>103.1</v>
      </c>
      <c r="M67" s="5">
        <v>118.1</v>
      </c>
      <c r="N67" s="5">
        <v>116.1</v>
      </c>
      <c r="O67" s="5">
        <v>124.5</v>
      </c>
      <c r="P67" s="5">
        <v>125.4</v>
      </c>
      <c r="Q67" s="5">
        <v>121.1</v>
      </c>
      <c r="R67" s="5">
        <v>121.5</v>
      </c>
      <c r="S67" s="5">
        <v>118.1</v>
      </c>
      <c r="T67" s="5">
        <v>121</v>
      </c>
      <c r="U67" s="5">
        <v>116.7</v>
      </c>
      <c r="V67" s="5">
        <v>114.7</v>
      </c>
      <c r="W67" s="5">
        <v>116.7</v>
      </c>
      <c r="X67" s="5">
        <v>114.3</v>
      </c>
      <c r="Y67" s="5">
        <v>111.8</v>
      </c>
      <c r="Z67" s="5">
        <v>113.3</v>
      </c>
      <c r="AA67" s="5">
        <v>118.8</v>
      </c>
      <c r="AB67" s="5">
        <v>109.6</v>
      </c>
      <c r="AC67" s="5">
        <v>113.9</v>
      </c>
      <c r="AD67" s="12">
        <v>120.1</v>
      </c>
      <c r="AE67" s="26">
        <f>COUNTIFS($A$2:$A$379,A67,$B$2:$B$379,B68,$C$2:$C$379,C67)</f>
        <v>1</v>
      </c>
    </row>
    <row r="68" spans="1:31">
      <c r="A68" s="11" t="s">
        <v>65</v>
      </c>
      <c r="B68" s="5">
        <v>2014</v>
      </c>
      <c r="C68" s="5" t="s">
        <v>79</v>
      </c>
      <c r="D68" s="5">
        <v>122.7</v>
      </c>
      <c r="E68" s="5">
        <v>122.6</v>
      </c>
      <c r="F68" s="5">
        <v>119.9</v>
      </c>
      <c r="G68" s="5">
        <v>124</v>
      </c>
      <c r="H68" s="5">
        <v>110.5</v>
      </c>
      <c r="I68" s="5">
        <v>128.80000000000001</v>
      </c>
      <c r="J68" s="5">
        <v>152</v>
      </c>
      <c r="K68" s="5">
        <v>116.2</v>
      </c>
      <c r="L68" s="5">
        <v>103.3</v>
      </c>
      <c r="M68" s="5">
        <v>115.8</v>
      </c>
      <c r="N68" s="5">
        <v>116.8</v>
      </c>
      <c r="O68" s="5">
        <v>124.5</v>
      </c>
      <c r="P68" s="5">
        <v>124.9</v>
      </c>
      <c r="Q68" s="5">
        <v>120.8</v>
      </c>
      <c r="R68" s="5">
        <v>123.3</v>
      </c>
      <c r="S68" s="5">
        <v>120.5</v>
      </c>
      <c r="T68" s="5">
        <v>122.9</v>
      </c>
      <c r="U68" s="5" t="s">
        <v>67</v>
      </c>
      <c r="V68" s="5">
        <v>117.3</v>
      </c>
      <c r="W68" s="5">
        <v>118.1</v>
      </c>
      <c r="X68" s="5">
        <v>115.9</v>
      </c>
      <c r="Y68" s="5">
        <v>112</v>
      </c>
      <c r="Z68" s="5">
        <v>113.3</v>
      </c>
      <c r="AA68" s="5">
        <v>117.2</v>
      </c>
      <c r="AB68" s="5">
        <v>108.8</v>
      </c>
      <c r="AC68" s="5">
        <v>114.1</v>
      </c>
      <c r="AD68" s="12">
        <v>121.1</v>
      </c>
      <c r="AE68" s="26">
        <f>COUNTIFS($A$2:$A$379,A68,$B$2:$B$379,B69,$C$2:$C$379,C68)</f>
        <v>1</v>
      </c>
    </row>
    <row r="69" spans="1:31">
      <c r="A69" s="11" t="s">
        <v>68</v>
      </c>
      <c r="B69" s="5">
        <v>2014</v>
      </c>
      <c r="C69" s="5" t="s">
        <v>79</v>
      </c>
      <c r="D69" s="5">
        <v>124.5</v>
      </c>
      <c r="E69" s="5">
        <v>125.6</v>
      </c>
      <c r="F69" s="5">
        <v>122.7</v>
      </c>
      <c r="G69" s="5">
        <v>124.6</v>
      </c>
      <c r="H69" s="5">
        <v>103.2</v>
      </c>
      <c r="I69" s="5">
        <v>122.2</v>
      </c>
      <c r="J69" s="5">
        <v>153.19999999999999</v>
      </c>
      <c r="K69" s="5">
        <v>119.3</v>
      </c>
      <c r="L69" s="5">
        <v>99.8</v>
      </c>
      <c r="M69" s="5">
        <v>124.6</v>
      </c>
      <c r="N69" s="5">
        <v>115.8</v>
      </c>
      <c r="O69" s="5">
        <v>126.9</v>
      </c>
      <c r="P69" s="5">
        <v>125.4</v>
      </c>
      <c r="Q69" s="5">
        <v>125.8</v>
      </c>
      <c r="R69" s="5">
        <v>120.3</v>
      </c>
      <c r="S69" s="5">
        <v>115.4</v>
      </c>
      <c r="T69" s="5">
        <v>119.5</v>
      </c>
      <c r="U69" s="5">
        <v>117.1</v>
      </c>
      <c r="V69" s="5">
        <v>112.6</v>
      </c>
      <c r="W69" s="5">
        <v>116.4</v>
      </c>
      <c r="X69" s="5">
        <v>113</v>
      </c>
      <c r="Y69" s="5">
        <v>109.7</v>
      </c>
      <c r="Z69" s="5">
        <v>114</v>
      </c>
      <c r="AA69" s="5">
        <v>120.3</v>
      </c>
      <c r="AB69" s="5">
        <v>109.6</v>
      </c>
      <c r="AC69" s="5">
        <v>113.4</v>
      </c>
      <c r="AD69" s="12">
        <v>119</v>
      </c>
      <c r="AE69" s="26">
        <f>COUNTIFS($A$2:$A$379,A69,$B$2:$B$379,B70,$C$2:$C$379,C69)</f>
        <v>1</v>
      </c>
    </row>
    <row r="70" spans="1:31">
      <c r="A70" s="11" t="s">
        <v>69</v>
      </c>
      <c r="B70" s="5">
        <v>2014</v>
      </c>
      <c r="C70" s="5" t="s">
        <v>79</v>
      </c>
      <c r="D70" s="5">
        <v>123.3</v>
      </c>
      <c r="E70" s="5">
        <v>123.7</v>
      </c>
      <c r="F70" s="5">
        <v>121</v>
      </c>
      <c r="G70" s="5">
        <v>124.2</v>
      </c>
      <c r="H70" s="5">
        <v>107.8</v>
      </c>
      <c r="I70" s="5">
        <v>125.7</v>
      </c>
      <c r="J70" s="5">
        <v>152.4</v>
      </c>
      <c r="K70" s="5">
        <v>117.2</v>
      </c>
      <c r="L70" s="5">
        <v>102.1</v>
      </c>
      <c r="M70" s="5">
        <v>118.7</v>
      </c>
      <c r="N70" s="5">
        <v>116.4</v>
      </c>
      <c r="O70" s="5">
        <v>125.6</v>
      </c>
      <c r="P70" s="5">
        <v>125.1</v>
      </c>
      <c r="Q70" s="5">
        <v>122.1</v>
      </c>
      <c r="R70" s="5">
        <v>122.1</v>
      </c>
      <c r="S70" s="5">
        <v>118.4</v>
      </c>
      <c r="T70" s="5">
        <v>121.6</v>
      </c>
      <c r="U70" s="5">
        <v>117.1</v>
      </c>
      <c r="V70" s="5">
        <v>115.5</v>
      </c>
      <c r="W70" s="5">
        <v>117.3</v>
      </c>
      <c r="X70" s="5">
        <v>114.8</v>
      </c>
      <c r="Y70" s="5">
        <v>110.8</v>
      </c>
      <c r="Z70" s="5">
        <v>113.7</v>
      </c>
      <c r="AA70" s="5">
        <v>119</v>
      </c>
      <c r="AB70" s="5">
        <v>109.1</v>
      </c>
      <c r="AC70" s="5">
        <v>113.8</v>
      </c>
      <c r="AD70" s="12">
        <v>120.1</v>
      </c>
      <c r="AE70" s="26">
        <f>COUNTIFS($A$2:$A$379,A70,$B$2:$B$379,B71,$C$2:$C$379,C70)</f>
        <v>1</v>
      </c>
    </row>
    <row r="71" spans="1:31">
      <c r="A71" s="11" t="s">
        <v>65</v>
      </c>
      <c r="B71" s="5">
        <v>2014</v>
      </c>
      <c r="C71" s="5" t="s">
        <v>80</v>
      </c>
      <c r="D71" s="5">
        <v>122.4</v>
      </c>
      <c r="E71" s="5">
        <v>122.4</v>
      </c>
      <c r="F71" s="5">
        <v>121.8</v>
      </c>
      <c r="G71" s="5">
        <v>124.2</v>
      </c>
      <c r="H71" s="5">
        <v>110.2</v>
      </c>
      <c r="I71" s="5">
        <v>128.6</v>
      </c>
      <c r="J71" s="5">
        <v>140.30000000000001</v>
      </c>
      <c r="K71" s="5">
        <v>116.3</v>
      </c>
      <c r="L71" s="5">
        <v>102</v>
      </c>
      <c r="M71" s="5">
        <v>116</v>
      </c>
      <c r="N71" s="5">
        <v>117.3</v>
      </c>
      <c r="O71" s="5">
        <v>124.8</v>
      </c>
      <c r="P71" s="5">
        <v>123.3</v>
      </c>
      <c r="Q71" s="5">
        <v>121.7</v>
      </c>
      <c r="R71" s="5">
        <v>123.8</v>
      </c>
      <c r="S71" s="5">
        <v>120.6</v>
      </c>
      <c r="T71" s="5">
        <v>123.3</v>
      </c>
      <c r="U71" s="5" t="s">
        <v>67</v>
      </c>
      <c r="V71" s="5">
        <v>117.4</v>
      </c>
      <c r="W71" s="5">
        <v>118.2</v>
      </c>
      <c r="X71" s="5">
        <v>116.2</v>
      </c>
      <c r="Y71" s="5">
        <v>111.5</v>
      </c>
      <c r="Z71" s="5">
        <v>113.3</v>
      </c>
      <c r="AA71" s="5">
        <v>117.7</v>
      </c>
      <c r="AB71" s="5">
        <v>109.4</v>
      </c>
      <c r="AC71" s="5">
        <v>114.2</v>
      </c>
      <c r="AD71" s="12">
        <v>120.3</v>
      </c>
      <c r="AE71" s="26">
        <f>COUNTIFS($A$2:$A$379,A71,$B$2:$B$379,B72,$C$2:$C$379,C71)</f>
        <v>1</v>
      </c>
    </row>
    <row r="72" spans="1:31">
      <c r="A72" s="11" t="s">
        <v>68</v>
      </c>
      <c r="B72" s="5">
        <v>2014</v>
      </c>
      <c r="C72" s="5" t="s">
        <v>80</v>
      </c>
      <c r="D72" s="5">
        <v>124</v>
      </c>
      <c r="E72" s="5">
        <v>124.7</v>
      </c>
      <c r="F72" s="5">
        <v>126.3</v>
      </c>
      <c r="G72" s="5">
        <v>124.9</v>
      </c>
      <c r="H72" s="5">
        <v>103</v>
      </c>
      <c r="I72" s="5">
        <v>122.3</v>
      </c>
      <c r="J72" s="5">
        <v>141</v>
      </c>
      <c r="K72" s="5">
        <v>120.1</v>
      </c>
      <c r="L72" s="5">
        <v>97.8</v>
      </c>
      <c r="M72" s="5">
        <v>125.4</v>
      </c>
      <c r="N72" s="5">
        <v>116.1</v>
      </c>
      <c r="O72" s="5">
        <v>127.6</v>
      </c>
      <c r="P72" s="5">
        <v>124</v>
      </c>
      <c r="Q72" s="5">
        <v>126.4</v>
      </c>
      <c r="R72" s="5">
        <v>120.7</v>
      </c>
      <c r="S72" s="5">
        <v>115.8</v>
      </c>
      <c r="T72" s="5">
        <v>120</v>
      </c>
      <c r="U72" s="5">
        <v>116.5</v>
      </c>
      <c r="V72" s="5">
        <v>113</v>
      </c>
      <c r="W72" s="5">
        <v>116.8</v>
      </c>
      <c r="X72" s="5">
        <v>113.2</v>
      </c>
      <c r="Y72" s="5">
        <v>108.8</v>
      </c>
      <c r="Z72" s="5">
        <v>114.3</v>
      </c>
      <c r="AA72" s="5">
        <v>120.7</v>
      </c>
      <c r="AB72" s="5">
        <v>110.4</v>
      </c>
      <c r="AC72" s="5">
        <v>113.4</v>
      </c>
      <c r="AD72" s="12">
        <v>118.4</v>
      </c>
      <c r="AE72" s="26">
        <f>COUNTIFS($A$2:$A$379,A72,$B$2:$B$379,B73,$C$2:$C$379,C72)</f>
        <v>1</v>
      </c>
    </row>
    <row r="73" spans="1:31">
      <c r="A73" s="11" t="s">
        <v>69</v>
      </c>
      <c r="B73" s="5">
        <v>2014</v>
      </c>
      <c r="C73" s="5" t="s">
        <v>80</v>
      </c>
      <c r="D73" s="5">
        <v>122.9</v>
      </c>
      <c r="E73" s="5">
        <v>123.2</v>
      </c>
      <c r="F73" s="5">
        <v>123.5</v>
      </c>
      <c r="G73" s="5">
        <v>124.5</v>
      </c>
      <c r="H73" s="5">
        <v>107.6</v>
      </c>
      <c r="I73" s="5">
        <v>125.7</v>
      </c>
      <c r="J73" s="5">
        <v>140.5</v>
      </c>
      <c r="K73" s="5">
        <v>117.6</v>
      </c>
      <c r="L73" s="5">
        <v>100.6</v>
      </c>
      <c r="M73" s="5">
        <v>119.1</v>
      </c>
      <c r="N73" s="5">
        <v>116.8</v>
      </c>
      <c r="O73" s="5">
        <v>126.1</v>
      </c>
      <c r="P73" s="5">
        <v>123.6</v>
      </c>
      <c r="Q73" s="5">
        <v>123</v>
      </c>
      <c r="R73" s="5">
        <v>122.6</v>
      </c>
      <c r="S73" s="5">
        <v>118.6</v>
      </c>
      <c r="T73" s="5">
        <v>122</v>
      </c>
      <c r="U73" s="5">
        <v>116.5</v>
      </c>
      <c r="V73" s="5">
        <v>115.7</v>
      </c>
      <c r="W73" s="5">
        <v>117.5</v>
      </c>
      <c r="X73" s="5">
        <v>115.1</v>
      </c>
      <c r="Y73" s="5">
        <v>110.1</v>
      </c>
      <c r="Z73" s="5">
        <v>113.9</v>
      </c>
      <c r="AA73" s="5">
        <v>119.5</v>
      </c>
      <c r="AB73" s="5">
        <v>109.8</v>
      </c>
      <c r="AC73" s="5">
        <v>113.8</v>
      </c>
      <c r="AD73" s="12">
        <v>119.4</v>
      </c>
      <c r="AE73" s="26">
        <f>COUNTIFS($A$2:$A$379,A73,$B$2:$B$379,B74,$C$2:$C$379,C73)</f>
        <v>1</v>
      </c>
    </row>
    <row r="74" spans="1:31">
      <c r="A74" s="11" t="s">
        <v>65</v>
      </c>
      <c r="B74" s="5">
        <v>2015</v>
      </c>
      <c r="C74" s="5" t="s">
        <v>66</v>
      </c>
      <c r="D74" s="5">
        <v>123.1</v>
      </c>
      <c r="E74" s="5">
        <v>123.1</v>
      </c>
      <c r="F74" s="5">
        <v>122.1</v>
      </c>
      <c r="G74" s="5">
        <v>124.9</v>
      </c>
      <c r="H74" s="5">
        <v>111</v>
      </c>
      <c r="I74" s="5">
        <v>130.4</v>
      </c>
      <c r="J74" s="5">
        <v>132.30000000000001</v>
      </c>
      <c r="K74" s="5">
        <v>117.2</v>
      </c>
      <c r="L74" s="5">
        <v>100.5</v>
      </c>
      <c r="M74" s="5">
        <v>117.2</v>
      </c>
      <c r="N74" s="5">
        <v>117.9</v>
      </c>
      <c r="O74" s="5">
        <v>125.6</v>
      </c>
      <c r="P74" s="5">
        <v>122.8</v>
      </c>
      <c r="Q74" s="5">
        <v>122.7</v>
      </c>
      <c r="R74" s="5">
        <v>124.4</v>
      </c>
      <c r="S74" s="5">
        <v>121.6</v>
      </c>
      <c r="T74" s="5">
        <v>124</v>
      </c>
      <c r="U74" s="5" t="s">
        <v>67</v>
      </c>
      <c r="V74" s="5">
        <v>118.4</v>
      </c>
      <c r="W74" s="5">
        <v>118.9</v>
      </c>
      <c r="X74" s="5">
        <v>116.6</v>
      </c>
      <c r="Y74" s="5">
        <v>111</v>
      </c>
      <c r="Z74" s="5">
        <v>114</v>
      </c>
      <c r="AA74" s="5">
        <v>118.2</v>
      </c>
      <c r="AB74" s="5">
        <v>110.2</v>
      </c>
      <c r="AC74" s="5">
        <v>114.5</v>
      </c>
      <c r="AD74" s="12">
        <v>120.3</v>
      </c>
      <c r="AE74" s="26">
        <f>COUNTIFS($A$2:$A$379,A74,$B$2:$B$379,B75,$C$2:$C$379,C74)</f>
        <v>1</v>
      </c>
    </row>
    <row r="75" spans="1:31">
      <c r="A75" s="11" t="s">
        <v>68</v>
      </c>
      <c r="B75" s="5">
        <v>2015</v>
      </c>
      <c r="C75" s="5" t="s">
        <v>66</v>
      </c>
      <c r="D75" s="5">
        <v>124</v>
      </c>
      <c r="E75" s="5">
        <v>125.5</v>
      </c>
      <c r="F75" s="5">
        <v>126.6</v>
      </c>
      <c r="G75" s="5">
        <v>125.2</v>
      </c>
      <c r="H75" s="5">
        <v>104.3</v>
      </c>
      <c r="I75" s="5">
        <v>121.3</v>
      </c>
      <c r="J75" s="5">
        <v>134.4</v>
      </c>
      <c r="K75" s="5">
        <v>122.9</v>
      </c>
      <c r="L75" s="5">
        <v>96.1</v>
      </c>
      <c r="M75" s="5">
        <v>126.6</v>
      </c>
      <c r="N75" s="5">
        <v>116.5</v>
      </c>
      <c r="O75" s="5">
        <v>128</v>
      </c>
      <c r="P75" s="5">
        <v>123.5</v>
      </c>
      <c r="Q75" s="5">
        <v>127.4</v>
      </c>
      <c r="R75" s="5">
        <v>121</v>
      </c>
      <c r="S75" s="5">
        <v>116.1</v>
      </c>
      <c r="T75" s="5">
        <v>120.2</v>
      </c>
      <c r="U75" s="5">
        <v>117.3</v>
      </c>
      <c r="V75" s="5">
        <v>113.4</v>
      </c>
      <c r="W75" s="5">
        <v>117.2</v>
      </c>
      <c r="X75" s="5">
        <v>113.7</v>
      </c>
      <c r="Y75" s="5">
        <v>107.9</v>
      </c>
      <c r="Z75" s="5">
        <v>114.6</v>
      </c>
      <c r="AA75" s="5">
        <v>120.8</v>
      </c>
      <c r="AB75" s="5">
        <v>111.4</v>
      </c>
      <c r="AC75" s="5">
        <v>113.4</v>
      </c>
      <c r="AD75" s="12">
        <v>118.5</v>
      </c>
      <c r="AE75" s="26">
        <f>COUNTIFS($A$2:$A$379,A75,$B$2:$B$379,B76,$C$2:$C$379,C75)</f>
        <v>1</v>
      </c>
    </row>
    <row r="76" spans="1:31">
      <c r="A76" s="11" t="s">
        <v>69</v>
      </c>
      <c r="B76" s="5">
        <v>2015</v>
      </c>
      <c r="C76" s="5" t="s">
        <v>66</v>
      </c>
      <c r="D76" s="5">
        <v>123.4</v>
      </c>
      <c r="E76" s="5">
        <v>123.9</v>
      </c>
      <c r="F76" s="5">
        <v>123.8</v>
      </c>
      <c r="G76" s="5">
        <v>125</v>
      </c>
      <c r="H76" s="5">
        <v>108.5</v>
      </c>
      <c r="I76" s="5">
        <v>126.2</v>
      </c>
      <c r="J76" s="5">
        <v>133</v>
      </c>
      <c r="K76" s="5">
        <v>119.1</v>
      </c>
      <c r="L76" s="5">
        <v>99</v>
      </c>
      <c r="M76" s="5">
        <v>120.3</v>
      </c>
      <c r="N76" s="5">
        <v>117.3</v>
      </c>
      <c r="O76" s="5">
        <v>126.7</v>
      </c>
      <c r="P76" s="5">
        <v>123.1</v>
      </c>
      <c r="Q76" s="5">
        <v>124</v>
      </c>
      <c r="R76" s="5">
        <v>123.1</v>
      </c>
      <c r="S76" s="5">
        <v>119.3</v>
      </c>
      <c r="T76" s="5">
        <v>122.5</v>
      </c>
      <c r="U76" s="5">
        <v>117.3</v>
      </c>
      <c r="V76" s="5">
        <v>116.5</v>
      </c>
      <c r="W76" s="5">
        <v>118.1</v>
      </c>
      <c r="X76" s="5">
        <v>115.5</v>
      </c>
      <c r="Y76" s="5">
        <v>109.4</v>
      </c>
      <c r="Z76" s="5">
        <v>114.3</v>
      </c>
      <c r="AA76" s="5">
        <v>119.7</v>
      </c>
      <c r="AB76" s="5">
        <v>110.7</v>
      </c>
      <c r="AC76" s="5">
        <v>114</v>
      </c>
      <c r="AD76" s="12">
        <v>119.5</v>
      </c>
      <c r="AE76" s="26">
        <f>COUNTIFS($A$2:$A$379,A76,$B$2:$B$379,B77,$C$2:$C$379,C76)</f>
        <v>1</v>
      </c>
    </row>
    <row r="77" spans="1:31">
      <c r="A77" s="11" t="s">
        <v>65</v>
      </c>
      <c r="B77" s="5">
        <v>2015</v>
      </c>
      <c r="C77" s="5" t="s">
        <v>70</v>
      </c>
      <c r="D77" s="5">
        <v>123.4</v>
      </c>
      <c r="E77" s="5">
        <v>124.4</v>
      </c>
      <c r="F77" s="5">
        <v>122.1</v>
      </c>
      <c r="G77" s="5">
        <v>125.8</v>
      </c>
      <c r="H77" s="5">
        <v>111.5</v>
      </c>
      <c r="I77" s="5">
        <v>129.4</v>
      </c>
      <c r="J77" s="5">
        <v>128.19999999999999</v>
      </c>
      <c r="K77" s="5">
        <v>118.8</v>
      </c>
      <c r="L77" s="5">
        <v>100</v>
      </c>
      <c r="M77" s="5">
        <v>118.6</v>
      </c>
      <c r="N77" s="5">
        <v>118.8</v>
      </c>
      <c r="O77" s="5">
        <v>126.8</v>
      </c>
      <c r="P77" s="5">
        <v>122.8</v>
      </c>
      <c r="Q77" s="5">
        <v>124.2</v>
      </c>
      <c r="R77" s="5">
        <v>125.4</v>
      </c>
      <c r="S77" s="5">
        <v>122.7</v>
      </c>
      <c r="T77" s="5">
        <v>125</v>
      </c>
      <c r="U77" s="5" t="s">
        <v>67</v>
      </c>
      <c r="V77" s="5">
        <v>120</v>
      </c>
      <c r="W77" s="5">
        <v>119.6</v>
      </c>
      <c r="X77" s="5">
        <v>117.7</v>
      </c>
      <c r="Y77" s="5">
        <v>110.9</v>
      </c>
      <c r="Z77" s="5">
        <v>114.8</v>
      </c>
      <c r="AA77" s="5">
        <v>118.7</v>
      </c>
      <c r="AB77" s="5">
        <v>110.8</v>
      </c>
      <c r="AC77" s="5">
        <v>115</v>
      </c>
      <c r="AD77" s="12">
        <v>120.6</v>
      </c>
      <c r="AE77" s="26">
        <f>COUNTIFS($A$2:$A$379,A77,$B$2:$B$379,B78,$C$2:$C$379,C77)</f>
        <v>1</v>
      </c>
    </row>
    <row r="78" spans="1:31">
      <c r="A78" s="11" t="s">
        <v>68</v>
      </c>
      <c r="B78" s="5">
        <v>2015</v>
      </c>
      <c r="C78" s="5" t="s">
        <v>70</v>
      </c>
      <c r="D78" s="5">
        <v>124.3</v>
      </c>
      <c r="E78" s="5">
        <v>126.5</v>
      </c>
      <c r="F78" s="5">
        <v>119.5</v>
      </c>
      <c r="G78" s="5">
        <v>125.6</v>
      </c>
      <c r="H78" s="5">
        <v>104.9</v>
      </c>
      <c r="I78" s="5">
        <v>121.6</v>
      </c>
      <c r="J78" s="5">
        <v>131.80000000000001</v>
      </c>
      <c r="K78" s="5">
        <v>125.1</v>
      </c>
      <c r="L78" s="5">
        <v>95</v>
      </c>
      <c r="M78" s="5">
        <v>127.7</v>
      </c>
      <c r="N78" s="5">
        <v>116.8</v>
      </c>
      <c r="O78" s="5">
        <v>128.6</v>
      </c>
      <c r="P78" s="5">
        <v>123.7</v>
      </c>
      <c r="Q78" s="5">
        <v>128.1</v>
      </c>
      <c r="R78" s="5">
        <v>121.3</v>
      </c>
      <c r="S78" s="5">
        <v>116.5</v>
      </c>
      <c r="T78" s="5">
        <v>120.6</v>
      </c>
      <c r="U78" s="5">
        <v>118.1</v>
      </c>
      <c r="V78" s="5">
        <v>114</v>
      </c>
      <c r="W78" s="5">
        <v>117.7</v>
      </c>
      <c r="X78" s="5">
        <v>114.1</v>
      </c>
      <c r="Y78" s="5">
        <v>106.8</v>
      </c>
      <c r="Z78" s="5">
        <v>114.9</v>
      </c>
      <c r="AA78" s="5">
        <v>120.4</v>
      </c>
      <c r="AB78" s="5">
        <v>111.7</v>
      </c>
      <c r="AC78" s="5">
        <v>113.2</v>
      </c>
      <c r="AD78" s="12">
        <v>118.7</v>
      </c>
      <c r="AE78" s="26">
        <f>COUNTIFS($A$2:$A$379,A78,$B$2:$B$379,B79,$C$2:$C$379,C78)</f>
        <v>1</v>
      </c>
    </row>
    <row r="79" spans="1:31">
      <c r="A79" s="11" t="s">
        <v>69</v>
      </c>
      <c r="B79" s="5">
        <v>2015</v>
      </c>
      <c r="C79" s="5" t="s">
        <v>70</v>
      </c>
      <c r="D79" s="5">
        <v>123.7</v>
      </c>
      <c r="E79" s="5">
        <v>125.1</v>
      </c>
      <c r="F79" s="5">
        <v>121.1</v>
      </c>
      <c r="G79" s="5">
        <v>125.7</v>
      </c>
      <c r="H79" s="5">
        <v>109.1</v>
      </c>
      <c r="I79" s="5">
        <v>125.8</v>
      </c>
      <c r="J79" s="5">
        <v>129.4</v>
      </c>
      <c r="K79" s="5">
        <v>120.9</v>
      </c>
      <c r="L79" s="5">
        <v>98.3</v>
      </c>
      <c r="M79" s="5">
        <v>121.6</v>
      </c>
      <c r="N79" s="5">
        <v>118</v>
      </c>
      <c r="O79" s="5">
        <v>127.6</v>
      </c>
      <c r="P79" s="5">
        <v>123.1</v>
      </c>
      <c r="Q79" s="5">
        <v>125.2</v>
      </c>
      <c r="R79" s="5">
        <v>123.8</v>
      </c>
      <c r="S79" s="5">
        <v>120.1</v>
      </c>
      <c r="T79" s="5">
        <v>123.3</v>
      </c>
      <c r="U79" s="5">
        <v>118.1</v>
      </c>
      <c r="V79" s="5">
        <v>117.7</v>
      </c>
      <c r="W79" s="5">
        <v>118.7</v>
      </c>
      <c r="X79" s="5">
        <v>116.3</v>
      </c>
      <c r="Y79" s="5">
        <v>108.7</v>
      </c>
      <c r="Z79" s="5">
        <v>114.9</v>
      </c>
      <c r="AA79" s="5">
        <v>119.7</v>
      </c>
      <c r="AB79" s="5">
        <v>111.2</v>
      </c>
      <c r="AC79" s="5">
        <v>114.1</v>
      </c>
      <c r="AD79" s="12">
        <v>119.7</v>
      </c>
      <c r="AE79" s="26">
        <f>COUNTIFS($A$2:$A$379,A79,$B$2:$B$379,B80,$C$2:$C$379,C79)</f>
        <v>1</v>
      </c>
    </row>
    <row r="80" spans="1:31">
      <c r="A80" s="11" t="s">
        <v>65</v>
      </c>
      <c r="B80" s="5">
        <v>2015</v>
      </c>
      <c r="C80" s="5" t="s">
        <v>71</v>
      </c>
      <c r="D80" s="5">
        <v>123.3</v>
      </c>
      <c r="E80" s="5">
        <v>124.7</v>
      </c>
      <c r="F80" s="5">
        <v>118.9</v>
      </c>
      <c r="G80" s="5">
        <v>126</v>
      </c>
      <c r="H80" s="5">
        <v>111.8</v>
      </c>
      <c r="I80" s="5">
        <v>130.9</v>
      </c>
      <c r="J80" s="5">
        <v>128</v>
      </c>
      <c r="K80" s="5">
        <v>119.9</v>
      </c>
      <c r="L80" s="5">
        <v>98.9</v>
      </c>
      <c r="M80" s="5">
        <v>119.4</v>
      </c>
      <c r="N80" s="5">
        <v>118.9</v>
      </c>
      <c r="O80" s="5">
        <v>127.7</v>
      </c>
      <c r="P80" s="5">
        <v>123.1</v>
      </c>
      <c r="Q80" s="5">
        <v>124.7</v>
      </c>
      <c r="R80" s="5">
        <v>126</v>
      </c>
      <c r="S80" s="5">
        <v>122.9</v>
      </c>
      <c r="T80" s="5">
        <v>125.5</v>
      </c>
      <c r="U80" s="5" t="s">
        <v>67</v>
      </c>
      <c r="V80" s="5">
        <v>120.6</v>
      </c>
      <c r="W80" s="5">
        <v>120.2</v>
      </c>
      <c r="X80" s="5">
        <v>118.2</v>
      </c>
      <c r="Y80" s="5">
        <v>111.6</v>
      </c>
      <c r="Z80" s="5">
        <v>115.5</v>
      </c>
      <c r="AA80" s="5">
        <v>119.4</v>
      </c>
      <c r="AB80" s="5">
        <v>110.8</v>
      </c>
      <c r="AC80" s="5">
        <v>115.5</v>
      </c>
      <c r="AD80" s="12">
        <v>121.1</v>
      </c>
      <c r="AE80" s="26">
        <f>COUNTIFS($A$2:$A$379,A80,$B$2:$B$379,B81,$C$2:$C$379,C80)</f>
        <v>1</v>
      </c>
    </row>
    <row r="81" spans="1:31">
      <c r="A81" s="11" t="s">
        <v>68</v>
      </c>
      <c r="B81" s="5">
        <v>2015</v>
      </c>
      <c r="C81" s="5" t="s">
        <v>71</v>
      </c>
      <c r="D81" s="5">
        <v>124</v>
      </c>
      <c r="E81" s="5">
        <v>126.7</v>
      </c>
      <c r="F81" s="5">
        <v>113.5</v>
      </c>
      <c r="G81" s="5">
        <v>125.9</v>
      </c>
      <c r="H81" s="5">
        <v>104.8</v>
      </c>
      <c r="I81" s="5">
        <v>123.8</v>
      </c>
      <c r="J81" s="5">
        <v>131.4</v>
      </c>
      <c r="K81" s="5">
        <v>127.2</v>
      </c>
      <c r="L81" s="5">
        <v>93.2</v>
      </c>
      <c r="M81" s="5">
        <v>127.4</v>
      </c>
      <c r="N81" s="5">
        <v>117</v>
      </c>
      <c r="O81" s="5">
        <v>129.19999999999999</v>
      </c>
      <c r="P81" s="5">
        <v>123.9</v>
      </c>
      <c r="Q81" s="5">
        <v>128.80000000000001</v>
      </c>
      <c r="R81" s="5">
        <v>121.7</v>
      </c>
      <c r="S81" s="5">
        <v>116.9</v>
      </c>
      <c r="T81" s="5">
        <v>120.9</v>
      </c>
      <c r="U81" s="5">
        <v>118.6</v>
      </c>
      <c r="V81" s="5">
        <v>114.4</v>
      </c>
      <c r="W81" s="5">
        <v>118</v>
      </c>
      <c r="X81" s="5">
        <v>114.3</v>
      </c>
      <c r="Y81" s="5">
        <v>108.4</v>
      </c>
      <c r="Z81" s="5">
        <v>115.4</v>
      </c>
      <c r="AA81" s="5">
        <v>120.6</v>
      </c>
      <c r="AB81" s="5">
        <v>111.3</v>
      </c>
      <c r="AC81" s="5">
        <v>113.8</v>
      </c>
      <c r="AD81" s="12">
        <v>119.1</v>
      </c>
      <c r="AE81" s="26">
        <f>COUNTIFS($A$2:$A$379,A81,$B$2:$B$379,B82,$C$2:$C$379,C81)</f>
        <v>1</v>
      </c>
    </row>
    <row r="82" spans="1:31">
      <c r="A82" s="11" t="s">
        <v>69</v>
      </c>
      <c r="B82" s="5">
        <v>2015</v>
      </c>
      <c r="C82" s="5" t="s">
        <v>71</v>
      </c>
      <c r="D82" s="5">
        <v>123.5</v>
      </c>
      <c r="E82" s="5">
        <v>125.4</v>
      </c>
      <c r="F82" s="5">
        <v>116.8</v>
      </c>
      <c r="G82" s="5">
        <v>126</v>
      </c>
      <c r="H82" s="5">
        <v>109.2</v>
      </c>
      <c r="I82" s="5">
        <v>127.6</v>
      </c>
      <c r="J82" s="5">
        <v>129.19999999999999</v>
      </c>
      <c r="K82" s="5">
        <v>122.4</v>
      </c>
      <c r="L82" s="5">
        <v>97</v>
      </c>
      <c r="M82" s="5">
        <v>122.1</v>
      </c>
      <c r="N82" s="5">
        <v>118.1</v>
      </c>
      <c r="O82" s="5">
        <v>128.4</v>
      </c>
      <c r="P82" s="5">
        <v>123.4</v>
      </c>
      <c r="Q82" s="5">
        <v>125.8</v>
      </c>
      <c r="R82" s="5">
        <v>124.3</v>
      </c>
      <c r="S82" s="5">
        <v>120.4</v>
      </c>
      <c r="T82" s="5">
        <v>123.7</v>
      </c>
      <c r="U82" s="5">
        <v>118.6</v>
      </c>
      <c r="V82" s="5">
        <v>118.3</v>
      </c>
      <c r="W82" s="5">
        <v>119.2</v>
      </c>
      <c r="X82" s="5">
        <v>116.7</v>
      </c>
      <c r="Y82" s="5">
        <v>109.9</v>
      </c>
      <c r="Z82" s="5">
        <v>115.4</v>
      </c>
      <c r="AA82" s="5">
        <v>120.1</v>
      </c>
      <c r="AB82" s="5">
        <v>111</v>
      </c>
      <c r="AC82" s="5">
        <v>114.7</v>
      </c>
      <c r="AD82" s="12">
        <v>120.2</v>
      </c>
      <c r="AE82" s="26">
        <f>COUNTIFS($A$2:$A$379,A82,$B$2:$B$379,B83,$C$2:$C$379,C82)</f>
        <v>1</v>
      </c>
    </row>
    <row r="83" spans="1:31">
      <c r="A83" s="11" t="s">
        <v>65</v>
      </c>
      <c r="B83" s="5">
        <v>2015</v>
      </c>
      <c r="C83" s="5" t="s">
        <v>72</v>
      </c>
      <c r="D83" s="5">
        <v>123.3</v>
      </c>
      <c r="E83" s="5">
        <v>125.5</v>
      </c>
      <c r="F83" s="5">
        <v>117.2</v>
      </c>
      <c r="G83" s="5">
        <v>126.8</v>
      </c>
      <c r="H83" s="5">
        <v>111.9</v>
      </c>
      <c r="I83" s="5">
        <v>134.19999999999999</v>
      </c>
      <c r="J83" s="5">
        <v>127.5</v>
      </c>
      <c r="K83" s="5">
        <v>121.5</v>
      </c>
      <c r="L83" s="5">
        <v>97.8</v>
      </c>
      <c r="M83" s="5">
        <v>119.8</v>
      </c>
      <c r="N83" s="5">
        <v>119.4</v>
      </c>
      <c r="O83" s="5">
        <v>128.69999999999999</v>
      </c>
      <c r="P83" s="5">
        <v>123.6</v>
      </c>
      <c r="Q83" s="5">
        <v>125.7</v>
      </c>
      <c r="R83" s="5">
        <v>126.4</v>
      </c>
      <c r="S83" s="5">
        <v>123.3</v>
      </c>
      <c r="T83" s="5">
        <v>126</v>
      </c>
      <c r="U83" s="5" t="s">
        <v>67</v>
      </c>
      <c r="V83" s="5">
        <v>121.2</v>
      </c>
      <c r="W83" s="5">
        <v>120.9</v>
      </c>
      <c r="X83" s="5">
        <v>118.6</v>
      </c>
      <c r="Y83" s="5">
        <v>111.9</v>
      </c>
      <c r="Z83" s="5">
        <v>116.2</v>
      </c>
      <c r="AA83" s="5">
        <v>119.9</v>
      </c>
      <c r="AB83" s="5">
        <v>111.6</v>
      </c>
      <c r="AC83" s="5">
        <v>116</v>
      </c>
      <c r="AD83" s="12">
        <v>121.5</v>
      </c>
      <c r="AE83" s="26">
        <f>COUNTIFS($A$2:$A$379,A83,$B$2:$B$379,B84,$C$2:$C$379,C83)</f>
        <v>1</v>
      </c>
    </row>
    <row r="84" spans="1:31">
      <c r="A84" s="11" t="s">
        <v>68</v>
      </c>
      <c r="B84" s="5">
        <v>2015</v>
      </c>
      <c r="C84" s="5" t="s">
        <v>72</v>
      </c>
      <c r="D84" s="5">
        <v>123.8</v>
      </c>
      <c r="E84" s="5">
        <v>128.19999999999999</v>
      </c>
      <c r="F84" s="5">
        <v>110</v>
      </c>
      <c r="G84" s="5">
        <v>126.3</v>
      </c>
      <c r="H84" s="5">
        <v>104.5</v>
      </c>
      <c r="I84" s="5">
        <v>130.6</v>
      </c>
      <c r="J84" s="5">
        <v>130.80000000000001</v>
      </c>
      <c r="K84" s="5">
        <v>131.30000000000001</v>
      </c>
      <c r="L84" s="5">
        <v>91.6</v>
      </c>
      <c r="M84" s="5">
        <v>127.7</v>
      </c>
      <c r="N84" s="5">
        <v>117.2</v>
      </c>
      <c r="O84" s="5">
        <v>129.5</v>
      </c>
      <c r="P84" s="5">
        <v>124.6</v>
      </c>
      <c r="Q84" s="5">
        <v>130.1</v>
      </c>
      <c r="R84" s="5">
        <v>122.1</v>
      </c>
      <c r="S84" s="5">
        <v>117.2</v>
      </c>
      <c r="T84" s="5">
        <v>121.3</v>
      </c>
      <c r="U84" s="5">
        <v>119.2</v>
      </c>
      <c r="V84" s="5">
        <v>114.7</v>
      </c>
      <c r="W84" s="5">
        <v>118.4</v>
      </c>
      <c r="X84" s="5">
        <v>114.6</v>
      </c>
      <c r="Y84" s="5">
        <v>108.4</v>
      </c>
      <c r="Z84" s="5">
        <v>115.6</v>
      </c>
      <c r="AA84" s="5">
        <v>121.7</v>
      </c>
      <c r="AB84" s="5">
        <v>111.8</v>
      </c>
      <c r="AC84" s="5">
        <v>114.2</v>
      </c>
      <c r="AD84" s="12">
        <v>119.7</v>
      </c>
      <c r="AE84" s="26">
        <f>COUNTIFS($A$2:$A$379,A84,$B$2:$B$379,B85,$C$2:$C$379,C84)</f>
        <v>1</v>
      </c>
    </row>
    <row r="85" spans="1:31">
      <c r="A85" s="11" t="s">
        <v>69</v>
      </c>
      <c r="B85" s="5">
        <v>2015</v>
      </c>
      <c r="C85" s="5" t="s">
        <v>72</v>
      </c>
      <c r="D85" s="5">
        <v>123.5</v>
      </c>
      <c r="E85" s="5">
        <v>126.4</v>
      </c>
      <c r="F85" s="5">
        <v>114.4</v>
      </c>
      <c r="G85" s="5">
        <v>126.6</v>
      </c>
      <c r="H85" s="5">
        <v>109.2</v>
      </c>
      <c r="I85" s="5">
        <v>132.5</v>
      </c>
      <c r="J85" s="5">
        <v>128.6</v>
      </c>
      <c r="K85" s="5">
        <v>124.8</v>
      </c>
      <c r="L85" s="5">
        <v>95.7</v>
      </c>
      <c r="M85" s="5">
        <v>122.4</v>
      </c>
      <c r="N85" s="5">
        <v>118.5</v>
      </c>
      <c r="O85" s="5">
        <v>129.1</v>
      </c>
      <c r="P85" s="5">
        <v>124</v>
      </c>
      <c r="Q85" s="5">
        <v>126.9</v>
      </c>
      <c r="R85" s="5">
        <v>124.7</v>
      </c>
      <c r="S85" s="5">
        <v>120.8</v>
      </c>
      <c r="T85" s="5">
        <v>124.1</v>
      </c>
      <c r="U85" s="5">
        <v>119.2</v>
      </c>
      <c r="V85" s="5">
        <v>118.7</v>
      </c>
      <c r="W85" s="5">
        <v>119.7</v>
      </c>
      <c r="X85" s="5">
        <v>117.1</v>
      </c>
      <c r="Y85" s="5">
        <v>110.1</v>
      </c>
      <c r="Z85" s="5">
        <v>115.9</v>
      </c>
      <c r="AA85" s="5">
        <v>121</v>
      </c>
      <c r="AB85" s="5">
        <v>111.7</v>
      </c>
      <c r="AC85" s="5">
        <v>115.1</v>
      </c>
      <c r="AD85" s="12">
        <v>120.7</v>
      </c>
      <c r="AE85" s="26">
        <f>COUNTIFS($A$2:$A$379,A85,$B$2:$B$379,B86,$C$2:$C$379,C85)</f>
        <v>1</v>
      </c>
    </row>
    <row r="86" spans="1:31">
      <c r="A86" s="11" t="s">
        <v>65</v>
      </c>
      <c r="B86" s="5">
        <v>2015</v>
      </c>
      <c r="C86" s="5" t="s">
        <v>73</v>
      </c>
      <c r="D86" s="5">
        <v>123.5</v>
      </c>
      <c r="E86" s="5">
        <v>127.1</v>
      </c>
      <c r="F86" s="5">
        <v>117.3</v>
      </c>
      <c r="G86" s="5">
        <v>127.7</v>
      </c>
      <c r="H86" s="5">
        <v>112.5</v>
      </c>
      <c r="I86" s="5">
        <v>134.1</v>
      </c>
      <c r="J86" s="5">
        <v>128.5</v>
      </c>
      <c r="K86" s="5">
        <v>124.3</v>
      </c>
      <c r="L86" s="5">
        <v>97.6</v>
      </c>
      <c r="M86" s="5">
        <v>120.7</v>
      </c>
      <c r="N86" s="5">
        <v>120.2</v>
      </c>
      <c r="O86" s="5">
        <v>129.80000000000001</v>
      </c>
      <c r="P86" s="5">
        <v>124.4</v>
      </c>
      <c r="Q86" s="5">
        <v>126.7</v>
      </c>
      <c r="R86" s="5">
        <v>127.3</v>
      </c>
      <c r="S86" s="5">
        <v>124.1</v>
      </c>
      <c r="T86" s="5">
        <v>126.8</v>
      </c>
      <c r="U86" s="5" t="s">
        <v>67</v>
      </c>
      <c r="V86" s="5">
        <v>121.9</v>
      </c>
      <c r="W86" s="5">
        <v>121.5</v>
      </c>
      <c r="X86" s="5">
        <v>119.4</v>
      </c>
      <c r="Y86" s="5">
        <v>113.3</v>
      </c>
      <c r="Z86" s="5">
        <v>116.7</v>
      </c>
      <c r="AA86" s="5">
        <v>120.5</v>
      </c>
      <c r="AB86" s="5">
        <v>112.3</v>
      </c>
      <c r="AC86" s="5">
        <v>116.9</v>
      </c>
      <c r="AD86" s="12">
        <v>122.4</v>
      </c>
      <c r="AE86" s="26">
        <f>COUNTIFS($A$2:$A$379,A86,$B$2:$B$379,B87,$C$2:$C$379,C86)</f>
        <v>1</v>
      </c>
    </row>
    <row r="87" spans="1:31">
      <c r="A87" s="11" t="s">
        <v>68</v>
      </c>
      <c r="B87" s="5">
        <v>2015</v>
      </c>
      <c r="C87" s="5" t="s">
        <v>73</v>
      </c>
      <c r="D87" s="5">
        <v>123.8</v>
      </c>
      <c r="E87" s="5">
        <v>129.69999999999999</v>
      </c>
      <c r="F87" s="5">
        <v>111.3</v>
      </c>
      <c r="G87" s="5">
        <v>126.6</v>
      </c>
      <c r="H87" s="5">
        <v>105.2</v>
      </c>
      <c r="I87" s="5">
        <v>130.80000000000001</v>
      </c>
      <c r="J87" s="5">
        <v>135.6</v>
      </c>
      <c r="K87" s="5">
        <v>142.6</v>
      </c>
      <c r="L87" s="5">
        <v>90.8</v>
      </c>
      <c r="M87" s="5">
        <v>128.80000000000001</v>
      </c>
      <c r="N87" s="5">
        <v>117.7</v>
      </c>
      <c r="O87" s="5">
        <v>129.9</v>
      </c>
      <c r="P87" s="5">
        <v>126.1</v>
      </c>
      <c r="Q87" s="5">
        <v>131.30000000000001</v>
      </c>
      <c r="R87" s="5">
        <v>122.4</v>
      </c>
      <c r="S87" s="5">
        <v>117.4</v>
      </c>
      <c r="T87" s="5">
        <v>121.6</v>
      </c>
      <c r="U87" s="5">
        <v>119.6</v>
      </c>
      <c r="V87" s="5">
        <v>114.9</v>
      </c>
      <c r="W87" s="5">
        <v>118.7</v>
      </c>
      <c r="X87" s="5">
        <v>114.9</v>
      </c>
      <c r="Y87" s="5">
        <v>110.8</v>
      </c>
      <c r="Z87" s="5">
        <v>116</v>
      </c>
      <c r="AA87" s="5">
        <v>122</v>
      </c>
      <c r="AB87" s="5">
        <v>112.4</v>
      </c>
      <c r="AC87" s="5">
        <v>115.2</v>
      </c>
      <c r="AD87" s="12">
        <v>120.7</v>
      </c>
      <c r="AE87" s="26">
        <f>COUNTIFS($A$2:$A$379,A87,$B$2:$B$379,B88,$C$2:$C$379,C87)</f>
        <v>1</v>
      </c>
    </row>
    <row r="88" spans="1:31">
      <c r="A88" s="11" t="s">
        <v>69</v>
      </c>
      <c r="B88" s="5">
        <v>2015</v>
      </c>
      <c r="C88" s="5" t="s">
        <v>73</v>
      </c>
      <c r="D88" s="5">
        <v>123.6</v>
      </c>
      <c r="E88" s="5">
        <v>128</v>
      </c>
      <c r="F88" s="5">
        <v>115</v>
      </c>
      <c r="G88" s="5">
        <v>127.3</v>
      </c>
      <c r="H88" s="5">
        <v>109.8</v>
      </c>
      <c r="I88" s="5">
        <v>132.6</v>
      </c>
      <c r="J88" s="5">
        <v>130.9</v>
      </c>
      <c r="K88" s="5">
        <v>130.5</v>
      </c>
      <c r="L88" s="5">
        <v>95.3</v>
      </c>
      <c r="M88" s="5">
        <v>123.4</v>
      </c>
      <c r="N88" s="5">
        <v>119.2</v>
      </c>
      <c r="O88" s="5">
        <v>129.80000000000001</v>
      </c>
      <c r="P88" s="5">
        <v>125</v>
      </c>
      <c r="Q88" s="5">
        <v>127.9</v>
      </c>
      <c r="R88" s="5">
        <v>125.4</v>
      </c>
      <c r="S88" s="5">
        <v>121.3</v>
      </c>
      <c r="T88" s="5">
        <v>124.7</v>
      </c>
      <c r="U88" s="5">
        <v>119.6</v>
      </c>
      <c r="V88" s="5">
        <v>119.2</v>
      </c>
      <c r="W88" s="5">
        <v>120.2</v>
      </c>
      <c r="X88" s="5">
        <v>117.7</v>
      </c>
      <c r="Y88" s="5">
        <v>112</v>
      </c>
      <c r="Z88" s="5">
        <v>116.3</v>
      </c>
      <c r="AA88" s="5">
        <v>121.4</v>
      </c>
      <c r="AB88" s="5">
        <v>112.3</v>
      </c>
      <c r="AC88" s="5">
        <v>116.1</v>
      </c>
      <c r="AD88" s="12">
        <v>121.6</v>
      </c>
      <c r="AE88" s="26">
        <f>COUNTIFS($A$2:$A$379,A88,$B$2:$B$379,B89,$C$2:$C$379,C88)</f>
        <v>1</v>
      </c>
    </row>
    <row r="89" spans="1:31">
      <c r="A89" s="11" t="s">
        <v>65</v>
      </c>
      <c r="B89" s="5">
        <v>2015</v>
      </c>
      <c r="C89" s="5" t="s">
        <v>74</v>
      </c>
      <c r="D89" s="5">
        <v>124.1</v>
      </c>
      <c r="E89" s="5">
        <v>130.4</v>
      </c>
      <c r="F89" s="5">
        <v>122.1</v>
      </c>
      <c r="G89" s="5">
        <v>128.69999999999999</v>
      </c>
      <c r="H89" s="5">
        <v>114.1</v>
      </c>
      <c r="I89" s="5">
        <v>133.19999999999999</v>
      </c>
      <c r="J89" s="5">
        <v>135.19999999999999</v>
      </c>
      <c r="K89" s="5">
        <v>131.9</v>
      </c>
      <c r="L89" s="5">
        <v>96.3</v>
      </c>
      <c r="M89" s="5">
        <v>123</v>
      </c>
      <c r="N89" s="5">
        <v>121.1</v>
      </c>
      <c r="O89" s="5">
        <v>131.19999999999999</v>
      </c>
      <c r="P89" s="5">
        <v>126.6</v>
      </c>
      <c r="Q89" s="5">
        <v>128.19999999999999</v>
      </c>
      <c r="R89" s="5">
        <v>128.4</v>
      </c>
      <c r="S89" s="5">
        <v>125.1</v>
      </c>
      <c r="T89" s="5">
        <v>128</v>
      </c>
      <c r="U89" s="5" t="s">
        <v>67</v>
      </c>
      <c r="V89" s="5">
        <v>122.6</v>
      </c>
      <c r="W89" s="5">
        <v>122.8</v>
      </c>
      <c r="X89" s="5">
        <v>120.4</v>
      </c>
      <c r="Y89" s="5">
        <v>114.2</v>
      </c>
      <c r="Z89" s="5">
        <v>117.9</v>
      </c>
      <c r="AA89" s="5">
        <v>122</v>
      </c>
      <c r="AB89" s="5">
        <v>113</v>
      </c>
      <c r="AC89" s="5">
        <v>117.9</v>
      </c>
      <c r="AD89" s="12">
        <v>124.1</v>
      </c>
      <c r="AE89" s="26">
        <f>COUNTIFS($A$2:$A$379,A89,$B$2:$B$379,B90,$C$2:$C$379,C89)</f>
        <v>1</v>
      </c>
    </row>
    <row r="90" spans="1:31">
      <c r="A90" s="11" t="s">
        <v>68</v>
      </c>
      <c r="B90" s="5">
        <v>2015</v>
      </c>
      <c r="C90" s="5" t="s">
        <v>74</v>
      </c>
      <c r="D90" s="5">
        <v>123.6</v>
      </c>
      <c r="E90" s="5">
        <v>134.4</v>
      </c>
      <c r="F90" s="5">
        <v>120.9</v>
      </c>
      <c r="G90" s="5">
        <v>127.3</v>
      </c>
      <c r="H90" s="5">
        <v>106</v>
      </c>
      <c r="I90" s="5">
        <v>132.30000000000001</v>
      </c>
      <c r="J90" s="5">
        <v>146.69999999999999</v>
      </c>
      <c r="K90" s="5">
        <v>148.1</v>
      </c>
      <c r="L90" s="5">
        <v>89.8</v>
      </c>
      <c r="M90" s="5">
        <v>130.5</v>
      </c>
      <c r="N90" s="5">
        <v>118</v>
      </c>
      <c r="O90" s="5">
        <v>130.5</v>
      </c>
      <c r="P90" s="5">
        <v>128.5</v>
      </c>
      <c r="Q90" s="5">
        <v>132.1</v>
      </c>
      <c r="R90" s="5">
        <v>123.2</v>
      </c>
      <c r="S90" s="5">
        <v>117.6</v>
      </c>
      <c r="T90" s="5">
        <v>122.3</v>
      </c>
      <c r="U90" s="5">
        <v>119</v>
      </c>
      <c r="V90" s="5">
        <v>115.1</v>
      </c>
      <c r="W90" s="5">
        <v>119.2</v>
      </c>
      <c r="X90" s="5">
        <v>115.4</v>
      </c>
      <c r="Y90" s="5">
        <v>111.7</v>
      </c>
      <c r="Z90" s="5">
        <v>116.2</v>
      </c>
      <c r="AA90" s="5">
        <v>123.8</v>
      </c>
      <c r="AB90" s="5">
        <v>112.5</v>
      </c>
      <c r="AC90" s="5">
        <v>116</v>
      </c>
      <c r="AD90" s="12">
        <v>121.7</v>
      </c>
      <c r="AE90" s="26">
        <f>COUNTIFS($A$2:$A$379,A90,$B$2:$B$379,B91,$C$2:$C$379,C90)</f>
        <v>1</v>
      </c>
    </row>
    <row r="91" spans="1:31">
      <c r="A91" s="11" t="s">
        <v>69</v>
      </c>
      <c r="B91" s="5">
        <v>2015</v>
      </c>
      <c r="C91" s="5" t="s">
        <v>74</v>
      </c>
      <c r="D91" s="5">
        <v>123.9</v>
      </c>
      <c r="E91" s="5">
        <v>131.80000000000001</v>
      </c>
      <c r="F91" s="5">
        <v>121.6</v>
      </c>
      <c r="G91" s="5">
        <v>128.19999999999999</v>
      </c>
      <c r="H91" s="5">
        <v>111.1</v>
      </c>
      <c r="I91" s="5">
        <v>132.80000000000001</v>
      </c>
      <c r="J91" s="5">
        <v>139.1</v>
      </c>
      <c r="K91" s="5">
        <v>137.4</v>
      </c>
      <c r="L91" s="5">
        <v>94.1</v>
      </c>
      <c r="M91" s="5">
        <v>125.5</v>
      </c>
      <c r="N91" s="5">
        <v>119.8</v>
      </c>
      <c r="O91" s="5">
        <v>130.9</v>
      </c>
      <c r="P91" s="5">
        <v>127.3</v>
      </c>
      <c r="Q91" s="5">
        <v>129.19999999999999</v>
      </c>
      <c r="R91" s="5">
        <v>126.4</v>
      </c>
      <c r="S91" s="5">
        <v>122</v>
      </c>
      <c r="T91" s="5">
        <v>125.7</v>
      </c>
      <c r="U91" s="5">
        <v>119</v>
      </c>
      <c r="V91" s="5">
        <v>119.8</v>
      </c>
      <c r="W91" s="5">
        <v>121.1</v>
      </c>
      <c r="X91" s="5">
        <v>118.5</v>
      </c>
      <c r="Y91" s="5">
        <v>112.9</v>
      </c>
      <c r="Z91" s="5">
        <v>116.9</v>
      </c>
      <c r="AA91" s="5">
        <v>123.1</v>
      </c>
      <c r="AB91" s="5">
        <v>112.8</v>
      </c>
      <c r="AC91" s="5">
        <v>117</v>
      </c>
      <c r="AD91" s="12">
        <v>123</v>
      </c>
      <c r="AE91" s="26">
        <f>COUNTIFS($A$2:$A$379,A91,$B$2:$B$379,B92,$C$2:$C$379,C91)</f>
        <v>1</v>
      </c>
    </row>
    <row r="92" spans="1:31">
      <c r="A92" s="11" t="s">
        <v>65</v>
      </c>
      <c r="B92" s="5">
        <v>2015</v>
      </c>
      <c r="C92" s="5" t="s">
        <v>75</v>
      </c>
      <c r="D92" s="5">
        <v>124</v>
      </c>
      <c r="E92" s="5">
        <v>131.5</v>
      </c>
      <c r="F92" s="5">
        <v>122</v>
      </c>
      <c r="G92" s="5">
        <v>128.69999999999999</v>
      </c>
      <c r="H92" s="5">
        <v>113.5</v>
      </c>
      <c r="I92" s="5">
        <v>133.30000000000001</v>
      </c>
      <c r="J92" s="5">
        <v>140.80000000000001</v>
      </c>
      <c r="K92" s="5">
        <v>133.80000000000001</v>
      </c>
      <c r="L92" s="5">
        <v>94.1</v>
      </c>
      <c r="M92" s="5">
        <v>123.4</v>
      </c>
      <c r="N92" s="5">
        <v>121</v>
      </c>
      <c r="O92" s="5">
        <v>131.69999999999999</v>
      </c>
      <c r="P92" s="5">
        <v>127.5</v>
      </c>
      <c r="Q92" s="5">
        <v>129.4</v>
      </c>
      <c r="R92" s="5">
        <v>128.80000000000001</v>
      </c>
      <c r="S92" s="5">
        <v>125.5</v>
      </c>
      <c r="T92" s="5">
        <v>128.30000000000001</v>
      </c>
      <c r="U92" s="5" t="s">
        <v>67</v>
      </c>
      <c r="V92" s="5">
        <v>123</v>
      </c>
      <c r="W92" s="5">
        <v>123</v>
      </c>
      <c r="X92" s="5">
        <v>120.8</v>
      </c>
      <c r="Y92" s="5">
        <v>114.1</v>
      </c>
      <c r="Z92" s="5">
        <v>118</v>
      </c>
      <c r="AA92" s="5">
        <v>122.9</v>
      </c>
      <c r="AB92" s="5">
        <v>112.7</v>
      </c>
      <c r="AC92" s="5">
        <v>118.1</v>
      </c>
      <c r="AD92" s="12">
        <v>124.7</v>
      </c>
      <c r="AE92" s="26">
        <f>COUNTIFS($A$2:$A$379,A92,$B$2:$B$379,B93,$C$2:$C$379,C92)</f>
        <v>1</v>
      </c>
    </row>
    <row r="93" spans="1:31">
      <c r="A93" s="11" t="s">
        <v>68</v>
      </c>
      <c r="B93" s="5">
        <v>2015</v>
      </c>
      <c r="C93" s="5" t="s">
        <v>75</v>
      </c>
      <c r="D93" s="5">
        <v>123.2</v>
      </c>
      <c r="E93" s="5">
        <v>134.30000000000001</v>
      </c>
      <c r="F93" s="5">
        <v>119.5</v>
      </c>
      <c r="G93" s="5">
        <v>127.7</v>
      </c>
      <c r="H93" s="5">
        <v>106.3</v>
      </c>
      <c r="I93" s="5">
        <v>132.80000000000001</v>
      </c>
      <c r="J93" s="5">
        <v>153.5</v>
      </c>
      <c r="K93" s="5">
        <v>149.5</v>
      </c>
      <c r="L93" s="5">
        <v>85.7</v>
      </c>
      <c r="M93" s="5">
        <v>131.5</v>
      </c>
      <c r="N93" s="5">
        <v>118.3</v>
      </c>
      <c r="O93" s="5">
        <v>131.1</v>
      </c>
      <c r="P93" s="5">
        <v>129.5</v>
      </c>
      <c r="Q93" s="5">
        <v>133.1</v>
      </c>
      <c r="R93" s="5">
        <v>123.5</v>
      </c>
      <c r="S93" s="5">
        <v>117.9</v>
      </c>
      <c r="T93" s="5">
        <v>122.7</v>
      </c>
      <c r="U93" s="5">
        <v>119.9</v>
      </c>
      <c r="V93" s="5">
        <v>115.3</v>
      </c>
      <c r="W93" s="5">
        <v>119.5</v>
      </c>
      <c r="X93" s="5">
        <v>116</v>
      </c>
      <c r="Y93" s="5">
        <v>111.5</v>
      </c>
      <c r="Z93" s="5">
        <v>116.6</v>
      </c>
      <c r="AA93" s="5">
        <v>125.4</v>
      </c>
      <c r="AB93" s="5">
        <v>111.7</v>
      </c>
      <c r="AC93" s="5">
        <v>116.3</v>
      </c>
      <c r="AD93" s="12">
        <v>122.4</v>
      </c>
      <c r="AE93" s="26">
        <f>COUNTIFS($A$2:$A$379,A93,$B$2:$B$379,B94,$C$2:$C$379,C93)</f>
        <v>1</v>
      </c>
    </row>
    <row r="94" spans="1:31">
      <c r="A94" s="11" t="s">
        <v>69</v>
      </c>
      <c r="B94" s="5">
        <v>2015</v>
      </c>
      <c r="C94" s="5" t="s">
        <v>75</v>
      </c>
      <c r="D94" s="5">
        <v>123.7</v>
      </c>
      <c r="E94" s="5">
        <v>132.5</v>
      </c>
      <c r="F94" s="5">
        <v>121</v>
      </c>
      <c r="G94" s="5">
        <v>128.30000000000001</v>
      </c>
      <c r="H94" s="5">
        <v>110.9</v>
      </c>
      <c r="I94" s="5">
        <v>133.1</v>
      </c>
      <c r="J94" s="5">
        <v>145.1</v>
      </c>
      <c r="K94" s="5">
        <v>139.1</v>
      </c>
      <c r="L94" s="5">
        <v>91.3</v>
      </c>
      <c r="M94" s="5">
        <v>126.1</v>
      </c>
      <c r="N94" s="5">
        <v>119.9</v>
      </c>
      <c r="O94" s="5">
        <v>131.4</v>
      </c>
      <c r="P94" s="5">
        <v>128.19999999999999</v>
      </c>
      <c r="Q94" s="5">
        <v>130.4</v>
      </c>
      <c r="R94" s="5">
        <v>126.7</v>
      </c>
      <c r="S94" s="5">
        <v>122.3</v>
      </c>
      <c r="T94" s="5">
        <v>126.1</v>
      </c>
      <c r="U94" s="5">
        <v>119.9</v>
      </c>
      <c r="V94" s="5">
        <v>120.1</v>
      </c>
      <c r="W94" s="5">
        <v>121.3</v>
      </c>
      <c r="X94" s="5">
        <v>119</v>
      </c>
      <c r="Y94" s="5">
        <v>112.7</v>
      </c>
      <c r="Z94" s="5">
        <v>117.2</v>
      </c>
      <c r="AA94" s="5">
        <v>124.4</v>
      </c>
      <c r="AB94" s="5">
        <v>112.3</v>
      </c>
      <c r="AC94" s="5">
        <v>117.2</v>
      </c>
      <c r="AD94" s="12">
        <v>123.6</v>
      </c>
      <c r="AE94" s="26">
        <f>COUNTIFS($A$2:$A$379,A94,$B$2:$B$379,B95,$C$2:$C$379,C94)</f>
        <v>1</v>
      </c>
    </row>
    <row r="95" spans="1:31">
      <c r="A95" s="11" t="s">
        <v>65</v>
      </c>
      <c r="B95" s="5">
        <v>2015</v>
      </c>
      <c r="C95" s="5" t="s">
        <v>76</v>
      </c>
      <c r="D95" s="5">
        <v>124.7</v>
      </c>
      <c r="E95" s="5">
        <v>131.30000000000001</v>
      </c>
      <c r="F95" s="5">
        <v>121.3</v>
      </c>
      <c r="G95" s="5">
        <v>128.80000000000001</v>
      </c>
      <c r="H95" s="5">
        <v>114</v>
      </c>
      <c r="I95" s="5">
        <v>134.19999999999999</v>
      </c>
      <c r="J95" s="5">
        <v>153.6</v>
      </c>
      <c r="K95" s="5">
        <v>137.9</v>
      </c>
      <c r="L95" s="5">
        <v>93.1</v>
      </c>
      <c r="M95" s="5">
        <v>123.9</v>
      </c>
      <c r="N95" s="5">
        <v>121.5</v>
      </c>
      <c r="O95" s="5">
        <v>132.5</v>
      </c>
      <c r="P95" s="5">
        <v>129.80000000000001</v>
      </c>
      <c r="Q95" s="5">
        <v>130.1</v>
      </c>
      <c r="R95" s="5">
        <v>129.5</v>
      </c>
      <c r="S95" s="5">
        <v>126.3</v>
      </c>
      <c r="T95" s="5">
        <v>129</v>
      </c>
      <c r="U95" s="5" t="s">
        <v>67</v>
      </c>
      <c r="V95" s="5">
        <v>123.8</v>
      </c>
      <c r="W95" s="5">
        <v>123.7</v>
      </c>
      <c r="X95" s="5">
        <v>121.1</v>
      </c>
      <c r="Y95" s="5">
        <v>113.6</v>
      </c>
      <c r="Z95" s="5">
        <v>118.5</v>
      </c>
      <c r="AA95" s="5">
        <v>123.6</v>
      </c>
      <c r="AB95" s="5">
        <v>112.5</v>
      </c>
      <c r="AC95" s="5">
        <v>118.2</v>
      </c>
      <c r="AD95" s="12">
        <v>126.1</v>
      </c>
      <c r="AE95" s="26">
        <f>COUNTIFS($A$2:$A$379,A95,$B$2:$B$379,B96,$C$2:$C$379,C95)</f>
        <v>1</v>
      </c>
    </row>
    <row r="96" spans="1:31">
      <c r="A96" s="11" t="s">
        <v>68</v>
      </c>
      <c r="B96" s="5">
        <v>2015</v>
      </c>
      <c r="C96" s="5" t="s">
        <v>76</v>
      </c>
      <c r="D96" s="5">
        <v>123.1</v>
      </c>
      <c r="E96" s="5">
        <v>131.69999999999999</v>
      </c>
      <c r="F96" s="5">
        <v>118.1</v>
      </c>
      <c r="G96" s="5">
        <v>128</v>
      </c>
      <c r="H96" s="5">
        <v>106.8</v>
      </c>
      <c r="I96" s="5">
        <v>130.1</v>
      </c>
      <c r="J96" s="5">
        <v>165.5</v>
      </c>
      <c r="K96" s="5">
        <v>156</v>
      </c>
      <c r="L96" s="5">
        <v>85.3</v>
      </c>
      <c r="M96" s="5">
        <v>132.69999999999999</v>
      </c>
      <c r="N96" s="5">
        <v>118.8</v>
      </c>
      <c r="O96" s="5">
        <v>131.69999999999999</v>
      </c>
      <c r="P96" s="5">
        <v>131.1</v>
      </c>
      <c r="Q96" s="5">
        <v>134.19999999999999</v>
      </c>
      <c r="R96" s="5">
        <v>123.7</v>
      </c>
      <c r="S96" s="5">
        <v>118.2</v>
      </c>
      <c r="T96" s="5">
        <v>122.9</v>
      </c>
      <c r="U96" s="5">
        <v>120.9</v>
      </c>
      <c r="V96" s="5">
        <v>115.3</v>
      </c>
      <c r="W96" s="5">
        <v>120</v>
      </c>
      <c r="X96" s="5">
        <v>116.6</v>
      </c>
      <c r="Y96" s="5">
        <v>109.9</v>
      </c>
      <c r="Z96" s="5">
        <v>117.2</v>
      </c>
      <c r="AA96" s="5">
        <v>126.2</v>
      </c>
      <c r="AB96" s="5">
        <v>112</v>
      </c>
      <c r="AC96" s="5">
        <v>116.2</v>
      </c>
      <c r="AD96" s="12">
        <v>123.2</v>
      </c>
      <c r="AE96" s="26">
        <f>COUNTIFS($A$2:$A$379,A96,$B$2:$B$379,B97,$C$2:$C$379,C96)</f>
        <v>1</v>
      </c>
    </row>
    <row r="97" spans="1:31">
      <c r="A97" s="11" t="s">
        <v>69</v>
      </c>
      <c r="B97" s="5">
        <v>2015</v>
      </c>
      <c r="C97" s="5" t="s">
        <v>76</v>
      </c>
      <c r="D97" s="5">
        <v>124.2</v>
      </c>
      <c r="E97" s="5">
        <v>131.4</v>
      </c>
      <c r="F97" s="5">
        <v>120.1</v>
      </c>
      <c r="G97" s="5">
        <v>128.5</v>
      </c>
      <c r="H97" s="5">
        <v>111.4</v>
      </c>
      <c r="I97" s="5">
        <v>132.30000000000001</v>
      </c>
      <c r="J97" s="5">
        <v>157.6</v>
      </c>
      <c r="K97" s="5">
        <v>144</v>
      </c>
      <c r="L97" s="5">
        <v>90.5</v>
      </c>
      <c r="M97" s="5">
        <v>126.8</v>
      </c>
      <c r="N97" s="5">
        <v>120.4</v>
      </c>
      <c r="O97" s="5">
        <v>132.1</v>
      </c>
      <c r="P97" s="5">
        <v>130.30000000000001</v>
      </c>
      <c r="Q97" s="5">
        <v>131.19999999999999</v>
      </c>
      <c r="R97" s="5">
        <v>127.2</v>
      </c>
      <c r="S97" s="5">
        <v>122.9</v>
      </c>
      <c r="T97" s="5">
        <v>126.6</v>
      </c>
      <c r="U97" s="5">
        <v>120.9</v>
      </c>
      <c r="V97" s="5">
        <v>120.6</v>
      </c>
      <c r="W97" s="5">
        <v>122</v>
      </c>
      <c r="X97" s="5">
        <v>119.4</v>
      </c>
      <c r="Y97" s="5">
        <v>111.7</v>
      </c>
      <c r="Z97" s="5">
        <v>117.8</v>
      </c>
      <c r="AA97" s="5">
        <v>125.1</v>
      </c>
      <c r="AB97" s="5">
        <v>112.3</v>
      </c>
      <c r="AC97" s="5">
        <v>117.2</v>
      </c>
      <c r="AD97" s="12">
        <v>124.8</v>
      </c>
      <c r="AE97" s="26">
        <f>COUNTIFS($A$2:$A$379,A97,$B$2:$B$379,B98,$C$2:$C$379,C97)</f>
        <v>1</v>
      </c>
    </row>
    <row r="98" spans="1:31">
      <c r="A98" s="11" t="s">
        <v>65</v>
      </c>
      <c r="B98" s="5">
        <v>2015</v>
      </c>
      <c r="C98" s="5" t="s">
        <v>77</v>
      </c>
      <c r="D98" s="5">
        <v>125.1</v>
      </c>
      <c r="E98" s="5">
        <v>131.1</v>
      </c>
      <c r="F98" s="5">
        <v>120.7</v>
      </c>
      <c r="G98" s="5">
        <v>129.19999999999999</v>
      </c>
      <c r="H98" s="5">
        <v>114.7</v>
      </c>
      <c r="I98" s="5">
        <v>132.30000000000001</v>
      </c>
      <c r="J98" s="5">
        <v>158.9</v>
      </c>
      <c r="K98" s="5">
        <v>142.1</v>
      </c>
      <c r="L98" s="5">
        <v>92.5</v>
      </c>
      <c r="M98" s="5">
        <v>125.4</v>
      </c>
      <c r="N98" s="5">
        <v>121.9</v>
      </c>
      <c r="O98" s="5">
        <v>132.69999999999999</v>
      </c>
      <c r="P98" s="5">
        <v>131</v>
      </c>
      <c r="Q98" s="5">
        <v>131</v>
      </c>
      <c r="R98" s="5">
        <v>130.4</v>
      </c>
      <c r="S98" s="5">
        <v>126.8</v>
      </c>
      <c r="T98" s="5">
        <v>129.9</v>
      </c>
      <c r="U98" s="5" t="s">
        <v>67</v>
      </c>
      <c r="V98" s="5">
        <v>123.7</v>
      </c>
      <c r="W98" s="5">
        <v>124.5</v>
      </c>
      <c r="X98" s="5">
        <v>121.4</v>
      </c>
      <c r="Y98" s="5">
        <v>113.8</v>
      </c>
      <c r="Z98" s="5">
        <v>119.6</v>
      </c>
      <c r="AA98" s="5">
        <v>124.5</v>
      </c>
      <c r="AB98" s="5">
        <v>113.7</v>
      </c>
      <c r="AC98" s="5">
        <v>118.8</v>
      </c>
      <c r="AD98" s="12">
        <v>127</v>
      </c>
      <c r="AE98" s="26">
        <f>COUNTIFS($A$2:$A$379,A98,$B$2:$B$379,B99,$C$2:$C$379,C98)</f>
        <v>1</v>
      </c>
    </row>
    <row r="99" spans="1:31">
      <c r="A99" s="11" t="s">
        <v>68</v>
      </c>
      <c r="B99" s="5">
        <v>2015</v>
      </c>
      <c r="C99" s="5" t="s">
        <v>77</v>
      </c>
      <c r="D99" s="5">
        <v>123.4</v>
      </c>
      <c r="E99" s="5">
        <v>129</v>
      </c>
      <c r="F99" s="5">
        <v>115.6</v>
      </c>
      <c r="G99" s="5">
        <v>128.30000000000001</v>
      </c>
      <c r="H99" s="5">
        <v>107</v>
      </c>
      <c r="I99" s="5">
        <v>124</v>
      </c>
      <c r="J99" s="5">
        <v>168.5</v>
      </c>
      <c r="K99" s="5">
        <v>165.4</v>
      </c>
      <c r="L99" s="5">
        <v>86.3</v>
      </c>
      <c r="M99" s="5">
        <v>134.4</v>
      </c>
      <c r="N99" s="5">
        <v>119.1</v>
      </c>
      <c r="O99" s="5">
        <v>132.30000000000001</v>
      </c>
      <c r="P99" s="5">
        <v>131.5</v>
      </c>
      <c r="Q99" s="5">
        <v>134.69999999999999</v>
      </c>
      <c r="R99" s="5">
        <v>124</v>
      </c>
      <c r="S99" s="5">
        <v>118.6</v>
      </c>
      <c r="T99" s="5">
        <v>123.2</v>
      </c>
      <c r="U99" s="5">
        <v>121.6</v>
      </c>
      <c r="V99" s="5">
        <v>115.1</v>
      </c>
      <c r="W99" s="5">
        <v>120.4</v>
      </c>
      <c r="X99" s="5">
        <v>117.1</v>
      </c>
      <c r="Y99" s="5">
        <v>109.1</v>
      </c>
      <c r="Z99" s="5">
        <v>117.3</v>
      </c>
      <c r="AA99" s="5">
        <v>126.5</v>
      </c>
      <c r="AB99" s="5">
        <v>112.9</v>
      </c>
      <c r="AC99" s="5">
        <v>116.2</v>
      </c>
      <c r="AD99" s="12">
        <v>123.5</v>
      </c>
      <c r="AE99" s="26">
        <f>COUNTIFS($A$2:$A$379,A99,$B$2:$B$379,B100,$C$2:$C$379,C99)</f>
        <v>1</v>
      </c>
    </row>
    <row r="100" spans="1:31">
      <c r="A100" s="11" t="s">
        <v>69</v>
      </c>
      <c r="B100" s="5">
        <v>2015</v>
      </c>
      <c r="C100" s="5" t="s">
        <v>77</v>
      </c>
      <c r="D100" s="5">
        <v>124.6</v>
      </c>
      <c r="E100" s="5">
        <v>130.4</v>
      </c>
      <c r="F100" s="5">
        <v>118.7</v>
      </c>
      <c r="G100" s="5">
        <v>128.9</v>
      </c>
      <c r="H100" s="5">
        <v>111.9</v>
      </c>
      <c r="I100" s="5">
        <v>128.4</v>
      </c>
      <c r="J100" s="5">
        <v>162.19999999999999</v>
      </c>
      <c r="K100" s="5">
        <v>150</v>
      </c>
      <c r="L100" s="5">
        <v>90.4</v>
      </c>
      <c r="M100" s="5">
        <v>128.4</v>
      </c>
      <c r="N100" s="5">
        <v>120.7</v>
      </c>
      <c r="O100" s="5">
        <v>132.5</v>
      </c>
      <c r="P100" s="5">
        <v>131.19999999999999</v>
      </c>
      <c r="Q100" s="5">
        <v>132</v>
      </c>
      <c r="R100" s="5">
        <v>127.9</v>
      </c>
      <c r="S100" s="5">
        <v>123.4</v>
      </c>
      <c r="T100" s="5">
        <v>127.2</v>
      </c>
      <c r="U100" s="5">
        <v>121.6</v>
      </c>
      <c r="V100" s="5">
        <v>120.4</v>
      </c>
      <c r="W100" s="5">
        <v>122.6</v>
      </c>
      <c r="X100" s="5">
        <v>119.8</v>
      </c>
      <c r="Y100" s="5">
        <v>111.3</v>
      </c>
      <c r="Z100" s="5">
        <v>118.3</v>
      </c>
      <c r="AA100" s="5">
        <v>125.7</v>
      </c>
      <c r="AB100" s="5">
        <v>113.4</v>
      </c>
      <c r="AC100" s="5">
        <v>117.5</v>
      </c>
      <c r="AD100" s="12">
        <v>125.4</v>
      </c>
      <c r="AE100" s="26">
        <f>COUNTIFS($A$2:$A$379,A100,$B$2:$B$379,B101,$C$2:$C$379,C100)</f>
        <v>1</v>
      </c>
    </row>
    <row r="101" spans="1:31">
      <c r="A101" s="11" t="s">
        <v>65</v>
      </c>
      <c r="B101" s="5">
        <v>2015</v>
      </c>
      <c r="C101" s="5" t="s">
        <v>78</v>
      </c>
      <c r="D101" s="5">
        <v>125.6</v>
      </c>
      <c r="E101" s="5">
        <v>130.4</v>
      </c>
      <c r="F101" s="5">
        <v>120.8</v>
      </c>
      <c r="G101" s="5">
        <v>129.4</v>
      </c>
      <c r="H101" s="5">
        <v>115.8</v>
      </c>
      <c r="I101" s="5">
        <v>133.19999999999999</v>
      </c>
      <c r="J101" s="5">
        <v>157.69999999999999</v>
      </c>
      <c r="K101" s="5">
        <v>154.19999999999999</v>
      </c>
      <c r="L101" s="5">
        <v>93.7</v>
      </c>
      <c r="M101" s="5">
        <v>126.6</v>
      </c>
      <c r="N101" s="5">
        <v>122.3</v>
      </c>
      <c r="O101" s="5">
        <v>133.1</v>
      </c>
      <c r="P101" s="5">
        <v>131.80000000000001</v>
      </c>
      <c r="Q101" s="5">
        <v>131.5</v>
      </c>
      <c r="R101" s="5">
        <v>131.1</v>
      </c>
      <c r="S101" s="5">
        <v>127.3</v>
      </c>
      <c r="T101" s="5">
        <v>130.6</v>
      </c>
      <c r="U101" s="5" t="s">
        <v>67</v>
      </c>
      <c r="V101" s="5">
        <v>124.4</v>
      </c>
      <c r="W101" s="5">
        <v>125.1</v>
      </c>
      <c r="X101" s="5">
        <v>122</v>
      </c>
      <c r="Y101" s="5">
        <v>113.8</v>
      </c>
      <c r="Z101" s="5">
        <v>120.1</v>
      </c>
      <c r="AA101" s="5">
        <v>125.1</v>
      </c>
      <c r="AB101" s="5">
        <v>114.2</v>
      </c>
      <c r="AC101" s="5">
        <v>119.2</v>
      </c>
      <c r="AD101" s="12">
        <v>127.7</v>
      </c>
      <c r="AE101" s="26">
        <f>COUNTIFS($A$2:$A$379,A101,$B$2:$B$379,B102,$C$2:$C$379,C101)</f>
        <v>1</v>
      </c>
    </row>
    <row r="102" spans="1:31">
      <c r="A102" s="11" t="s">
        <v>68</v>
      </c>
      <c r="B102" s="5">
        <v>2015</v>
      </c>
      <c r="C102" s="5" t="s">
        <v>78</v>
      </c>
      <c r="D102" s="5">
        <v>123.6</v>
      </c>
      <c r="E102" s="5">
        <v>128.6</v>
      </c>
      <c r="F102" s="5">
        <v>115.9</v>
      </c>
      <c r="G102" s="5">
        <v>128.5</v>
      </c>
      <c r="H102" s="5">
        <v>109</v>
      </c>
      <c r="I102" s="5">
        <v>124.1</v>
      </c>
      <c r="J102" s="5">
        <v>165.8</v>
      </c>
      <c r="K102" s="5">
        <v>187.2</v>
      </c>
      <c r="L102" s="5">
        <v>89.4</v>
      </c>
      <c r="M102" s="5">
        <v>135.80000000000001</v>
      </c>
      <c r="N102" s="5">
        <v>119.4</v>
      </c>
      <c r="O102" s="5">
        <v>132.9</v>
      </c>
      <c r="P102" s="5">
        <v>132.6</v>
      </c>
      <c r="Q102" s="5">
        <v>135.30000000000001</v>
      </c>
      <c r="R102" s="5">
        <v>124.4</v>
      </c>
      <c r="S102" s="5">
        <v>118.8</v>
      </c>
      <c r="T102" s="5">
        <v>123.6</v>
      </c>
      <c r="U102" s="5">
        <v>122.4</v>
      </c>
      <c r="V102" s="5">
        <v>114.9</v>
      </c>
      <c r="W102" s="5">
        <v>120.7</v>
      </c>
      <c r="X102" s="5">
        <v>117.7</v>
      </c>
      <c r="Y102" s="5">
        <v>109.3</v>
      </c>
      <c r="Z102" s="5">
        <v>117.7</v>
      </c>
      <c r="AA102" s="5">
        <v>126.5</v>
      </c>
      <c r="AB102" s="5">
        <v>113.5</v>
      </c>
      <c r="AC102" s="5">
        <v>116.5</v>
      </c>
      <c r="AD102" s="12">
        <v>124.2</v>
      </c>
      <c r="AE102" s="26">
        <f>COUNTIFS($A$2:$A$379,A102,$B$2:$B$379,B103,$C$2:$C$379,C102)</f>
        <v>1</v>
      </c>
    </row>
    <row r="103" spans="1:31">
      <c r="A103" s="11" t="s">
        <v>69</v>
      </c>
      <c r="B103" s="5">
        <v>2015</v>
      </c>
      <c r="C103" s="5" t="s">
        <v>78</v>
      </c>
      <c r="D103" s="5">
        <v>125</v>
      </c>
      <c r="E103" s="5">
        <v>129.80000000000001</v>
      </c>
      <c r="F103" s="5">
        <v>118.9</v>
      </c>
      <c r="G103" s="5">
        <v>129.1</v>
      </c>
      <c r="H103" s="5">
        <v>113.3</v>
      </c>
      <c r="I103" s="5">
        <v>129</v>
      </c>
      <c r="J103" s="5">
        <v>160.4</v>
      </c>
      <c r="K103" s="5">
        <v>165.3</v>
      </c>
      <c r="L103" s="5">
        <v>92.3</v>
      </c>
      <c r="M103" s="5">
        <v>129.69999999999999</v>
      </c>
      <c r="N103" s="5">
        <v>121.1</v>
      </c>
      <c r="O103" s="5">
        <v>133</v>
      </c>
      <c r="P103" s="5">
        <v>132.1</v>
      </c>
      <c r="Q103" s="5">
        <v>132.5</v>
      </c>
      <c r="R103" s="5">
        <v>128.5</v>
      </c>
      <c r="S103" s="5">
        <v>123.8</v>
      </c>
      <c r="T103" s="5">
        <v>127.8</v>
      </c>
      <c r="U103" s="5">
        <v>122.4</v>
      </c>
      <c r="V103" s="5">
        <v>120.8</v>
      </c>
      <c r="W103" s="5">
        <v>123</v>
      </c>
      <c r="X103" s="5">
        <v>120.4</v>
      </c>
      <c r="Y103" s="5">
        <v>111.4</v>
      </c>
      <c r="Z103" s="5">
        <v>118.7</v>
      </c>
      <c r="AA103" s="5">
        <v>125.9</v>
      </c>
      <c r="AB103" s="5">
        <v>113.9</v>
      </c>
      <c r="AC103" s="5">
        <v>117.9</v>
      </c>
      <c r="AD103" s="12">
        <v>126.1</v>
      </c>
      <c r="AE103" s="26">
        <f>COUNTIFS($A$2:$A$379,A103,$B$2:$B$379,B104,$C$2:$C$379,C103)</f>
        <v>1</v>
      </c>
    </row>
    <row r="104" spans="1:31">
      <c r="A104" s="11" t="s">
        <v>65</v>
      </c>
      <c r="B104" s="5">
        <v>2015</v>
      </c>
      <c r="C104" s="5" t="s">
        <v>79</v>
      </c>
      <c r="D104" s="5">
        <v>126.1</v>
      </c>
      <c r="E104" s="5">
        <v>130.6</v>
      </c>
      <c r="F104" s="5">
        <v>121.7</v>
      </c>
      <c r="G104" s="5">
        <v>129.5</v>
      </c>
      <c r="H104" s="5">
        <v>117.8</v>
      </c>
      <c r="I104" s="5">
        <v>132.1</v>
      </c>
      <c r="J104" s="5">
        <v>155.19999999999999</v>
      </c>
      <c r="K104" s="5">
        <v>160.80000000000001</v>
      </c>
      <c r="L104" s="5">
        <v>94.5</v>
      </c>
      <c r="M104" s="5">
        <v>128.30000000000001</v>
      </c>
      <c r="N104" s="5">
        <v>123.1</v>
      </c>
      <c r="O104" s="5">
        <v>134.19999999999999</v>
      </c>
      <c r="P104" s="5">
        <v>132.4</v>
      </c>
      <c r="Q104" s="5">
        <v>132.19999999999999</v>
      </c>
      <c r="R104" s="5">
        <v>132.1</v>
      </c>
      <c r="S104" s="5">
        <v>128.19999999999999</v>
      </c>
      <c r="T104" s="5">
        <v>131.5</v>
      </c>
      <c r="U104" s="5" t="s">
        <v>67</v>
      </c>
      <c r="V104" s="5">
        <v>125.6</v>
      </c>
      <c r="W104" s="5">
        <v>125.6</v>
      </c>
      <c r="X104" s="5">
        <v>122.6</v>
      </c>
      <c r="Y104" s="5">
        <v>114</v>
      </c>
      <c r="Z104" s="5">
        <v>120.9</v>
      </c>
      <c r="AA104" s="5">
        <v>125.8</v>
      </c>
      <c r="AB104" s="5">
        <v>114.2</v>
      </c>
      <c r="AC104" s="5">
        <v>119.6</v>
      </c>
      <c r="AD104" s="12">
        <v>128.30000000000001</v>
      </c>
      <c r="AE104" s="26">
        <f>COUNTIFS($A$2:$A$379,A104,$B$2:$B$379,B105,$C$2:$C$379,C104)</f>
        <v>1</v>
      </c>
    </row>
    <row r="105" spans="1:31">
      <c r="A105" s="11" t="s">
        <v>68</v>
      </c>
      <c r="B105" s="5">
        <v>2015</v>
      </c>
      <c r="C105" s="5" t="s">
        <v>79</v>
      </c>
      <c r="D105" s="5">
        <v>124</v>
      </c>
      <c r="E105" s="5">
        <v>129.80000000000001</v>
      </c>
      <c r="F105" s="5">
        <v>121.5</v>
      </c>
      <c r="G105" s="5">
        <v>128.6</v>
      </c>
      <c r="H105" s="5">
        <v>110</v>
      </c>
      <c r="I105" s="5">
        <v>123.7</v>
      </c>
      <c r="J105" s="5">
        <v>164.6</v>
      </c>
      <c r="K105" s="5">
        <v>191.6</v>
      </c>
      <c r="L105" s="5">
        <v>90.8</v>
      </c>
      <c r="M105" s="5">
        <v>137.1</v>
      </c>
      <c r="N105" s="5">
        <v>119.8</v>
      </c>
      <c r="O105" s="5">
        <v>133.69999999999999</v>
      </c>
      <c r="P105" s="5">
        <v>133.30000000000001</v>
      </c>
      <c r="Q105" s="5">
        <v>137.6</v>
      </c>
      <c r="R105" s="5">
        <v>125</v>
      </c>
      <c r="S105" s="5">
        <v>119.3</v>
      </c>
      <c r="T105" s="5">
        <v>124.2</v>
      </c>
      <c r="U105" s="5">
        <v>122.9</v>
      </c>
      <c r="V105" s="5">
        <v>115.1</v>
      </c>
      <c r="W105" s="5">
        <v>121</v>
      </c>
      <c r="X105" s="5">
        <v>118.1</v>
      </c>
      <c r="Y105" s="5">
        <v>109.3</v>
      </c>
      <c r="Z105" s="5">
        <v>117.9</v>
      </c>
      <c r="AA105" s="5">
        <v>126.6</v>
      </c>
      <c r="AB105" s="5">
        <v>113.3</v>
      </c>
      <c r="AC105" s="5">
        <v>116.6</v>
      </c>
      <c r="AD105" s="12">
        <v>124.6</v>
      </c>
      <c r="AE105" s="26">
        <f>COUNTIFS($A$2:$A$379,A105,$B$2:$B$379,B106,$C$2:$C$379,C105)</f>
        <v>1</v>
      </c>
    </row>
    <row r="106" spans="1:31">
      <c r="A106" s="11" t="s">
        <v>69</v>
      </c>
      <c r="B106" s="5">
        <v>2015</v>
      </c>
      <c r="C106" s="5" t="s">
        <v>79</v>
      </c>
      <c r="D106" s="5">
        <v>125.4</v>
      </c>
      <c r="E106" s="5">
        <v>130.30000000000001</v>
      </c>
      <c r="F106" s="5">
        <v>121.6</v>
      </c>
      <c r="G106" s="5">
        <v>129.19999999999999</v>
      </c>
      <c r="H106" s="5">
        <v>114.9</v>
      </c>
      <c r="I106" s="5">
        <v>128.19999999999999</v>
      </c>
      <c r="J106" s="5">
        <v>158.4</v>
      </c>
      <c r="K106" s="5">
        <v>171.2</v>
      </c>
      <c r="L106" s="5">
        <v>93.3</v>
      </c>
      <c r="M106" s="5">
        <v>131.19999999999999</v>
      </c>
      <c r="N106" s="5">
        <v>121.7</v>
      </c>
      <c r="O106" s="5">
        <v>134</v>
      </c>
      <c r="P106" s="5">
        <v>132.69999999999999</v>
      </c>
      <c r="Q106" s="5">
        <v>133.6</v>
      </c>
      <c r="R106" s="5">
        <v>129.30000000000001</v>
      </c>
      <c r="S106" s="5">
        <v>124.5</v>
      </c>
      <c r="T106" s="5">
        <v>128.6</v>
      </c>
      <c r="U106" s="5">
        <v>122.9</v>
      </c>
      <c r="V106" s="5">
        <v>121.6</v>
      </c>
      <c r="W106" s="5">
        <v>123.4</v>
      </c>
      <c r="X106" s="5">
        <v>120.9</v>
      </c>
      <c r="Y106" s="5">
        <v>111.5</v>
      </c>
      <c r="Z106" s="5">
        <v>119.2</v>
      </c>
      <c r="AA106" s="5">
        <v>126.3</v>
      </c>
      <c r="AB106" s="5">
        <v>113.8</v>
      </c>
      <c r="AC106" s="5">
        <v>118.1</v>
      </c>
      <c r="AD106" s="12">
        <v>126.6</v>
      </c>
      <c r="AE106" s="26">
        <f>COUNTIFS($A$2:$A$379,A106,$B$2:$B$379,B107,$C$2:$C$379,C106)</f>
        <v>1</v>
      </c>
    </row>
    <row r="107" spans="1:31">
      <c r="A107" s="11" t="s">
        <v>65</v>
      </c>
      <c r="B107" s="5">
        <v>2015</v>
      </c>
      <c r="C107" s="5" t="s">
        <v>80</v>
      </c>
      <c r="D107" s="5">
        <v>126.3</v>
      </c>
      <c r="E107" s="5">
        <v>131.30000000000001</v>
      </c>
      <c r="F107" s="5">
        <v>123.3</v>
      </c>
      <c r="G107" s="5">
        <v>129.80000000000001</v>
      </c>
      <c r="H107" s="5">
        <v>118.3</v>
      </c>
      <c r="I107" s="5">
        <v>131.6</v>
      </c>
      <c r="J107" s="5">
        <v>145.5</v>
      </c>
      <c r="K107" s="5">
        <v>162.1</v>
      </c>
      <c r="L107" s="5">
        <v>95.4</v>
      </c>
      <c r="M107" s="5">
        <v>128.9</v>
      </c>
      <c r="N107" s="5">
        <v>123.3</v>
      </c>
      <c r="O107" s="5">
        <v>135.1</v>
      </c>
      <c r="P107" s="5">
        <v>131.4</v>
      </c>
      <c r="Q107" s="5">
        <v>133.1</v>
      </c>
      <c r="R107" s="5">
        <v>132.5</v>
      </c>
      <c r="S107" s="5">
        <v>128.5</v>
      </c>
      <c r="T107" s="5">
        <v>131.9</v>
      </c>
      <c r="U107" s="5" t="s">
        <v>67</v>
      </c>
      <c r="V107" s="5">
        <v>125.7</v>
      </c>
      <c r="W107" s="5">
        <v>126</v>
      </c>
      <c r="X107" s="5">
        <v>123.1</v>
      </c>
      <c r="Y107" s="5">
        <v>114</v>
      </c>
      <c r="Z107" s="5">
        <v>121.6</v>
      </c>
      <c r="AA107" s="5">
        <v>125.6</v>
      </c>
      <c r="AB107" s="5">
        <v>114.1</v>
      </c>
      <c r="AC107" s="5">
        <v>119.8</v>
      </c>
      <c r="AD107" s="12">
        <v>127.9</v>
      </c>
      <c r="AE107" s="26">
        <f>COUNTIFS($A$2:$A$379,A107,$B$2:$B$379,B108,$C$2:$C$379,C107)</f>
        <v>1</v>
      </c>
    </row>
    <row r="108" spans="1:31">
      <c r="A108" s="11" t="s">
        <v>68</v>
      </c>
      <c r="B108" s="5">
        <v>2015</v>
      </c>
      <c r="C108" s="5" t="s">
        <v>80</v>
      </c>
      <c r="D108" s="5">
        <v>124.3</v>
      </c>
      <c r="E108" s="5">
        <v>131.69999999999999</v>
      </c>
      <c r="F108" s="5">
        <v>127.1</v>
      </c>
      <c r="G108" s="5">
        <v>128.6</v>
      </c>
      <c r="H108" s="5">
        <v>110</v>
      </c>
      <c r="I108" s="5">
        <v>120.8</v>
      </c>
      <c r="J108" s="5">
        <v>149</v>
      </c>
      <c r="K108" s="5">
        <v>190.1</v>
      </c>
      <c r="L108" s="5">
        <v>92.7</v>
      </c>
      <c r="M108" s="5">
        <v>138.6</v>
      </c>
      <c r="N108" s="5">
        <v>120.2</v>
      </c>
      <c r="O108" s="5">
        <v>134.19999999999999</v>
      </c>
      <c r="P108" s="5">
        <v>131.5</v>
      </c>
      <c r="Q108" s="5">
        <v>138.19999999999999</v>
      </c>
      <c r="R108" s="5">
        <v>125.4</v>
      </c>
      <c r="S108" s="5">
        <v>119.5</v>
      </c>
      <c r="T108" s="5">
        <v>124.5</v>
      </c>
      <c r="U108" s="5">
        <v>122.4</v>
      </c>
      <c r="V108" s="5">
        <v>116</v>
      </c>
      <c r="W108" s="5">
        <v>121</v>
      </c>
      <c r="X108" s="5">
        <v>118.6</v>
      </c>
      <c r="Y108" s="5">
        <v>109.3</v>
      </c>
      <c r="Z108" s="5">
        <v>118.1</v>
      </c>
      <c r="AA108" s="5">
        <v>126.6</v>
      </c>
      <c r="AB108" s="5">
        <v>113.2</v>
      </c>
      <c r="AC108" s="5">
        <v>116.7</v>
      </c>
      <c r="AD108" s="12">
        <v>124</v>
      </c>
      <c r="AE108" s="26">
        <f>COUNTIFS($A$2:$A$379,A108,$B$2:$B$379,B109,$C$2:$C$379,C108)</f>
        <v>1</v>
      </c>
    </row>
    <row r="109" spans="1:31">
      <c r="A109" s="11" t="s">
        <v>69</v>
      </c>
      <c r="B109" s="5">
        <v>2015</v>
      </c>
      <c r="C109" s="5" t="s">
        <v>80</v>
      </c>
      <c r="D109" s="5">
        <v>125.7</v>
      </c>
      <c r="E109" s="5">
        <v>131.4</v>
      </c>
      <c r="F109" s="5">
        <v>124.8</v>
      </c>
      <c r="G109" s="5">
        <v>129.4</v>
      </c>
      <c r="H109" s="5">
        <v>115.3</v>
      </c>
      <c r="I109" s="5">
        <v>126.6</v>
      </c>
      <c r="J109" s="5">
        <v>146.69999999999999</v>
      </c>
      <c r="K109" s="5">
        <v>171.5</v>
      </c>
      <c r="L109" s="5">
        <v>94.5</v>
      </c>
      <c r="M109" s="5">
        <v>132.1</v>
      </c>
      <c r="N109" s="5">
        <v>122</v>
      </c>
      <c r="O109" s="5">
        <v>134.69999999999999</v>
      </c>
      <c r="P109" s="5">
        <v>131.4</v>
      </c>
      <c r="Q109" s="5">
        <v>134.5</v>
      </c>
      <c r="R109" s="5">
        <v>129.69999999999999</v>
      </c>
      <c r="S109" s="5">
        <v>124.8</v>
      </c>
      <c r="T109" s="5">
        <v>129</v>
      </c>
      <c r="U109" s="5">
        <v>122.4</v>
      </c>
      <c r="V109" s="5">
        <v>122</v>
      </c>
      <c r="W109" s="5">
        <v>123.6</v>
      </c>
      <c r="X109" s="5">
        <v>121.4</v>
      </c>
      <c r="Y109" s="5">
        <v>111.5</v>
      </c>
      <c r="Z109" s="5">
        <v>119.6</v>
      </c>
      <c r="AA109" s="5">
        <v>126.2</v>
      </c>
      <c r="AB109" s="5">
        <v>113.7</v>
      </c>
      <c r="AC109" s="5">
        <v>118.3</v>
      </c>
      <c r="AD109" s="12">
        <v>126.1</v>
      </c>
      <c r="AE109" s="26">
        <f>COUNTIFS($A$2:$A$379,A109,$B$2:$B$379,B110,$C$2:$C$379,C109)</f>
        <v>1</v>
      </c>
    </row>
    <row r="110" spans="1:31">
      <c r="A110" s="11" t="s">
        <v>65</v>
      </c>
      <c r="B110" s="5">
        <v>2016</v>
      </c>
      <c r="C110" s="5" t="s">
        <v>66</v>
      </c>
      <c r="D110" s="5">
        <v>126.8</v>
      </c>
      <c r="E110" s="5">
        <v>133.19999999999999</v>
      </c>
      <c r="F110" s="5">
        <v>126.5</v>
      </c>
      <c r="G110" s="5">
        <v>130.30000000000001</v>
      </c>
      <c r="H110" s="5">
        <v>118.9</v>
      </c>
      <c r="I110" s="5">
        <v>131.6</v>
      </c>
      <c r="J110" s="5">
        <v>140.1</v>
      </c>
      <c r="K110" s="5">
        <v>163.80000000000001</v>
      </c>
      <c r="L110" s="5">
        <v>97.7</v>
      </c>
      <c r="M110" s="5">
        <v>129.6</v>
      </c>
      <c r="N110" s="5">
        <v>124.3</v>
      </c>
      <c r="O110" s="5">
        <v>135.9</v>
      </c>
      <c r="P110" s="5">
        <v>131.4</v>
      </c>
      <c r="Q110" s="5">
        <v>133.6</v>
      </c>
      <c r="R110" s="5">
        <v>133.19999999999999</v>
      </c>
      <c r="S110" s="5">
        <v>128.9</v>
      </c>
      <c r="T110" s="5">
        <v>132.6</v>
      </c>
      <c r="U110" s="5" t="s">
        <v>67</v>
      </c>
      <c r="V110" s="5">
        <v>126.2</v>
      </c>
      <c r="W110" s="5">
        <v>126.6</v>
      </c>
      <c r="X110" s="5">
        <v>123.7</v>
      </c>
      <c r="Y110" s="5">
        <v>113.6</v>
      </c>
      <c r="Z110" s="5">
        <v>121.4</v>
      </c>
      <c r="AA110" s="5">
        <v>126.2</v>
      </c>
      <c r="AB110" s="5">
        <v>114.9</v>
      </c>
      <c r="AC110" s="5">
        <v>120.1</v>
      </c>
      <c r="AD110" s="12">
        <v>128.1</v>
      </c>
      <c r="AE110" s="26">
        <f>COUNTIFS($A$2:$A$379,A110,$B$2:$B$379,B111,$C$2:$C$379,C110)</f>
        <v>1</v>
      </c>
    </row>
    <row r="111" spans="1:31">
      <c r="A111" s="11" t="s">
        <v>68</v>
      </c>
      <c r="B111" s="5">
        <v>2016</v>
      </c>
      <c r="C111" s="5" t="s">
        <v>66</v>
      </c>
      <c r="D111" s="5">
        <v>124.7</v>
      </c>
      <c r="E111" s="5">
        <v>135.9</v>
      </c>
      <c r="F111" s="5">
        <v>132</v>
      </c>
      <c r="G111" s="5">
        <v>129.19999999999999</v>
      </c>
      <c r="H111" s="5">
        <v>109.7</v>
      </c>
      <c r="I111" s="5">
        <v>119</v>
      </c>
      <c r="J111" s="5">
        <v>144.1</v>
      </c>
      <c r="K111" s="5">
        <v>184.2</v>
      </c>
      <c r="L111" s="5">
        <v>96.7</v>
      </c>
      <c r="M111" s="5">
        <v>139.5</v>
      </c>
      <c r="N111" s="5">
        <v>120.5</v>
      </c>
      <c r="O111" s="5">
        <v>134.69999999999999</v>
      </c>
      <c r="P111" s="5">
        <v>131.19999999999999</v>
      </c>
      <c r="Q111" s="5">
        <v>139.5</v>
      </c>
      <c r="R111" s="5">
        <v>125.8</v>
      </c>
      <c r="S111" s="5">
        <v>119.8</v>
      </c>
      <c r="T111" s="5">
        <v>124.9</v>
      </c>
      <c r="U111" s="5">
        <v>123.4</v>
      </c>
      <c r="V111" s="5">
        <v>116.9</v>
      </c>
      <c r="W111" s="5">
        <v>121.6</v>
      </c>
      <c r="X111" s="5">
        <v>119.1</v>
      </c>
      <c r="Y111" s="5">
        <v>108.9</v>
      </c>
      <c r="Z111" s="5">
        <v>118.5</v>
      </c>
      <c r="AA111" s="5">
        <v>126.4</v>
      </c>
      <c r="AB111" s="5">
        <v>114</v>
      </c>
      <c r="AC111" s="5">
        <v>116.8</v>
      </c>
      <c r="AD111" s="12">
        <v>124.2</v>
      </c>
      <c r="AE111" s="26">
        <f>COUNTIFS($A$2:$A$379,A111,$B$2:$B$379,B112,$C$2:$C$379,C111)</f>
        <v>1</v>
      </c>
    </row>
    <row r="112" spans="1:31">
      <c r="A112" s="11" t="s">
        <v>69</v>
      </c>
      <c r="B112" s="5">
        <v>2016</v>
      </c>
      <c r="C112" s="5" t="s">
        <v>66</v>
      </c>
      <c r="D112" s="5">
        <v>126.1</v>
      </c>
      <c r="E112" s="5">
        <v>134.1</v>
      </c>
      <c r="F112" s="5">
        <v>128.6</v>
      </c>
      <c r="G112" s="5">
        <v>129.9</v>
      </c>
      <c r="H112" s="5">
        <v>115.5</v>
      </c>
      <c r="I112" s="5">
        <v>125.7</v>
      </c>
      <c r="J112" s="5">
        <v>141.5</v>
      </c>
      <c r="K112" s="5">
        <v>170.7</v>
      </c>
      <c r="L112" s="5">
        <v>97.4</v>
      </c>
      <c r="M112" s="5">
        <v>132.9</v>
      </c>
      <c r="N112" s="5">
        <v>122.7</v>
      </c>
      <c r="O112" s="5">
        <v>135.30000000000001</v>
      </c>
      <c r="P112" s="5">
        <v>131.30000000000001</v>
      </c>
      <c r="Q112" s="5">
        <v>135.19999999999999</v>
      </c>
      <c r="R112" s="5">
        <v>130.30000000000001</v>
      </c>
      <c r="S112" s="5">
        <v>125.1</v>
      </c>
      <c r="T112" s="5">
        <v>129.5</v>
      </c>
      <c r="U112" s="5">
        <v>123.4</v>
      </c>
      <c r="V112" s="5">
        <v>122.7</v>
      </c>
      <c r="W112" s="5">
        <v>124.2</v>
      </c>
      <c r="X112" s="5">
        <v>122</v>
      </c>
      <c r="Y112" s="5">
        <v>111.1</v>
      </c>
      <c r="Z112" s="5">
        <v>119.8</v>
      </c>
      <c r="AA112" s="5">
        <v>126.3</v>
      </c>
      <c r="AB112" s="5">
        <v>114.5</v>
      </c>
      <c r="AC112" s="5">
        <v>118.5</v>
      </c>
      <c r="AD112" s="12">
        <v>126.3</v>
      </c>
      <c r="AE112" s="26">
        <f>COUNTIFS($A$2:$A$379,A112,$B$2:$B$379,B113,$C$2:$C$379,C112)</f>
        <v>1</v>
      </c>
    </row>
    <row r="113" spans="1:31">
      <c r="A113" s="11" t="s">
        <v>65</v>
      </c>
      <c r="B113" s="5">
        <v>2016</v>
      </c>
      <c r="C113" s="5" t="s">
        <v>70</v>
      </c>
      <c r="D113" s="5">
        <v>127.1</v>
      </c>
      <c r="E113" s="5">
        <v>133.69999999999999</v>
      </c>
      <c r="F113" s="5">
        <v>127.7</v>
      </c>
      <c r="G113" s="5">
        <v>130.69999999999999</v>
      </c>
      <c r="H113" s="5">
        <v>118.5</v>
      </c>
      <c r="I113" s="5">
        <v>130.4</v>
      </c>
      <c r="J113" s="5">
        <v>130.9</v>
      </c>
      <c r="K113" s="5">
        <v>162.80000000000001</v>
      </c>
      <c r="L113" s="5">
        <v>98.7</v>
      </c>
      <c r="M113" s="5">
        <v>130.6</v>
      </c>
      <c r="N113" s="5">
        <v>124.8</v>
      </c>
      <c r="O113" s="5">
        <v>136.4</v>
      </c>
      <c r="P113" s="5">
        <v>130.30000000000001</v>
      </c>
      <c r="Q113" s="5">
        <v>134.4</v>
      </c>
      <c r="R113" s="5">
        <v>133.9</v>
      </c>
      <c r="S113" s="5">
        <v>129.80000000000001</v>
      </c>
      <c r="T113" s="5">
        <v>133.4</v>
      </c>
      <c r="U113" s="5" t="s">
        <v>67</v>
      </c>
      <c r="V113" s="5">
        <v>127.5</v>
      </c>
      <c r="W113" s="5">
        <v>127.1</v>
      </c>
      <c r="X113" s="5">
        <v>124.3</v>
      </c>
      <c r="Y113" s="5">
        <v>113.9</v>
      </c>
      <c r="Z113" s="5">
        <v>122.3</v>
      </c>
      <c r="AA113" s="5">
        <v>127.1</v>
      </c>
      <c r="AB113" s="5">
        <v>116.8</v>
      </c>
      <c r="AC113" s="5">
        <v>120.9</v>
      </c>
      <c r="AD113" s="12">
        <v>127.9</v>
      </c>
      <c r="AE113" s="26">
        <f>COUNTIFS($A$2:$A$379,A113,$B$2:$B$379,B114,$C$2:$C$379,C113)</f>
        <v>1</v>
      </c>
    </row>
    <row r="114" spans="1:31">
      <c r="A114" s="11" t="s">
        <v>68</v>
      </c>
      <c r="B114" s="5">
        <v>2016</v>
      </c>
      <c r="C114" s="5" t="s">
        <v>70</v>
      </c>
      <c r="D114" s="5">
        <v>124.8</v>
      </c>
      <c r="E114" s="5">
        <v>135.1</v>
      </c>
      <c r="F114" s="5">
        <v>130.30000000000001</v>
      </c>
      <c r="G114" s="5">
        <v>129.6</v>
      </c>
      <c r="H114" s="5">
        <v>108.4</v>
      </c>
      <c r="I114" s="5">
        <v>118.6</v>
      </c>
      <c r="J114" s="5">
        <v>129.19999999999999</v>
      </c>
      <c r="K114" s="5">
        <v>176.4</v>
      </c>
      <c r="L114" s="5">
        <v>99.1</v>
      </c>
      <c r="M114" s="5">
        <v>139.69999999999999</v>
      </c>
      <c r="N114" s="5">
        <v>120.6</v>
      </c>
      <c r="O114" s="5">
        <v>135.19999999999999</v>
      </c>
      <c r="P114" s="5">
        <v>129.1</v>
      </c>
      <c r="Q114" s="5">
        <v>140</v>
      </c>
      <c r="R114" s="5">
        <v>126.2</v>
      </c>
      <c r="S114" s="5">
        <v>120.1</v>
      </c>
      <c r="T114" s="5">
        <v>125.3</v>
      </c>
      <c r="U114" s="5">
        <v>124.4</v>
      </c>
      <c r="V114" s="5">
        <v>116</v>
      </c>
      <c r="W114" s="5">
        <v>121.8</v>
      </c>
      <c r="X114" s="5">
        <v>119.5</v>
      </c>
      <c r="Y114" s="5">
        <v>109.1</v>
      </c>
      <c r="Z114" s="5">
        <v>118.8</v>
      </c>
      <c r="AA114" s="5">
        <v>126.3</v>
      </c>
      <c r="AB114" s="5">
        <v>116.2</v>
      </c>
      <c r="AC114" s="5">
        <v>117.2</v>
      </c>
      <c r="AD114" s="12">
        <v>123.8</v>
      </c>
      <c r="AE114" s="26">
        <f>COUNTIFS($A$2:$A$379,A114,$B$2:$B$379,B115,$C$2:$C$379,C114)</f>
        <v>1</v>
      </c>
    </row>
    <row r="115" spans="1:31">
      <c r="A115" s="11" t="s">
        <v>69</v>
      </c>
      <c r="B115" s="5">
        <v>2016</v>
      </c>
      <c r="C115" s="5" t="s">
        <v>70</v>
      </c>
      <c r="D115" s="5">
        <v>126.4</v>
      </c>
      <c r="E115" s="5">
        <v>134.19999999999999</v>
      </c>
      <c r="F115" s="5">
        <v>128.69999999999999</v>
      </c>
      <c r="G115" s="5">
        <v>130.30000000000001</v>
      </c>
      <c r="H115" s="5">
        <v>114.8</v>
      </c>
      <c r="I115" s="5">
        <v>124.9</v>
      </c>
      <c r="J115" s="5">
        <v>130.30000000000001</v>
      </c>
      <c r="K115" s="5">
        <v>167.4</v>
      </c>
      <c r="L115" s="5">
        <v>98.8</v>
      </c>
      <c r="M115" s="5">
        <v>133.6</v>
      </c>
      <c r="N115" s="5">
        <v>123</v>
      </c>
      <c r="O115" s="5">
        <v>135.80000000000001</v>
      </c>
      <c r="P115" s="5">
        <v>129.9</v>
      </c>
      <c r="Q115" s="5">
        <v>135.9</v>
      </c>
      <c r="R115" s="5">
        <v>130.9</v>
      </c>
      <c r="S115" s="5">
        <v>125.8</v>
      </c>
      <c r="T115" s="5">
        <v>130.19999999999999</v>
      </c>
      <c r="U115" s="5">
        <v>124.4</v>
      </c>
      <c r="V115" s="5">
        <v>123.1</v>
      </c>
      <c r="W115" s="5">
        <v>124.6</v>
      </c>
      <c r="X115" s="5">
        <v>122.5</v>
      </c>
      <c r="Y115" s="5">
        <v>111.4</v>
      </c>
      <c r="Z115" s="5">
        <v>120.3</v>
      </c>
      <c r="AA115" s="5">
        <v>126.6</v>
      </c>
      <c r="AB115" s="5">
        <v>116.6</v>
      </c>
      <c r="AC115" s="5">
        <v>119.1</v>
      </c>
      <c r="AD115" s="12">
        <v>126</v>
      </c>
      <c r="AE115" s="26">
        <f>COUNTIFS($A$2:$A$379,A115,$B$2:$B$379,B116,$C$2:$C$379,C115)</f>
        <v>1</v>
      </c>
    </row>
    <row r="116" spans="1:31">
      <c r="A116" s="11" t="s">
        <v>65</v>
      </c>
      <c r="B116" s="5">
        <v>2016</v>
      </c>
      <c r="C116" s="5" t="s">
        <v>71</v>
      </c>
      <c r="D116" s="5">
        <v>127.3</v>
      </c>
      <c r="E116" s="5">
        <v>134.4</v>
      </c>
      <c r="F116" s="5">
        <v>125.1</v>
      </c>
      <c r="G116" s="5">
        <v>130.5</v>
      </c>
      <c r="H116" s="5">
        <v>118.3</v>
      </c>
      <c r="I116" s="5">
        <v>131.69999999999999</v>
      </c>
      <c r="J116" s="5">
        <v>130.69999999999999</v>
      </c>
      <c r="K116" s="5">
        <v>161.19999999999999</v>
      </c>
      <c r="L116" s="5">
        <v>100.4</v>
      </c>
      <c r="M116" s="5">
        <v>130.80000000000001</v>
      </c>
      <c r="N116" s="5">
        <v>124.9</v>
      </c>
      <c r="O116" s="5">
        <v>137</v>
      </c>
      <c r="P116" s="5">
        <v>130.4</v>
      </c>
      <c r="Q116" s="5">
        <v>135</v>
      </c>
      <c r="R116" s="5">
        <v>134.4</v>
      </c>
      <c r="S116" s="5">
        <v>130.19999999999999</v>
      </c>
      <c r="T116" s="5">
        <v>133.80000000000001</v>
      </c>
      <c r="U116" s="5" t="s">
        <v>67</v>
      </c>
      <c r="V116" s="5">
        <v>127</v>
      </c>
      <c r="W116" s="5">
        <v>127.7</v>
      </c>
      <c r="X116" s="5">
        <v>124.8</v>
      </c>
      <c r="Y116" s="5">
        <v>113.6</v>
      </c>
      <c r="Z116" s="5">
        <v>122.5</v>
      </c>
      <c r="AA116" s="5">
        <v>127.5</v>
      </c>
      <c r="AB116" s="5">
        <v>117.4</v>
      </c>
      <c r="AC116" s="5">
        <v>121.1</v>
      </c>
      <c r="AD116" s="12">
        <v>128</v>
      </c>
      <c r="AE116" s="26">
        <f>COUNTIFS($A$2:$A$379,A116,$B$2:$B$379,B117,$C$2:$C$379,C116)</f>
        <v>1</v>
      </c>
    </row>
    <row r="117" spans="1:31">
      <c r="A117" s="11" t="s">
        <v>68</v>
      </c>
      <c r="B117" s="5">
        <v>2016</v>
      </c>
      <c r="C117" s="5" t="s">
        <v>71</v>
      </c>
      <c r="D117" s="5">
        <v>124.8</v>
      </c>
      <c r="E117" s="5">
        <v>136.30000000000001</v>
      </c>
      <c r="F117" s="5">
        <v>123.7</v>
      </c>
      <c r="G117" s="5">
        <v>129.69999999999999</v>
      </c>
      <c r="H117" s="5">
        <v>107.9</v>
      </c>
      <c r="I117" s="5">
        <v>119.9</v>
      </c>
      <c r="J117" s="5">
        <v>128.1</v>
      </c>
      <c r="K117" s="5">
        <v>170.3</v>
      </c>
      <c r="L117" s="5">
        <v>101.8</v>
      </c>
      <c r="M117" s="5">
        <v>140.1</v>
      </c>
      <c r="N117" s="5">
        <v>120.7</v>
      </c>
      <c r="O117" s="5">
        <v>135.4</v>
      </c>
      <c r="P117" s="5">
        <v>128.9</v>
      </c>
      <c r="Q117" s="5">
        <v>140.6</v>
      </c>
      <c r="R117" s="5">
        <v>126.4</v>
      </c>
      <c r="S117" s="5">
        <v>120.3</v>
      </c>
      <c r="T117" s="5">
        <v>125.5</v>
      </c>
      <c r="U117" s="5">
        <v>124.9</v>
      </c>
      <c r="V117" s="5">
        <v>114.8</v>
      </c>
      <c r="W117" s="5">
        <v>122.3</v>
      </c>
      <c r="X117" s="5">
        <v>119.7</v>
      </c>
      <c r="Y117" s="5">
        <v>108.5</v>
      </c>
      <c r="Z117" s="5">
        <v>119.1</v>
      </c>
      <c r="AA117" s="5">
        <v>126.4</v>
      </c>
      <c r="AB117" s="5">
        <v>117.1</v>
      </c>
      <c r="AC117" s="5">
        <v>117.3</v>
      </c>
      <c r="AD117" s="12">
        <v>123.8</v>
      </c>
      <c r="AE117" s="26">
        <f>COUNTIFS($A$2:$A$379,A117,$B$2:$B$379,B118,$C$2:$C$379,C117)</f>
        <v>1</v>
      </c>
    </row>
    <row r="118" spans="1:31">
      <c r="A118" s="11" t="s">
        <v>69</v>
      </c>
      <c r="B118" s="5">
        <v>2016</v>
      </c>
      <c r="C118" s="5" t="s">
        <v>71</v>
      </c>
      <c r="D118" s="5">
        <v>126.5</v>
      </c>
      <c r="E118" s="5">
        <v>135.1</v>
      </c>
      <c r="F118" s="5">
        <v>124.6</v>
      </c>
      <c r="G118" s="5">
        <v>130.19999999999999</v>
      </c>
      <c r="H118" s="5">
        <v>114.5</v>
      </c>
      <c r="I118" s="5">
        <v>126.2</v>
      </c>
      <c r="J118" s="5">
        <v>129.80000000000001</v>
      </c>
      <c r="K118" s="5">
        <v>164.3</v>
      </c>
      <c r="L118" s="5">
        <v>100.9</v>
      </c>
      <c r="M118" s="5">
        <v>133.9</v>
      </c>
      <c r="N118" s="5">
        <v>123.1</v>
      </c>
      <c r="O118" s="5">
        <v>136.30000000000001</v>
      </c>
      <c r="P118" s="5">
        <v>129.80000000000001</v>
      </c>
      <c r="Q118" s="5">
        <v>136.5</v>
      </c>
      <c r="R118" s="5">
        <v>131.30000000000001</v>
      </c>
      <c r="S118" s="5">
        <v>126.1</v>
      </c>
      <c r="T118" s="5">
        <v>130.5</v>
      </c>
      <c r="U118" s="5">
        <v>124.9</v>
      </c>
      <c r="V118" s="5">
        <v>122.4</v>
      </c>
      <c r="W118" s="5">
        <v>125.1</v>
      </c>
      <c r="X118" s="5">
        <v>122.9</v>
      </c>
      <c r="Y118" s="5">
        <v>110.9</v>
      </c>
      <c r="Z118" s="5">
        <v>120.6</v>
      </c>
      <c r="AA118" s="5">
        <v>126.9</v>
      </c>
      <c r="AB118" s="5">
        <v>117.3</v>
      </c>
      <c r="AC118" s="5">
        <v>119.3</v>
      </c>
      <c r="AD118" s="12">
        <v>126</v>
      </c>
      <c r="AE118" s="26">
        <f>COUNTIFS($A$2:$A$379,A118,$B$2:$B$379,B119,$C$2:$C$379,C118)</f>
        <v>1</v>
      </c>
    </row>
    <row r="119" spans="1:31">
      <c r="A119" s="11" t="s">
        <v>65</v>
      </c>
      <c r="B119" s="5">
        <v>2016</v>
      </c>
      <c r="C119" s="5" t="s">
        <v>72</v>
      </c>
      <c r="D119" s="5">
        <v>127.4</v>
      </c>
      <c r="E119" s="5">
        <v>135.4</v>
      </c>
      <c r="F119" s="5">
        <v>123.4</v>
      </c>
      <c r="G119" s="5">
        <v>131.30000000000001</v>
      </c>
      <c r="H119" s="5">
        <v>118.2</v>
      </c>
      <c r="I119" s="5">
        <v>138.1</v>
      </c>
      <c r="J119" s="5">
        <v>134.1</v>
      </c>
      <c r="K119" s="5">
        <v>162.69999999999999</v>
      </c>
      <c r="L119" s="5">
        <v>105</v>
      </c>
      <c r="M119" s="5">
        <v>131.4</v>
      </c>
      <c r="N119" s="5">
        <v>125.4</v>
      </c>
      <c r="O119" s="5">
        <v>137.4</v>
      </c>
      <c r="P119" s="5">
        <v>131.80000000000001</v>
      </c>
      <c r="Q119" s="5">
        <v>135.5</v>
      </c>
      <c r="R119" s="5">
        <v>135</v>
      </c>
      <c r="S119" s="5">
        <v>130.6</v>
      </c>
      <c r="T119" s="5">
        <v>134.4</v>
      </c>
      <c r="U119" s="5" t="s">
        <v>67</v>
      </c>
      <c r="V119" s="5">
        <v>127</v>
      </c>
      <c r="W119" s="5">
        <v>128</v>
      </c>
      <c r="X119" s="5">
        <v>125.2</v>
      </c>
      <c r="Y119" s="5">
        <v>114.4</v>
      </c>
      <c r="Z119" s="5">
        <v>123.2</v>
      </c>
      <c r="AA119" s="5">
        <v>127.9</v>
      </c>
      <c r="AB119" s="5">
        <v>118.4</v>
      </c>
      <c r="AC119" s="5">
        <v>121.7</v>
      </c>
      <c r="AD119" s="12">
        <v>129</v>
      </c>
      <c r="AE119" s="26">
        <f>COUNTIFS($A$2:$A$379,A119,$B$2:$B$379,B120,$C$2:$C$379,C119)</f>
        <v>1</v>
      </c>
    </row>
    <row r="120" spans="1:31">
      <c r="A120" s="11" t="s">
        <v>68</v>
      </c>
      <c r="B120" s="5">
        <v>2016</v>
      </c>
      <c r="C120" s="5" t="s">
        <v>72</v>
      </c>
      <c r="D120" s="5">
        <v>124.9</v>
      </c>
      <c r="E120" s="5">
        <v>139.30000000000001</v>
      </c>
      <c r="F120" s="5">
        <v>119.9</v>
      </c>
      <c r="G120" s="5">
        <v>130.19999999999999</v>
      </c>
      <c r="H120" s="5">
        <v>108.9</v>
      </c>
      <c r="I120" s="5">
        <v>131.1</v>
      </c>
      <c r="J120" s="5">
        <v>136.80000000000001</v>
      </c>
      <c r="K120" s="5">
        <v>176.9</v>
      </c>
      <c r="L120" s="5">
        <v>109.1</v>
      </c>
      <c r="M120" s="5">
        <v>140.4</v>
      </c>
      <c r="N120" s="5">
        <v>121.1</v>
      </c>
      <c r="O120" s="5">
        <v>135.9</v>
      </c>
      <c r="P120" s="5">
        <v>131.80000000000001</v>
      </c>
      <c r="Q120" s="5">
        <v>141.5</v>
      </c>
      <c r="R120" s="5">
        <v>126.8</v>
      </c>
      <c r="S120" s="5">
        <v>120.5</v>
      </c>
      <c r="T120" s="5">
        <v>125.8</v>
      </c>
      <c r="U120" s="5">
        <v>125.6</v>
      </c>
      <c r="V120" s="5">
        <v>114.6</v>
      </c>
      <c r="W120" s="5">
        <v>122.8</v>
      </c>
      <c r="X120" s="5">
        <v>120</v>
      </c>
      <c r="Y120" s="5">
        <v>110</v>
      </c>
      <c r="Z120" s="5">
        <v>119.5</v>
      </c>
      <c r="AA120" s="5">
        <v>127.6</v>
      </c>
      <c r="AB120" s="5">
        <v>117.6</v>
      </c>
      <c r="AC120" s="5">
        <v>118.2</v>
      </c>
      <c r="AD120" s="12">
        <v>125.3</v>
      </c>
      <c r="AE120" s="26">
        <f>COUNTIFS($A$2:$A$379,A120,$B$2:$B$379,B121,$C$2:$C$379,C120)</f>
        <v>1</v>
      </c>
    </row>
    <row r="121" spans="1:31">
      <c r="A121" s="11" t="s">
        <v>69</v>
      </c>
      <c r="B121" s="5">
        <v>2016</v>
      </c>
      <c r="C121" s="5" t="s">
        <v>72</v>
      </c>
      <c r="D121" s="5">
        <v>126.6</v>
      </c>
      <c r="E121" s="5">
        <v>136.80000000000001</v>
      </c>
      <c r="F121" s="5">
        <v>122</v>
      </c>
      <c r="G121" s="5">
        <v>130.9</v>
      </c>
      <c r="H121" s="5">
        <v>114.8</v>
      </c>
      <c r="I121" s="5">
        <v>134.80000000000001</v>
      </c>
      <c r="J121" s="5">
        <v>135</v>
      </c>
      <c r="K121" s="5">
        <v>167.5</v>
      </c>
      <c r="L121" s="5">
        <v>106.4</v>
      </c>
      <c r="M121" s="5">
        <v>134.4</v>
      </c>
      <c r="N121" s="5">
        <v>123.6</v>
      </c>
      <c r="O121" s="5">
        <v>136.69999999999999</v>
      </c>
      <c r="P121" s="5">
        <v>131.80000000000001</v>
      </c>
      <c r="Q121" s="5">
        <v>137.1</v>
      </c>
      <c r="R121" s="5">
        <v>131.80000000000001</v>
      </c>
      <c r="S121" s="5">
        <v>126.4</v>
      </c>
      <c r="T121" s="5">
        <v>131</v>
      </c>
      <c r="U121" s="5">
        <v>125.6</v>
      </c>
      <c r="V121" s="5">
        <v>122.3</v>
      </c>
      <c r="W121" s="5">
        <v>125.5</v>
      </c>
      <c r="X121" s="5">
        <v>123.2</v>
      </c>
      <c r="Y121" s="5">
        <v>112.1</v>
      </c>
      <c r="Z121" s="5">
        <v>121.1</v>
      </c>
      <c r="AA121" s="5">
        <v>127.7</v>
      </c>
      <c r="AB121" s="5">
        <v>118.1</v>
      </c>
      <c r="AC121" s="5">
        <v>120</v>
      </c>
      <c r="AD121" s="12">
        <v>127.3</v>
      </c>
      <c r="AE121" s="26">
        <f>COUNTIFS($A$2:$A$379,A121,$B$2:$B$379,B122,$C$2:$C$379,C121)</f>
        <v>1</v>
      </c>
    </row>
    <row r="122" spans="1:31">
      <c r="A122" s="11" t="s">
        <v>65</v>
      </c>
      <c r="B122" s="5">
        <v>2016</v>
      </c>
      <c r="C122" s="5" t="s">
        <v>73</v>
      </c>
      <c r="D122" s="5">
        <v>127.6</v>
      </c>
      <c r="E122" s="5">
        <v>137.5</v>
      </c>
      <c r="F122" s="5">
        <v>124.4</v>
      </c>
      <c r="G122" s="5">
        <v>132.4</v>
      </c>
      <c r="H122" s="5">
        <v>118.2</v>
      </c>
      <c r="I122" s="5">
        <v>138.1</v>
      </c>
      <c r="J122" s="5">
        <v>141.80000000000001</v>
      </c>
      <c r="K122" s="5">
        <v>166</v>
      </c>
      <c r="L122" s="5">
        <v>107.5</v>
      </c>
      <c r="M122" s="5">
        <v>132.19999999999999</v>
      </c>
      <c r="N122" s="5">
        <v>126.1</v>
      </c>
      <c r="O122" s="5">
        <v>138.30000000000001</v>
      </c>
      <c r="P122" s="5">
        <v>133.6</v>
      </c>
      <c r="Q122" s="5">
        <v>136</v>
      </c>
      <c r="R122" s="5">
        <v>135.4</v>
      </c>
      <c r="S122" s="5">
        <v>131.1</v>
      </c>
      <c r="T122" s="5">
        <v>134.80000000000001</v>
      </c>
      <c r="U122" s="5" t="s">
        <v>67</v>
      </c>
      <c r="V122" s="5">
        <v>127.4</v>
      </c>
      <c r="W122" s="5">
        <v>128.5</v>
      </c>
      <c r="X122" s="5">
        <v>125.8</v>
      </c>
      <c r="Y122" s="5">
        <v>115.1</v>
      </c>
      <c r="Z122" s="5">
        <v>123.6</v>
      </c>
      <c r="AA122" s="5">
        <v>129.1</v>
      </c>
      <c r="AB122" s="5">
        <v>119.7</v>
      </c>
      <c r="AC122" s="5">
        <v>122.5</v>
      </c>
      <c r="AD122" s="12">
        <v>130.30000000000001</v>
      </c>
      <c r="AE122" s="26">
        <f>COUNTIFS($A$2:$A$379,A122,$B$2:$B$379,B123,$C$2:$C$379,C122)</f>
        <v>1</v>
      </c>
    </row>
    <row r="123" spans="1:31">
      <c r="A123" s="11" t="s">
        <v>68</v>
      </c>
      <c r="B123" s="5">
        <v>2016</v>
      </c>
      <c r="C123" s="5" t="s">
        <v>73</v>
      </c>
      <c r="D123" s="5">
        <v>125</v>
      </c>
      <c r="E123" s="5">
        <v>142.1</v>
      </c>
      <c r="F123" s="5">
        <v>127</v>
      </c>
      <c r="G123" s="5">
        <v>130.4</v>
      </c>
      <c r="H123" s="5">
        <v>109.6</v>
      </c>
      <c r="I123" s="5">
        <v>133.5</v>
      </c>
      <c r="J123" s="5">
        <v>151.4</v>
      </c>
      <c r="K123" s="5">
        <v>182.8</v>
      </c>
      <c r="L123" s="5">
        <v>111.1</v>
      </c>
      <c r="M123" s="5">
        <v>141.5</v>
      </c>
      <c r="N123" s="5">
        <v>121.5</v>
      </c>
      <c r="O123" s="5">
        <v>136.30000000000001</v>
      </c>
      <c r="P123" s="5">
        <v>134.6</v>
      </c>
      <c r="Q123" s="5">
        <v>142.19999999999999</v>
      </c>
      <c r="R123" s="5">
        <v>127.2</v>
      </c>
      <c r="S123" s="5">
        <v>120.7</v>
      </c>
      <c r="T123" s="5">
        <v>126.2</v>
      </c>
      <c r="U123" s="5">
        <v>126</v>
      </c>
      <c r="V123" s="5">
        <v>115</v>
      </c>
      <c r="W123" s="5">
        <v>123.2</v>
      </c>
      <c r="X123" s="5">
        <v>120.3</v>
      </c>
      <c r="Y123" s="5">
        <v>110.7</v>
      </c>
      <c r="Z123" s="5">
        <v>119.8</v>
      </c>
      <c r="AA123" s="5">
        <v>128</v>
      </c>
      <c r="AB123" s="5">
        <v>118.5</v>
      </c>
      <c r="AC123" s="5">
        <v>118.7</v>
      </c>
      <c r="AD123" s="12">
        <v>126.6</v>
      </c>
      <c r="AE123" s="26">
        <f>COUNTIFS($A$2:$A$379,A123,$B$2:$B$379,B124,$C$2:$C$379,C123)</f>
        <v>1</v>
      </c>
    </row>
    <row r="124" spans="1:31">
      <c r="A124" s="11" t="s">
        <v>69</v>
      </c>
      <c r="B124" s="5">
        <v>2016</v>
      </c>
      <c r="C124" s="5" t="s">
        <v>73</v>
      </c>
      <c r="D124" s="5">
        <v>126.8</v>
      </c>
      <c r="E124" s="5">
        <v>139.1</v>
      </c>
      <c r="F124" s="5">
        <v>125.4</v>
      </c>
      <c r="G124" s="5">
        <v>131.69999999999999</v>
      </c>
      <c r="H124" s="5">
        <v>115</v>
      </c>
      <c r="I124" s="5">
        <v>136</v>
      </c>
      <c r="J124" s="5">
        <v>145.1</v>
      </c>
      <c r="K124" s="5">
        <v>171.7</v>
      </c>
      <c r="L124" s="5">
        <v>108.7</v>
      </c>
      <c r="M124" s="5">
        <v>135.30000000000001</v>
      </c>
      <c r="N124" s="5">
        <v>124.2</v>
      </c>
      <c r="O124" s="5">
        <v>137.4</v>
      </c>
      <c r="P124" s="5">
        <v>134</v>
      </c>
      <c r="Q124" s="5">
        <v>137.69999999999999</v>
      </c>
      <c r="R124" s="5">
        <v>132.19999999999999</v>
      </c>
      <c r="S124" s="5">
        <v>126.8</v>
      </c>
      <c r="T124" s="5">
        <v>131.4</v>
      </c>
      <c r="U124" s="5">
        <v>126</v>
      </c>
      <c r="V124" s="5">
        <v>122.7</v>
      </c>
      <c r="W124" s="5">
        <v>126</v>
      </c>
      <c r="X124" s="5">
        <v>123.7</v>
      </c>
      <c r="Y124" s="5">
        <v>112.8</v>
      </c>
      <c r="Z124" s="5">
        <v>121.5</v>
      </c>
      <c r="AA124" s="5">
        <v>128.5</v>
      </c>
      <c r="AB124" s="5">
        <v>119.2</v>
      </c>
      <c r="AC124" s="5">
        <v>120.7</v>
      </c>
      <c r="AD124" s="12">
        <v>128.6</v>
      </c>
      <c r="AE124" s="26">
        <f>COUNTIFS($A$2:$A$379,A124,$B$2:$B$379,B125,$C$2:$C$379,C124)</f>
        <v>1</v>
      </c>
    </row>
    <row r="125" spans="1:31">
      <c r="A125" s="11" t="s">
        <v>65</v>
      </c>
      <c r="B125" s="5">
        <v>2016</v>
      </c>
      <c r="C125" s="5" t="s">
        <v>74</v>
      </c>
      <c r="D125" s="5">
        <v>128.6</v>
      </c>
      <c r="E125" s="5">
        <v>138.6</v>
      </c>
      <c r="F125" s="5">
        <v>126.6</v>
      </c>
      <c r="G125" s="5">
        <v>133.6</v>
      </c>
      <c r="H125" s="5">
        <v>118.6</v>
      </c>
      <c r="I125" s="5">
        <v>137.4</v>
      </c>
      <c r="J125" s="5">
        <v>152.5</v>
      </c>
      <c r="K125" s="5">
        <v>169.2</v>
      </c>
      <c r="L125" s="5">
        <v>108.8</v>
      </c>
      <c r="M125" s="5">
        <v>133.1</v>
      </c>
      <c r="N125" s="5">
        <v>126.4</v>
      </c>
      <c r="O125" s="5">
        <v>139.19999999999999</v>
      </c>
      <c r="P125" s="5">
        <v>136</v>
      </c>
      <c r="Q125" s="5">
        <v>137.19999999999999</v>
      </c>
      <c r="R125" s="5">
        <v>136.30000000000001</v>
      </c>
      <c r="S125" s="5">
        <v>131.6</v>
      </c>
      <c r="T125" s="5">
        <v>135.6</v>
      </c>
      <c r="U125" s="5" t="s">
        <v>67</v>
      </c>
      <c r="V125" s="5">
        <v>128</v>
      </c>
      <c r="W125" s="5">
        <v>129.30000000000001</v>
      </c>
      <c r="X125" s="5">
        <v>126.2</v>
      </c>
      <c r="Y125" s="5">
        <v>116.3</v>
      </c>
      <c r="Z125" s="5">
        <v>124.1</v>
      </c>
      <c r="AA125" s="5">
        <v>130.19999999999999</v>
      </c>
      <c r="AB125" s="5">
        <v>119.9</v>
      </c>
      <c r="AC125" s="5">
        <v>123.3</v>
      </c>
      <c r="AD125" s="12">
        <v>131.9</v>
      </c>
      <c r="AE125" s="26">
        <f>COUNTIFS($A$2:$A$379,A125,$B$2:$B$379,B126,$C$2:$C$379,C125)</f>
        <v>1</v>
      </c>
    </row>
    <row r="126" spans="1:31">
      <c r="A126" s="11" t="s">
        <v>68</v>
      </c>
      <c r="B126" s="5">
        <v>2016</v>
      </c>
      <c r="C126" s="5" t="s">
        <v>74</v>
      </c>
      <c r="D126" s="5">
        <v>125.9</v>
      </c>
      <c r="E126" s="5">
        <v>143.9</v>
      </c>
      <c r="F126" s="5">
        <v>130.9</v>
      </c>
      <c r="G126" s="5">
        <v>131</v>
      </c>
      <c r="H126" s="5">
        <v>110.2</v>
      </c>
      <c r="I126" s="5">
        <v>135.5</v>
      </c>
      <c r="J126" s="5">
        <v>173.7</v>
      </c>
      <c r="K126" s="5">
        <v>184.4</v>
      </c>
      <c r="L126" s="5">
        <v>112</v>
      </c>
      <c r="M126" s="5">
        <v>142.80000000000001</v>
      </c>
      <c r="N126" s="5">
        <v>121.6</v>
      </c>
      <c r="O126" s="5">
        <v>136.9</v>
      </c>
      <c r="P126" s="5">
        <v>138.19999999999999</v>
      </c>
      <c r="Q126" s="5">
        <v>142.69999999999999</v>
      </c>
      <c r="R126" s="5">
        <v>127.6</v>
      </c>
      <c r="S126" s="5">
        <v>121.1</v>
      </c>
      <c r="T126" s="5">
        <v>126.6</v>
      </c>
      <c r="U126" s="5">
        <v>125.5</v>
      </c>
      <c r="V126" s="5">
        <v>115.5</v>
      </c>
      <c r="W126" s="5">
        <v>123.2</v>
      </c>
      <c r="X126" s="5">
        <v>120.6</v>
      </c>
      <c r="Y126" s="5">
        <v>112.3</v>
      </c>
      <c r="Z126" s="5">
        <v>119.9</v>
      </c>
      <c r="AA126" s="5">
        <v>129.30000000000001</v>
      </c>
      <c r="AB126" s="5">
        <v>118.8</v>
      </c>
      <c r="AC126" s="5">
        <v>119.6</v>
      </c>
      <c r="AD126" s="12">
        <v>128.1</v>
      </c>
      <c r="AE126" s="26">
        <f>COUNTIFS($A$2:$A$379,A126,$B$2:$B$379,B127,$C$2:$C$379,C126)</f>
        <v>1</v>
      </c>
    </row>
    <row r="127" spans="1:31">
      <c r="A127" s="11" t="s">
        <v>69</v>
      </c>
      <c r="B127" s="5">
        <v>2016</v>
      </c>
      <c r="C127" s="5" t="s">
        <v>74</v>
      </c>
      <c r="D127" s="5">
        <v>127.7</v>
      </c>
      <c r="E127" s="5">
        <v>140.5</v>
      </c>
      <c r="F127" s="5">
        <v>128.30000000000001</v>
      </c>
      <c r="G127" s="5">
        <v>132.6</v>
      </c>
      <c r="H127" s="5">
        <v>115.5</v>
      </c>
      <c r="I127" s="5">
        <v>136.5</v>
      </c>
      <c r="J127" s="5">
        <v>159.69999999999999</v>
      </c>
      <c r="K127" s="5">
        <v>174.3</v>
      </c>
      <c r="L127" s="5">
        <v>109.9</v>
      </c>
      <c r="M127" s="5">
        <v>136.30000000000001</v>
      </c>
      <c r="N127" s="5">
        <v>124.4</v>
      </c>
      <c r="O127" s="5">
        <v>138.1</v>
      </c>
      <c r="P127" s="5">
        <v>136.80000000000001</v>
      </c>
      <c r="Q127" s="5">
        <v>138.69999999999999</v>
      </c>
      <c r="R127" s="5">
        <v>132.9</v>
      </c>
      <c r="S127" s="5">
        <v>127.2</v>
      </c>
      <c r="T127" s="5">
        <v>132</v>
      </c>
      <c r="U127" s="5">
        <v>125.5</v>
      </c>
      <c r="V127" s="5">
        <v>123.3</v>
      </c>
      <c r="W127" s="5">
        <v>126.4</v>
      </c>
      <c r="X127" s="5">
        <v>124.1</v>
      </c>
      <c r="Y127" s="5">
        <v>114.2</v>
      </c>
      <c r="Z127" s="5">
        <v>121.7</v>
      </c>
      <c r="AA127" s="5">
        <v>129.69999999999999</v>
      </c>
      <c r="AB127" s="5">
        <v>119.4</v>
      </c>
      <c r="AC127" s="5">
        <v>121.5</v>
      </c>
      <c r="AD127" s="12">
        <v>130.1</v>
      </c>
      <c r="AE127" s="26">
        <f>COUNTIFS($A$2:$A$379,A127,$B$2:$B$379,B128,$C$2:$C$379,C127)</f>
        <v>1</v>
      </c>
    </row>
    <row r="128" spans="1:31">
      <c r="A128" s="11" t="s">
        <v>65</v>
      </c>
      <c r="B128" s="5">
        <v>2016</v>
      </c>
      <c r="C128" s="5" t="s">
        <v>75</v>
      </c>
      <c r="D128" s="5">
        <v>129.30000000000001</v>
      </c>
      <c r="E128" s="5">
        <v>139.5</v>
      </c>
      <c r="F128" s="5">
        <v>129.6</v>
      </c>
      <c r="G128" s="5">
        <v>134.5</v>
      </c>
      <c r="H128" s="5">
        <v>119.5</v>
      </c>
      <c r="I128" s="5">
        <v>138.5</v>
      </c>
      <c r="J128" s="5">
        <v>158.19999999999999</v>
      </c>
      <c r="K128" s="5">
        <v>171.8</v>
      </c>
      <c r="L128" s="5">
        <v>110.3</v>
      </c>
      <c r="M128" s="5">
        <v>134.30000000000001</v>
      </c>
      <c r="N128" s="5">
        <v>127.3</v>
      </c>
      <c r="O128" s="5">
        <v>139.9</v>
      </c>
      <c r="P128" s="5">
        <v>137.6</v>
      </c>
      <c r="Q128" s="5">
        <v>138</v>
      </c>
      <c r="R128" s="5">
        <v>137.19999999999999</v>
      </c>
      <c r="S128" s="5">
        <v>132.19999999999999</v>
      </c>
      <c r="T128" s="5">
        <v>136.5</v>
      </c>
      <c r="U128" s="5" t="s">
        <v>67</v>
      </c>
      <c r="V128" s="5">
        <v>128.19999999999999</v>
      </c>
      <c r="W128" s="5">
        <v>130</v>
      </c>
      <c r="X128" s="5">
        <v>126.7</v>
      </c>
      <c r="Y128" s="5">
        <v>116.4</v>
      </c>
      <c r="Z128" s="5">
        <v>125.2</v>
      </c>
      <c r="AA128" s="5">
        <v>130.80000000000001</v>
      </c>
      <c r="AB128" s="5">
        <v>120.9</v>
      </c>
      <c r="AC128" s="5">
        <v>123.8</v>
      </c>
      <c r="AD128" s="12">
        <v>133</v>
      </c>
      <c r="AE128" s="26">
        <f>COUNTIFS($A$2:$A$379,A128,$B$2:$B$379,B129,$C$2:$C$379,C128)</f>
        <v>1</v>
      </c>
    </row>
    <row r="129" spans="1:31">
      <c r="A129" s="11" t="s">
        <v>68</v>
      </c>
      <c r="B129" s="5">
        <v>2016</v>
      </c>
      <c r="C129" s="5" t="s">
        <v>75</v>
      </c>
      <c r="D129" s="5">
        <v>126.8</v>
      </c>
      <c r="E129" s="5">
        <v>144.19999999999999</v>
      </c>
      <c r="F129" s="5">
        <v>136.6</v>
      </c>
      <c r="G129" s="5">
        <v>131.80000000000001</v>
      </c>
      <c r="H129" s="5">
        <v>111</v>
      </c>
      <c r="I129" s="5">
        <v>137</v>
      </c>
      <c r="J129" s="5">
        <v>179.5</v>
      </c>
      <c r="K129" s="5">
        <v>188.4</v>
      </c>
      <c r="L129" s="5">
        <v>113.3</v>
      </c>
      <c r="M129" s="5">
        <v>143.9</v>
      </c>
      <c r="N129" s="5">
        <v>121.7</v>
      </c>
      <c r="O129" s="5">
        <v>137.5</v>
      </c>
      <c r="P129" s="5">
        <v>139.80000000000001</v>
      </c>
      <c r="Q129" s="5">
        <v>142.9</v>
      </c>
      <c r="R129" s="5">
        <v>127.9</v>
      </c>
      <c r="S129" s="5">
        <v>121.1</v>
      </c>
      <c r="T129" s="5">
        <v>126.9</v>
      </c>
      <c r="U129" s="5">
        <v>126.4</v>
      </c>
      <c r="V129" s="5">
        <v>115.5</v>
      </c>
      <c r="W129" s="5">
        <v>123.5</v>
      </c>
      <c r="X129" s="5">
        <v>120.9</v>
      </c>
      <c r="Y129" s="5">
        <v>111.7</v>
      </c>
      <c r="Z129" s="5">
        <v>120.3</v>
      </c>
      <c r="AA129" s="5">
        <v>130.80000000000001</v>
      </c>
      <c r="AB129" s="5">
        <v>120</v>
      </c>
      <c r="AC129" s="5">
        <v>119.9</v>
      </c>
      <c r="AD129" s="12">
        <v>129</v>
      </c>
      <c r="AE129" s="26">
        <f>COUNTIFS($A$2:$A$379,A129,$B$2:$B$379,B130,$C$2:$C$379,C129)</f>
        <v>1</v>
      </c>
    </row>
    <row r="130" spans="1:31">
      <c r="A130" s="11" t="s">
        <v>69</v>
      </c>
      <c r="B130" s="5">
        <v>2016</v>
      </c>
      <c r="C130" s="5" t="s">
        <v>75</v>
      </c>
      <c r="D130" s="5">
        <v>128.5</v>
      </c>
      <c r="E130" s="5">
        <v>141.19999999999999</v>
      </c>
      <c r="F130" s="5">
        <v>132.30000000000001</v>
      </c>
      <c r="G130" s="5">
        <v>133.5</v>
      </c>
      <c r="H130" s="5">
        <v>116.4</v>
      </c>
      <c r="I130" s="5">
        <v>137.80000000000001</v>
      </c>
      <c r="J130" s="5">
        <v>165.4</v>
      </c>
      <c r="K130" s="5">
        <v>177.4</v>
      </c>
      <c r="L130" s="5">
        <v>111.3</v>
      </c>
      <c r="M130" s="5">
        <v>137.5</v>
      </c>
      <c r="N130" s="5">
        <v>125</v>
      </c>
      <c r="O130" s="5">
        <v>138.80000000000001</v>
      </c>
      <c r="P130" s="5">
        <v>138.4</v>
      </c>
      <c r="Q130" s="5">
        <v>139.30000000000001</v>
      </c>
      <c r="R130" s="5">
        <v>133.5</v>
      </c>
      <c r="S130" s="5">
        <v>127.6</v>
      </c>
      <c r="T130" s="5">
        <v>132.69999999999999</v>
      </c>
      <c r="U130" s="5">
        <v>126.4</v>
      </c>
      <c r="V130" s="5">
        <v>123.4</v>
      </c>
      <c r="W130" s="5">
        <v>126.9</v>
      </c>
      <c r="X130" s="5">
        <v>124.5</v>
      </c>
      <c r="Y130" s="5">
        <v>113.9</v>
      </c>
      <c r="Z130" s="5">
        <v>122.4</v>
      </c>
      <c r="AA130" s="5">
        <v>130.80000000000001</v>
      </c>
      <c r="AB130" s="5">
        <v>120.5</v>
      </c>
      <c r="AC130" s="5">
        <v>121.9</v>
      </c>
      <c r="AD130" s="12">
        <v>131.1</v>
      </c>
      <c r="AE130" s="26">
        <f>COUNTIFS($A$2:$A$379,A130,$B$2:$B$379,B131,$C$2:$C$379,C130)</f>
        <v>1</v>
      </c>
    </row>
    <row r="131" spans="1:31">
      <c r="A131" s="11" t="s">
        <v>65</v>
      </c>
      <c r="B131" s="5">
        <v>2016</v>
      </c>
      <c r="C131" s="5" t="s">
        <v>76</v>
      </c>
      <c r="D131" s="5">
        <v>130.1</v>
      </c>
      <c r="E131" s="5">
        <v>138.80000000000001</v>
      </c>
      <c r="F131" s="5">
        <v>130.30000000000001</v>
      </c>
      <c r="G131" s="5">
        <v>135.30000000000001</v>
      </c>
      <c r="H131" s="5">
        <v>119.9</v>
      </c>
      <c r="I131" s="5">
        <v>140.19999999999999</v>
      </c>
      <c r="J131" s="5">
        <v>156.9</v>
      </c>
      <c r="K131" s="5">
        <v>172.2</v>
      </c>
      <c r="L131" s="5">
        <v>112.1</v>
      </c>
      <c r="M131" s="5">
        <v>134.9</v>
      </c>
      <c r="N131" s="5">
        <v>128.1</v>
      </c>
      <c r="O131" s="5">
        <v>140.69999999999999</v>
      </c>
      <c r="P131" s="5">
        <v>138</v>
      </c>
      <c r="Q131" s="5">
        <v>138.9</v>
      </c>
      <c r="R131" s="5">
        <v>137.80000000000001</v>
      </c>
      <c r="S131" s="5">
        <v>133</v>
      </c>
      <c r="T131" s="5">
        <v>137.1</v>
      </c>
      <c r="U131" s="5" t="s">
        <v>67</v>
      </c>
      <c r="V131" s="5">
        <v>129.1</v>
      </c>
      <c r="W131" s="5">
        <v>130.6</v>
      </c>
      <c r="X131" s="5">
        <v>127</v>
      </c>
      <c r="Y131" s="5">
        <v>116</v>
      </c>
      <c r="Z131" s="5">
        <v>125.5</v>
      </c>
      <c r="AA131" s="5">
        <v>131.9</v>
      </c>
      <c r="AB131" s="5">
        <v>122</v>
      </c>
      <c r="AC131" s="5">
        <v>124.2</v>
      </c>
      <c r="AD131" s="12">
        <v>133.5</v>
      </c>
      <c r="AE131" s="26">
        <f>COUNTIFS($A$2:$A$379,A131,$B$2:$B$379,B132,$C$2:$C$379,C131)</f>
        <v>1</v>
      </c>
    </row>
    <row r="132" spans="1:31">
      <c r="A132" s="11" t="s">
        <v>68</v>
      </c>
      <c r="B132" s="5">
        <v>2016</v>
      </c>
      <c r="C132" s="5" t="s">
        <v>76</v>
      </c>
      <c r="D132" s="5">
        <v>127.6</v>
      </c>
      <c r="E132" s="5">
        <v>140.30000000000001</v>
      </c>
      <c r="F132" s="5">
        <v>133.69999999999999</v>
      </c>
      <c r="G132" s="5">
        <v>132.19999999999999</v>
      </c>
      <c r="H132" s="5">
        <v>111.8</v>
      </c>
      <c r="I132" s="5">
        <v>135.80000000000001</v>
      </c>
      <c r="J132" s="5">
        <v>163.5</v>
      </c>
      <c r="K132" s="5">
        <v>182.3</v>
      </c>
      <c r="L132" s="5">
        <v>114.6</v>
      </c>
      <c r="M132" s="5">
        <v>144.6</v>
      </c>
      <c r="N132" s="5">
        <v>121.9</v>
      </c>
      <c r="O132" s="5">
        <v>138.1</v>
      </c>
      <c r="P132" s="5">
        <v>137.6</v>
      </c>
      <c r="Q132" s="5">
        <v>143.6</v>
      </c>
      <c r="R132" s="5">
        <v>128.30000000000001</v>
      </c>
      <c r="S132" s="5">
        <v>121.4</v>
      </c>
      <c r="T132" s="5">
        <v>127.3</v>
      </c>
      <c r="U132" s="5">
        <v>127.3</v>
      </c>
      <c r="V132" s="5">
        <v>114.7</v>
      </c>
      <c r="W132" s="5">
        <v>123.9</v>
      </c>
      <c r="X132" s="5">
        <v>121.2</v>
      </c>
      <c r="Y132" s="5">
        <v>110.4</v>
      </c>
      <c r="Z132" s="5">
        <v>120.6</v>
      </c>
      <c r="AA132" s="5">
        <v>131.5</v>
      </c>
      <c r="AB132" s="5">
        <v>120.9</v>
      </c>
      <c r="AC132" s="5">
        <v>119.9</v>
      </c>
      <c r="AD132" s="12">
        <v>128.4</v>
      </c>
      <c r="AE132" s="26">
        <f>COUNTIFS($A$2:$A$379,A132,$B$2:$B$379,B133,$C$2:$C$379,C132)</f>
        <v>1</v>
      </c>
    </row>
    <row r="133" spans="1:31">
      <c r="A133" s="11" t="s">
        <v>69</v>
      </c>
      <c r="B133" s="5">
        <v>2016</v>
      </c>
      <c r="C133" s="5" t="s">
        <v>76</v>
      </c>
      <c r="D133" s="5">
        <v>129.30000000000001</v>
      </c>
      <c r="E133" s="5">
        <v>139.30000000000001</v>
      </c>
      <c r="F133" s="5">
        <v>131.6</v>
      </c>
      <c r="G133" s="5">
        <v>134.1</v>
      </c>
      <c r="H133" s="5">
        <v>116.9</v>
      </c>
      <c r="I133" s="5">
        <v>138.1</v>
      </c>
      <c r="J133" s="5">
        <v>159.1</v>
      </c>
      <c r="K133" s="5">
        <v>175.6</v>
      </c>
      <c r="L133" s="5">
        <v>112.9</v>
      </c>
      <c r="M133" s="5">
        <v>138.1</v>
      </c>
      <c r="N133" s="5">
        <v>125.5</v>
      </c>
      <c r="O133" s="5">
        <v>139.5</v>
      </c>
      <c r="P133" s="5">
        <v>137.9</v>
      </c>
      <c r="Q133" s="5">
        <v>140.19999999999999</v>
      </c>
      <c r="R133" s="5">
        <v>134.1</v>
      </c>
      <c r="S133" s="5">
        <v>128.19999999999999</v>
      </c>
      <c r="T133" s="5">
        <v>133.19999999999999</v>
      </c>
      <c r="U133" s="5">
        <v>127.3</v>
      </c>
      <c r="V133" s="5">
        <v>123.6</v>
      </c>
      <c r="W133" s="5">
        <v>127.4</v>
      </c>
      <c r="X133" s="5">
        <v>124.8</v>
      </c>
      <c r="Y133" s="5">
        <v>113.1</v>
      </c>
      <c r="Z133" s="5">
        <v>122.7</v>
      </c>
      <c r="AA133" s="5">
        <v>131.69999999999999</v>
      </c>
      <c r="AB133" s="5">
        <v>121.5</v>
      </c>
      <c r="AC133" s="5">
        <v>122.1</v>
      </c>
      <c r="AD133" s="12">
        <v>131.1</v>
      </c>
      <c r="AE133" s="26">
        <f>COUNTIFS($A$2:$A$379,A133,$B$2:$B$379,B134,$C$2:$C$379,C133)</f>
        <v>1</v>
      </c>
    </row>
    <row r="134" spans="1:31">
      <c r="A134" s="11" t="s">
        <v>65</v>
      </c>
      <c r="B134" s="5">
        <v>2016</v>
      </c>
      <c r="C134" s="5" t="s">
        <v>77</v>
      </c>
      <c r="D134" s="5">
        <v>130.80000000000001</v>
      </c>
      <c r="E134" s="5">
        <v>138.19999999999999</v>
      </c>
      <c r="F134" s="5">
        <v>130.5</v>
      </c>
      <c r="G134" s="5">
        <v>135.5</v>
      </c>
      <c r="H134" s="5">
        <v>120.2</v>
      </c>
      <c r="I134" s="5">
        <v>139.19999999999999</v>
      </c>
      <c r="J134" s="5">
        <v>149.5</v>
      </c>
      <c r="K134" s="5">
        <v>170.4</v>
      </c>
      <c r="L134" s="5">
        <v>113.1</v>
      </c>
      <c r="M134" s="5">
        <v>135.80000000000001</v>
      </c>
      <c r="N134" s="5">
        <v>128.80000000000001</v>
      </c>
      <c r="O134" s="5">
        <v>141.5</v>
      </c>
      <c r="P134" s="5">
        <v>137.19999999999999</v>
      </c>
      <c r="Q134" s="5">
        <v>139.9</v>
      </c>
      <c r="R134" s="5">
        <v>138.5</v>
      </c>
      <c r="S134" s="5">
        <v>133.5</v>
      </c>
      <c r="T134" s="5">
        <v>137.80000000000001</v>
      </c>
      <c r="U134" s="5" t="s">
        <v>67</v>
      </c>
      <c r="V134" s="5">
        <v>129.69999999999999</v>
      </c>
      <c r="W134" s="5">
        <v>131.1</v>
      </c>
      <c r="X134" s="5">
        <v>127.8</v>
      </c>
      <c r="Y134" s="5">
        <v>117</v>
      </c>
      <c r="Z134" s="5">
        <v>125.7</v>
      </c>
      <c r="AA134" s="5">
        <v>132.19999999999999</v>
      </c>
      <c r="AB134" s="5">
        <v>122.8</v>
      </c>
      <c r="AC134" s="5">
        <v>124.9</v>
      </c>
      <c r="AD134" s="12">
        <v>133.4</v>
      </c>
      <c r="AE134" s="26">
        <f>COUNTIFS($A$2:$A$379,A134,$B$2:$B$379,B135,$C$2:$C$379,C134)</f>
        <v>1</v>
      </c>
    </row>
    <row r="135" spans="1:31">
      <c r="A135" s="11" t="s">
        <v>68</v>
      </c>
      <c r="B135" s="5">
        <v>2016</v>
      </c>
      <c r="C135" s="5" t="s">
        <v>77</v>
      </c>
      <c r="D135" s="5">
        <v>128.1</v>
      </c>
      <c r="E135" s="5">
        <v>137.69999999999999</v>
      </c>
      <c r="F135" s="5">
        <v>130.6</v>
      </c>
      <c r="G135" s="5">
        <v>132.6</v>
      </c>
      <c r="H135" s="5">
        <v>111.9</v>
      </c>
      <c r="I135" s="5">
        <v>132.5</v>
      </c>
      <c r="J135" s="5">
        <v>152.9</v>
      </c>
      <c r="K135" s="5">
        <v>173.6</v>
      </c>
      <c r="L135" s="5">
        <v>115.1</v>
      </c>
      <c r="M135" s="5">
        <v>144.80000000000001</v>
      </c>
      <c r="N135" s="5">
        <v>122.1</v>
      </c>
      <c r="O135" s="5">
        <v>138.80000000000001</v>
      </c>
      <c r="P135" s="5">
        <v>135.69999999999999</v>
      </c>
      <c r="Q135" s="5">
        <v>143.9</v>
      </c>
      <c r="R135" s="5">
        <v>128.69999999999999</v>
      </c>
      <c r="S135" s="5">
        <v>121.6</v>
      </c>
      <c r="T135" s="5">
        <v>127.7</v>
      </c>
      <c r="U135" s="5">
        <v>127.9</v>
      </c>
      <c r="V135" s="5">
        <v>114.8</v>
      </c>
      <c r="W135" s="5">
        <v>124.3</v>
      </c>
      <c r="X135" s="5">
        <v>121.4</v>
      </c>
      <c r="Y135" s="5">
        <v>111.8</v>
      </c>
      <c r="Z135" s="5">
        <v>120.8</v>
      </c>
      <c r="AA135" s="5">
        <v>131.6</v>
      </c>
      <c r="AB135" s="5">
        <v>121.2</v>
      </c>
      <c r="AC135" s="5">
        <v>120.5</v>
      </c>
      <c r="AD135" s="12">
        <v>128</v>
      </c>
      <c r="AE135" s="26">
        <f>COUNTIFS($A$2:$A$379,A135,$B$2:$B$379,B136,$C$2:$C$379,C135)</f>
        <v>1</v>
      </c>
    </row>
    <row r="136" spans="1:31">
      <c r="A136" s="11" t="s">
        <v>69</v>
      </c>
      <c r="B136" s="5">
        <v>2016</v>
      </c>
      <c r="C136" s="5" t="s">
        <v>77</v>
      </c>
      <c r="D136" s="5">
        <v>129.9</v>
      </c>
      <c r="E136" s="5">
        <v>138</v>
      </c>
      <c r="F136" s="5">
        <v>130.5</v>
      </c>
      <c r="G136" s="5">
        <v>134.4</v>
      </c>
      <c r="H136" s="5">
        <v>117.2</v>
      </c>
      <c r="I136" s="5">
        <v>136.1</v>
      </c>
      <c r="J136" s="5">
        <v>150.69999999999999</v>
      </c>
      <c r="K136" s="5">
        <v>171.5</v>
      </c>
      <c r="L136" s="5">
        <v>113.8</v>
      </c>
      <c r="M136" s="5">
        <v>138.80000000000001</v>
      </c>
      <c r="N136" s="5">
        <v>126</v>
      </c>
      <c r="O136" s="5">
        <v>140.19999999999999</v>
      </c>
      <c r="P136" s="5">
        <v>136.6</v>
      </c>
      <c r="Q136" s="5">
        <v>141</v>
      </c>
      <c r="R136" s="5">
        <v>134.6</v>
      </c>
      <c r="S136" s="5">
        <v>128.6</v>
      </c>
      <c r="T136" s="5">
        <v>133.80000000000001</v>
      </c>
      <c r="U136" s="5">
        <v>127.9</v>
      </c>
      <c r="V136" s="5">
        <v>124.1</v>
      </c>
      <c r="W136" s="5">
        <v>127.9</v>
      </c>
      <c r="X136" s="5">
        <v>125.4</v>
      </c>
      <c r="Y136" s="5">
        <v>114.3</v>
      </c>
      <c r="Z136" s="5">
        <v>122.9</v>
      </c>
      <c r="AA136" s="5">
        <v>131.80000000000001</v>
      </c>
      <c r="AB136" s="5">
        <v>122.1</v>
      </c>
      <c r="AC136" s="5">
        <v>122.8</v>
      </c>
      <c r="AD136" s="12">
        <v>130.9</v>
      </c>
      <c r="AE136" s="26">
        <f>COUNTIFS($A$2:$A$379,A136,$B$2:$B$379,B137,$C$2:$C$379,C136)</f>
        <v>1</v>
      </c>
    </row>
    <row r="137" spans="1:31">
      <c r="A137" s="11" t="s">
        <v>65</v>
      </c>
      <c r="B137" s="5">
        <v>2016</v>
      </c>
      <c r="C137" s="5" t="s">
        <v>78</v>
      </c>
      <c r="D137" s="5">
        <v>131.30000000000001</v>
      </c>
      <c r="E137" s="5">
        <v>137.6</v>
      </c>
      <c r="F137" s="5">
        <v>130.1</v>
      </c>
      <c r="G137" s="5">
        <v>136</v>
      </c>
      <c r="H137" s="5">
        <v>120.8</v>
      </c>
      <c r="I137" s="5">
        <v>138.4</v>
      </c>
      <c r="J137" s="5">
        <v>149.19999999999999</v>
      </c>
      <c r="K137" s="5">
        <v>170.2</v>
      </c>
      <c r="L137" s="5">
        <v>113.4</v>
      </c>
      <c r="M137" s="5">
        <v>136.30000000000001</v>
      </c>
      <c r="N137" s="5">
        <v>128.69999999999999</v>
      </c>
      <c r="O137" s="5">
        <v>142.4</v>
      </c>
      <c r="P137" s="5">
        <v>137.4</v>
      </c>
      <c r="Q137" s="5">
        <v>140.9</v>
      </c>
      <c r="R137" s="5">
        <v>139.6</v>
      </c>
      <c r="S137" s="5">
        <v>134.30000000000001</v>
      </c>
      <c r="T137" s="5">
        <v>138.80000000000001</v>
      </c>
      <c r="U137" s="5" t="s">
        <v>67</v>
      </c>
      <c r="V137" s="5">
        <v>129.80000000000001</v>
      </c>
      <c r="W137" s="5">
        <v>131.80000000000001</v>
      </c>
      <c r="X137" s="5">
        <v>128.69999999999999</v>
      </c>
      <c r="Y137" s="5">
        <v>117.8</v>
      </c>
      <c r="Z137" s="5">
        <v>126.5</v>
      </c>
      <c r="AA137" s="5">
        <v>133</v>
      </c>
      <c r="AB137" s="5">
        <v>123</v>
      </c>
      <c r="AC137" s="5">
        <v>125.7</v>
      </c>
      <c r="AD137" s="12">
        <v>133.80000000000001</v>
      </c>
      <c r="AE137" s="26">
        <f>COUNTIFS($A$2:$A$379,A137,$B$2:$B$379,B138,$C$2:$C$379,C137)</f>
        <v>1</v>
      </c>
    </row>
    <row r="138" spans="1:31">
      <c r="A138" s="11" t="s">
        <v>68</v>
      </c>
      <c r="B138" s="5">
        <v>2016</v>
      </c>
      <c r="C138" s="5" t="s">
        <v>78</v>
      </c>
      <c r="D138" s="5">
        <v>128.69999999999999</v>
      </c>
      <c r="E138" s="5">
        <v>138.4</v>
      </c>
      <c r="F138" s="5">
        <v>130.30000000000001</v>
      </c>
      <c r="G138" s="5">
        <v>132.69999999999999</v>
      </c>
      <c r="H138" s="5">
        <v>112.5</v>
      </c>
      <c r="I138" s="5">
        <v>130.4</v>
      </c>
      <c r="J138" s="5">
        <v>155.1</v>
      </c>
      <c r="K138" s="5">
        <v>175.7</v>
      </c>
      <c r="L138" s="5">
        <v>115.4</v>
      </c>
      <c r="M138" s="5">
        <v>145.30000000000001</v>
      </c>
      <c r="N138" s="5">
        <v>122.5</v>
      </c>
      <c r="O138" s="5">
        <v>139.6</v>
      </c>
      <c r="P138" s="5">
        <v>136.30000000000001</v>
      </c>
      <c r="Q138" s="5">
        <v>144.30000000000001</v>
      </c>
      <c r="R138" s="5">
        <v>129.1</v>
      </c>
      <c r="S138" s="5">
        <v>121.9</v>
      </c>
      <c r="T138" s="5">
        <v>128</v>
      </c>
      <c r="U138" s="5">
        <v>128.69999999999999</v>
      </c>
      <c r="V138" s="5">
        <v>115.2</v>
      </c>
      <c r="W138" s="5">
        <v>124.5</v>
      </c>
      <c r="X138" s="5">
        <v>121.8</v>
      </c>
      <c r="Y138" s="5">
        <v>112.8</v>
      </c>
      <c r="Z138" s="5">
        <v>121.2</v>
      </c>
      <c r="AA138" s="5">
        <v>131.9</v>
      </c>
      <c r="AB138" s="5">
        <v>120.8</v>
      </c>
      <c r="AC138" s="5">
        <v>120.9</v>
      </c>
      <c r="AD138" s="12">
        <v>128.6</v>
      </c>
      <c r="AE138" s="26">
        <f>COUNTIFS($A$2:$A$379,A138,$B$2:$B$379,B139,$C$2:$C$379,C138)</f>
        <v>1</v>
      </c>
    </row>
    <row r="139" spans="1:31">
      <c r="A139" s="11" t="s">
        <v>69</v>
      </c>
      <c r="B139" s="5">
        <v>2016</v>
      </c>
      <c r="C139" s="5" t="s">
        <v>78</v>
      </c>
      <c r="D139" s="5">
        <v>130.5</v>
      </c>
      <c r="E139" s="5">
        <v>137.9</v>
      </c>
      <c r="F139" s="5">
        <v>130.19999999999999</v>
      </c>
      <c r="G139" s="5">
        <v>134.80000000000001</v>
      </c>
      <c r="H139" s="5">
        <v>117.8</v>
      </c>
      <c r="I139" s="5">
        <v>134.69999999999999</v>
      </c>
      <c r="J139" s="5">
        <v>151.19999999999999</v>
      </c>
      <c r="K139" s="5">
        <v>172.1</v>
      </c>
      <c r="L139" s="5">
        <v>114.1</v>
      </c>
      <c r="M139" s="5">
        <v>139.30000000000001</v>
      </c>
      <c r="N139" s="5">
        <v>126.1</v>
      </c>
      <c r="O139" s="5">
        <v>141.1</v>
      </c>
      <c r="P139" s="5">
        <v>137</v>
      </c>
      <c r="Q139" s="5">
        <v>141.80000000000001</v>
      </c>
      <c r="R139" s="5">
        <v>135.5</v>
      </c>
      <c r="S139" s="5">
        <v>129.1</v>
      </c>
      <c r="T139" s="5">
        <v>134.5</v>
      </c>
      <c r="U139" s="5">
        <v>128.69999999999999</v>
      </c>
      <c r="V139" s="5">
        <v>124.3</v>
      </c>
      <c r="W139" s="5">
        <v>128.4</v>
      </c>
      <c r="X139" s="5">
        <v>126.1</v>
      </c>
      <c r="Y139" s="5">
        <v>115.2</v>
      </c>
      <c r="Z139" s="5">
        <v>123.5</v>
      </c>
      <c r="AA139" s="5">
        <v>132.4</v>
      </c>
      <c r="AB139" s="5">
        <v>122.1</v>
      </c>
      <c r="AC139" s="5">
        <v>123.4</v>
      </c>
      <c r="AD139" s="12">
        <v>131.4</v>
      </c>
      <c r="AE139" s="26">
        <f>COUNTIFS($A$2:$A$379,A139,$B$2:$B$379,B140,$C$2:$C$379,C139)</f>
        <v>1</v>
      </c>
    </row>
    <row r="140" spans="1:31">
      <c r="A140" s="11" t="s">
        <v>65</v>
      </c>
      <c r="B140" s="5">
        <v>2016</v>
      </c>
      <c r="C140" s="5" t="s">
        <v>79</v>
      </c>
      <c r="D140" s="5">
        <v>132</v>
      </c>
      <c r="E140" s="5">
        <v>137.4</v>
      </c>
      <c r="F140" s="5">
        <v>130.6</v>
      </c>
      <c r="G140" s="5">
        <v>136.19999999999999</v>
      </c>
      <c r="H140" s="5">
        <v>121.1</v>
      </c>
      <c r="I140" s="5">
        <v>136.9</v>
      </c>
      <c r="J140" s="5">
        <v>141.80000000000001</v>
      </c>
      <c r="K140" s="5">
        <v>170</v>
      </c>
      <c r="L140" s="5">
        <v>113.4</v>
      </c>
      <c r="M140" s="5">
        <v>136.80000000000001</v>
      </c>
      <c r="N140" s="5">
        <v>128.69999999999999</v>
      </c>
      <c r="O140" s="5">
        <v>143.1</v>
      </c>
      <c r="P140" s="5">
        <v>136.6</v>
      </c>
      <c r="Q140" s="5">
        <v>141.19999999999999</v>
      </c>
      <c r="R140" s="5">
        <v>139.9</v>
      </c>
      <c r="S140" s="5">
        <v>134.5</v>
      </c>
      <c r="T140" s="5">
        <v>139.19999999999999</v>
      </c>
      <c r="U140" s="5" t="s">
        <v>67</v>
      </c>
      <c r="V140" s="5">
        <v>130.30000000000001</v>
      </c>
      <c r="W140" s="5">
        <v>132.1</v>
      </c>
      <c r="X140" s="5">
        <v>129.1</v>
      </c>
      <c r="Y140" s="5">
        <v>118.2</v>
      </c>
      <c r="Z140" s="5">
        <v>126.9</v>
      </c>
      <c r="AA140" s="5">
        <v>133.69999999999999</v>
      </c>
      <c r="AB140" s="5">
        <v>123.5</v>
      </c>
      <c r="AC140" s="5">
        <v>126.1</v>
      </c>
      <c r="AD140" s="12">
        <v>133.6</v>
      </c>
      <c r="AE140" s="26">
        <f>COUNTIFS($A$2:$A$379,A140,$B$2:$B$379,B141,$C$2:$C$379,C140)</f>
        <v>1</v>
      </c>
    </row>
    <row r="141" spans="1:31">
      <c r="A141" s="11" t="s">
        <v>68</v>
      </c>
      <c r="B141" s="5">
        <v>2016</v>
      </c>
      <c r="C141" s="5" t="s">
        <v>79</v>
      </c>
      <c r="D141" s="5">
        <v>130.19999999999999</v>
      </c>
      <c r="E141" s="5">
        <v>138.5</v>
      </c>
      <c r="F141" s="5">
        <v>134.1</v>
      </c>
      <c r="G141" s="5">
        <v>132.9</v>
      </c>
      <c r="H141" s="5">
        <v>112.6</v>
      </c>
      <c r="I141" s="5">
        <v>130.80000000000001</v>
      </c>
      <c r="J141" s="5">
        <v>142</v>
      </c>
      <c r="K141" s="5">
        <v>174.9</v>
      </c>
      <c r="L141" s="5">
        <v>115.6</v>
      </c>
      <c r="M141" s="5">
        <v>145.4</v>
      </c>
      <c r="N141" s="5">
        <v>122.7</v>
      </c>
      <c r="O141" s="5">
        <v>140.30000000000001</v>
      </c>
      <c r="P141" s="5">
        <v>135.19999999999999</v>
      </c>
      <c r="Q141" s="5">
        <v>144.30000000000001</v>
      </c>
      <c r="R141" s="5">
        <v>129.6</v>
      </c>
      <c r="S141" s="5">
        <v>122.1</v>
      </c>
      <c r="T141" s="5">
        <v>128.5</v>
      </c>
      <c r="U141" s="5">
        <v>129.1</v>
      </c>
      <c r="V141" s="5">
        <v>116.2</v>
      </c>
      <c r="W141" s="5">
        <v>124.7</v>
      </c>
      <c r="X141" s="5">
        <v>122.1</v>
      </c>
      <c r="Y141" s="5">
        <v>113.4</v>
      </c>
      <c r="Z141" s="5">
        <v>121.7</v>
      </c>
      <c r="AA141" s="5">
        <v>132.1</v>
      </c>
      <c r="AB141" s="5">
        <v>121.3</v>
      </c>
      <c r="AC141" s="5">
        <v>121.3</v>
      </c>
      <c r="AD141" s="12">
        <v>128.5</v>
      </c>
      <c r="AE141" s="26">
        <f>COUNTIFS($A$2:$A$379,A141,$B$2:$B$379,B142,$C$2:$C$379,C141)</f>
        <v>1</v>
      </c>
    </row>
    <row r="142" spans="1:31">
      <c r="A142" s="11" t="s">
        <v>69</v>
      </c>
      <c r="B142" s="5">
        <v>2016</v>
      </c>
      <c r="C142" s="5" t="s">
        <v>79</v>
      </c>
      <c r="D142" s="5">
        <v>131.4</v>
      </c>
      <c r="E142" s="5">
        <v>137.80000000000001</v>
      </c>
      <c r="F142" s="5">
        <v>132</v>
      </c>
      <c r="G142" s="5">
        <v>135</v>
      </c>
      <c r="H142" s="5">
        <v>118</v>
      </c>
      <c r="I142" s="5">
        <v>134.1</v>
      </c>
      <c r="J142" s="5">
        <v>141.9</v>
      </c>
      <c r="K142" s="5">
        <v>171.7</v>
      </c>
      <c r="L142" s="5">
        <v>114.1</v>
      </c>
      <c r="M142" s="5">
        <v>139.69999999999999</v>
      </c>
      <c r="N142" s="5">
        <v>126.2</v>
      </c>
      <c r="O142" s="5">
        <v>141.80000000000001</v>
      </c>
      <c r="P142" s="5">
        <v>136.1</v>
      </c>
      <c r="Q142" s="5">
        <v>142</v>
      </c>
      <c r="R142" s="5">
        <v>135.80000000000001</v>
      </c>
      <c r="S142" s="5">
        <v>129.30000000000001</v>
      </c>
      <c r="T142" s="5">
        <v>135</v>
      </c>
      <c r="U142" s="5">
        <v>129.1</v>
      </c>
      <c r="V142" s="5">
        <v>125</v>
      </c>
      <c r="W142" s="5">
        <v>128.6</v>
      </c>
      <c r="X142" s="5">
        <v>126.4</v>
      </c>
      <c r="Y142" s="5">
        <v>115.7</v>
      </c>
      <c r="Z142" s="5">
        <v>124</v>
      </c>
      <c r="AA142" s="5">
        <v>132.80000000000001</v>
      </c>
      <c r="AB142" s="5">
        <v>122.6</v>
      </c>
      <c r="AC142" s="5">
        <v>123.8</v>
      </c>
      <c r="AD142" s="12">
        <v>131.19999999999999</v>
      </c>
      <c r="AE142" s="26">
        <f>COUNTIFS($A$2:$A$379,A142,$B$2:$B$379,B143,$C$2:$C$379,C142)</f>
        <v>1</v>
      </c>
    </row>
    <row r="143" spans="1:31">
      <c r="A143" s="11" t="s">
        <v>65</v>
      </c>
      <c r="B143" s="5">
        <v>2016</v>
      </c>
      <c r="C143" s="5" t="s">
        <v>80</v>
      </c>
      <c r="D143" s="5">
        <v>132.6</v>
      </c>
      <c r="E143" s="5">
        <v>137.30000000000001</v>
      </c>
      <c r="F143" s="5">
        <v>131.6</v>
      </c>
      <c r="G143" s="5">
        <v>136.30000000000001</v>
      </c>
      <c r="H143" s="5">
        <v>121.6</v>
      </c>
      <c r="I143" s="5">
        <v>135.6</v>
      </c>
      <c r="J143" s="5">
        <v>127.5</v>
      </c>
      <c r="K143" s="5">
        <v>167.9</v>
      </c>
      <c r="L143" s="5">
        <v>113.8</v>
      </c>
      <c r="M143" s="5">
        <v>137.5</v>
      </c>
      <c r="N143" s="5">
        <v>129.1</v>
      </c>
      <c r="O143" s="5">
        <v>143.6</v>
      </c>
      <c r="P143" s="5">
        <v>134.69999999999999</v>
      </c>
      <c r="Q143" s="5">
        <v>142.4</v>
      </c>
      <c r="R143" s="5">
        <v>140.4</v>
      </c>
      <c r="S143" s="5">
        <v>135.19999999999999</v>
      </c>
      <c r="T143" s="5">
        <v>139.69999999999999</v>
      </c>
      <c r="U143" s="5" t="s">
        <v>67</v>
      </c>
      <c r="V143" s="5">
        <v>132</v>
      </c>
      <c r="W143" s="5">
        <v>132.9</v>
      </c>
      <c r="X143" s="5">
        <v>129.69999999999999</v>
      </c>
      <c r="Y143" s="5">
        <v>118.6</v>
      </c>
      <c r="Z143" s="5">
        <v>127.3</v>
      </c>
      <c r="AA143" s="5">
        <v>134.19999999999999</v>
      </c>
      <c r="AB143" s="5">
        <v>121.9</v>
      </c>
      <c r="AC143" s="5">
        <v>126.3</v>
      </c>
      <c r="AD143" s="12">
        <v>132.80000000000001</v>
      </c>
      <c r="AE143" s="26">
        <f>COUNTIFS($A$2:$A$379,A143,$B$2:$B$379,B144,$C$2:$C$379,C143)</f>
        <v>1</v>
      </c>
    </row>
    <row r="144" spans="1:31">
      <c r="A144" s="11" t="s">
        <v>68</v>
      </c>
      <c r="B144" s="5">
        <v>2016</v>
      </c>
      <c r="C144" s="5" t="s">
        <v>80</v>
      </c>
      <c r="D144" s="5">
        <v>131.6</v>
      </c>
      <c r="E144" s="5">
        <v>138.19999999999999</v>
      </c>
      <c r="F144" s="5">
        <v>134.9</v>
      </c>
      <c r="G144" s="5">
        <v>133.1</v>
      </c>
      <c r="H144" s="5">
        <v>113.5</v>
      </c>
      <c r="I144" s="5">
        <v>129.30000000000001</v>
      </c>
      <c r="J144" s="5">
        <v>121.1</v>
      </c>
      <c r="K144" s="5">
        <v>170.3</v>
      </c>
      <c r="L144" s="5">
        <v>115.5</v>
      </c>
      <c r="M144" s="5">
        <v>145.5</v>
      </c>
      <c r="N144" s="5">
        <v>123.1</v>
      </c>
      <c r="O144" s="5">
        <v>140.9</v>
      </c>
      <c r="P144" s="5">
        <v>132.80000000000001</v>
      </c>
      <c r="Q144" s="5">
        <v>145</v>
      </c>
      <c r="R144" s="5">
        <v>130</v>
      </c>
      <c r="S144" s="5">
        <v>122.2</v>
      </c>
      <c r="T144" s="5">
        <v>128.80000000000001</v>
      </c>
      <c r="U144" s="5">
        <v>128.5</v>
      </c>
      <c r="V144" s="5">
        <v>117.8</v>
      </c>
      <c r="W144" s="5">
        <v>125</v>
      </c>
      <c r="X144" s="5">
        <v>122.3</v>
      </c>
      <c r="Y144" s="5">
        <v>113.7</v>
      </c>
      <c r="Z144" s="5">
        <v>121.8</v>
      </c>
      <c r="AA144" s="5">
        <v>132.30000000000001</v>
      </c>
      <c r="AB144" s="5">
        <v>119.9</v>
      </c>
      <c r="AC144" s="5">
        <v>121.4</v>
      </c>
      <c r="AD144" s="12">
        <v>127.6</v>
      </c>
      <c r="AE144" s="26">
        <f>COUNTIFS($A$2:$A$379,A144,$B$2:$B$379,B145,$C$2:$C$379,C144)</f>
        <v>1</v>
      </c>
    </row>
    <row r="145" spans="1:31">
      <c r="A145" s="11" t="s">
        <v>69</v>
      </c>
      <c r="B145" s="5">
        <v>2016</v>
      </c>
      <c r="C145" s="5" t="s">
        <v>80</v>
      </c>
      <c r="D145" s="5">
        <v>132.30000000000001</v>
      </c>
      <c r="E145" s="5">
        <v>137.6</v>
      </c>
      <c r="F145" s="5">
        <v>132.9</v>
      </c>
      <c r="G145" s="5">
        <v>135.1</v>
      </c>
      <c r="H145" s="5">
        <v>118.6</v>
      </c>
      <c r="I145" s="5">
        <v>132.69999999999999</v>
      </c>
      <c r="J145" s="5">
        <v>125.3</v>
      </c>
      <c r="K145" s="5">
        <v>168.7</v>
      </c>
      <c r="L145" s="5">
        <v>114.4</v>
      </c>
      <c r="M145" s="5">
        <v>140.19999999999999</v>
      </c>
      <c r="N145" s="5">
        <v>126.6</v>
      </c>
      <c r="O145" s="5">
        <v>142.30000000000001</v>
      </c>
      <c r="P145" s="5">
        <v>134</v>
      </c>
      <c r="Q145" s="5">
        <v>143.1</v>
      </c>
      <c r="R145" s="5">
        <v>136.30000000000001</v>
      </c>
      <c r="S145" s="5">
        <v>129.80000000000001</v>
      </c>
      <c r="T145" s="5">
        <v>135.4</v>
      </c>
      <c r="U145" s="5">
        <v>128.5</v>
      </c>
      <c r="V145" s="5">
        <v>126.6</v>
      </c>
      <c r="W145" s="5">
        <v>129.19999999999999</v>
      </c>
      <c r="X145" s="5">
        <v>126.9</v>
      </c>
      <c r="Y145" s="5">
        <v>116</v>
      </c>
      <c r="Z145" s="5">
        <v>124.2</v>
      </c>
      <c r="AA145" s="5">
        <v>133.1</v>
      </c>
      <c r="AB145" s="5">
        <v>121.1</v>
      </c>
      <c r="AC145" s="5">
        <v>123.9</v>
      </c>
      <c r="AD145" s="12">
        <v>130.4</v>
      </c>
      <c r="AE145" s="26">
        <f>COUNTIFS($A$2:$A$379,A145,$B$2:$B$379,B146,$C$2:$C$379,C145)</f>
        <v>1</v>
      </c>
    </row>
    <row r="146" spans="1:31">
      <c r="A146" s="11" t="s">
        <v>65</v>
      </c>
      <c r="B146" s="5">
        <v>2017</v>
      </c>
      <c r="C146" s="5" t="s">
        <v>66</v>
      </c>
      <c r="D146" s="5">
        <v>133.1</v>
      </c>
      <c r="E146" s="5">
        <v>137.80000000000001</v>
      </c>
      <c r="F146" s="5">
        <v>131.9</v>
      </c>
      <c r="G146" s="5">
        <v>136.69999999999999</v>
      </c>
      <c r="H146" s="5">
        <v>122</v>
      </c>
      <c r="I146" s="5">
        <v>136</v>
      </c>
      <c r="J146" s="5">
        <v>119.8</v>
      </c>
      <c r="K146" s="5">
        <v>161.69999999999999</v>
      </c>
      <c r="L146" s="5">
        <v>114.8</v>
      </c>
      <c r="M146" s="5">
        <v>136.9</v>
      </c>
      <c r="N146" s="5">
        <v>129</v>
      </c>
      <c r="O146" s="5">
        <v>143.9</v>
      </c>
      <c r="P146" s="5">
        <v>133.69999999999999</v>
      </c>
      <c r="Q146" s="5">
        <v>143.1</v>
      </c>
      <c r="R146" s="5">
        <v>140.69999999999999</v>
      </c>
      <c r="S146" s="5">
        <v>135.80000000000001</v>
      </c>
      <c r="T146" s="5">
        <v>140</v>
      </c>
      <c r="U146" s="5" t="s">
        <v>67</v>
      </c>
      <c r="V146" s="5">
        <v>132.1</v>
      </c>
      <c r="W146" s="5">
        <v>133.19999999999999</v>
      </c>
      <c r="X146" s="5">
        <v>129.9</v>
      </c>
      <c r="Y146" s="5">
        <v>119.1</v>
      </c>
      <c r="Z146" s="5">
        <v>127</v>
      </c>
      <c r="AA146" s="5">
        <v>134.6</v>
      </c>
      <c r="AB146" s="5">
        <v>122.3</v>
      </c>
      <c r="AC146" s="5">
        <v>126.6</v>
      </c>
      <c r="AD146" s="12">
        <v>132.4</v>
      </c>
      <c r="AE146" s="26">
        <f>COUNTIFS($A$2:$A$379,A146,$B$2:$B$379,B147,$C$2:$C$379,C146)</f>
        <v>1</v>
      </c>
    </row>
    <row r="147" spans="1:31">
      <c r="A147" s="11" t="s">
        <v>68</v>
      </c>
      <c r="B147" s="5">
        <v>2017</v>
      </c>
      <c r="C147" s="5" t="s">
        <v>66</v>
      </c>
      <c r="D147" s="5">
        <v>132.19999999999999</v>
      </c>
      <c r="E147" s="5">
        <v>138.9</v>
      </c>
      <c r="F147" s="5">
        <v>132.6</v>
      </c>
      <c r="G147" s="5">
        <v>133.1</v>
      </c>
      <c r="H147" s="5">
        <v>114</v>
      </c>
      <c r="I147" s="5">
        <v>129.6</v>
      </c>
      <c r="J147" s="5">
        <v>118.7</v>
      </c>
      <c r="K147" s="5">
        <v>155.1</v>
      </c>
      <c r="L147" s="5">
        <v>117.3</v>
      </c>
      <c r="M147" s="5">
        <v>144.9</v>
      </c>
      <c r="N147" s="5">
        <v>123.2</v>
      </c>
      <c r="O147" s="5">
        <v>141.6</v>
      </c>
      <c r="P147" s="5">
        <v>132</v>
      </c>
      <c r="Q147" s="5">
        <v>145.6</v>
      </c>
      <c r="R147" s="5">
        <v>130.19999999999999</v>
      </c>
      <c r="S147" s="5">
        <v>122.3</v>
      </c>
      <c r="T147" s="5">
        <v>129</v>
      </c>
      <c r="U147" s="5">
        <v>129.6</v>
      </c>
      <c r="V147" s="5">
        <v>118</v>
      </c>
      <c r="W147" s="5">
        <v>125.1</v>
      </c>
      <c r="X147" s="5">
        <v>122.6</v>
      </c>
      <c r="Y147" s="5">
        <v>115.2</v>
      </c>
      <c r="Z147" s="5">
        <v>122</v>
      </c>
      <c r="AA147" s="5">
        <v>132.4</v>
      </c>
      <c r="AB147" s="5">
        <v>120.9</v>
      </c>
      <c r="AC147" s="5">
        <v>122.1</v>
      </c>
      <c r="AD147" s="12">
        <v>127.8</v>
      </c>
      <c r="AE147" s="26">
        <f>COUNTIFS($A$2:$A$379,A147,$B$2:$B$379,B148,$C$2:$C$379,C147)</f>
        <v>1</v>
      </c>
    </row>
    <row r="148" spans="1:31">
      <c r="A148" s="11" t="s">
        <v>69</v>
      </c>
      <c r="B148" s="5">
        <v>2017</v>
      </c>
      <c r="C148" s="5" t="s">
        <v>66</v>
      </c>
      <c r="D148" s="5">
        <v>132.80000000000001</v>
      </c>
      <c r="E148" s="5">
        <v>138.19999999999999</v>
      </c>
      <c r="F148" s="5">
        <v>132.19999999999999</v>
      </c>
      <c r="G148" s="5">
        <v>135.4</v>
      </c>
      <c r="H148" s="5">
        <v>119.1</v>
      </c>
      <c r="I148" s="5">
        <v>133</v>
      </c>
      <c r="J148" s="5">
        <v>119.4</v>
      </c>
      <c r="K148" s="5">
        <v>159.5</v>
      </c>
      <c r="L148" s="5">
        <v>115.6</v>
      </c>
      <c r="M148" s="5">
        <v>139.6</v>
      </c>
      <c r="N148" s="5">
        <v>126.6</v>
      </c>
      <c r="O148" s="5">
        <v>142.80000000000001</v>
      </c>
      <c r="P148" s="5">
        <v>133.1</v>
      </c>
      <c r="Q148" s="5">
        <v>143.80000000000001</v>
      </c>
      <c r="R148" s="5">
        <v>136.6</v>
      </c>
      <c r="S148" s="5">
        <v>130.19999999999999</v>
      </c>
      <c r="T148" s="5">
        <v>135.6</v>
      </c>
      <c r="U148" s="5">
        <v>129.6</v>
      </c>
      <c r="V148" s="5">
        <v>126.8</v>
      </c>
      <c r="W148" s="5">
        <v>129.4</v>
      </c>
      <c r="X148" s="5">
        <v>127.1</v>
      </c>
      <c r="Y148" s="5">
        <v>117</v>
      </c>
      <c r="Z148" s="5">
        <v>124.2</v>
      </c>
      <c r="AA148" s="5">
        <v>133.30000000000001</v>
      </c>
      <c r="AB148" s="5">
        <v>121.7</v>
      </c>
      <c r="AC148" s="5">
        <v>124.4</v>
      </c>
      <c r="AD148" s="12">
        <v>130.30000000000001</v>
      </c>
      <c r="AE148" s="26">
        <f>COUNTIFS($A$2:$A$379,A148,$B$2:$B$379,B149,$C$2:$C$379,C148)</f>
        <v>1</v>
      </c>
    </row>
    <row r="149" spans="1:31">
      <c r="A149" s="11" t="s">
        <v>65</v>
      </c>
      <c r="B149" s="5">
        <v>2017</v>
      </c>
      <c r="C149" s="5" t="s">
        <v>70</v>
      </c>
      <c r="D149" s="5">
        <v>133.30000000000001</v>
      </c>
      <c r="E149" s="5">
        <v>138.30000000000001</v>
      </c>
      <c r="F149" s="5">
        <v>129.30000000000001</v>
      </c>
      <c r="G149" s="5">
        <v>137.19999999999999</v>
      </c>
      <c r="H149" s="5">
        <v>122.1</v>
      </c>
      <c r="I149" s="5">
        <v>138.69999999999999</v>
      </c>
      <c r="J149" s="5">
        <v>119.1</v>
      </c>
      <c r="K149" s="5">
        <v>156.9</v>
      </c>
      <c r="L149" s="5">
        <v>116.2</v>
      </c>
      <c r="M149" s="5">
        <v>136</v>
      </c>
      <c r="N149" s="5">
        <v>129.4</v>
      </c>
      <c r="O149" s="5">
        <v>144.4</v>
      </c>
      <c r="P149" s="5">
        <v>133.6</v>
      </c>
      <c r="Q149" s="5">
        <v>143.69999999999999</v>
      </c>
      <c r="R149" s="5">
        <v>140.9</v>
      </c>
      <c r="S149" s="5">
        <v>135.80000000000001</v>
      </c>
      <c r="T149" s="5">
        <v>140.19999999999999</v>
      </c>
      <c r="U149" s="5" t="s">
        <v>67</v>
      </c>
      <c r="V149" s="5">
        <v>133.19999999999999</v>
      </c>
      <c r="W149" s="5">
        <v>133.6</v>
      </c>
      <c r="X149" s="5">
        <v>130.1</v>
      </c>
      <c r="Y149" s="5">
        <v>119.5</v>
      </c>
      <c r="Z149" s="5">
        <v>127.7</v>
      </c>
      <c r="AA149" s="5">
        <v>134.9</v>
      </c>
      <c r="AB149" s="5">
        <v>123.2</v>
      </c>
      <c r="AC149" s="5">
        <v>127</v>
      </c>
      <c r="AD149" s="12">
        <v>132.6</v>
      </c>
      <c r="AE149" s="26">
        <f>COUNTIFS($A$2:$A$379,A149,$B$2:$B$379,B150,$C$2:$C$379,C149)</f>
        <v>1</v>
      </c>
    </row>
    <row r="150" spans="1:31">
      <c r="A150" s="11" t="s">
        <v>68</v>
      </c>
      <c r="B150" s="5">
        <v>2017</v>
      </c>
      <c r="C150" s="5" t="s">
        <v>70</v>
      </c>
      <c r="D150" s="5">
        <v>132.80000000000001</v>
      </c>
      <c r="E150" s="5">
        <v>139.80000000000001</v>
      </c>
      <c r="F150" s="5">
        <v>129.30000000000001</v>
      </c>
      <c r="G150" s="5">
        <v>133.5</v>
      </c>
      <c r="H150" s="5">
        <v>114.3</v>
      </c>
      <c r="I150" s="5">
        <v>131.4</v>
      </c>
      <c r="J150" s="5">
        <v>120.2</v>
      </c>
      <c r="K150" s="5">
        <v>143.1</v>
      </c>
      <c r="L150" s="5">
        <v>119.5</v>
      </c>
      <c r="M150" s="5">
        <v>144</v>
      </c>
      <c r="N150" s="5">
        <v>123.4</v>
      </c>
      <c r="O150" s="5">
        <v>141.9</v>
      </c>
      <c r="P150" s="5">
        <v>132.1</v>
      </c>
      <c r="Q150" s="5">
        <v>146.30000000000001</v>
      </c>
      <c r="R150" s="5">
        <v>130.5</v>
      </c>
      <c r="S150" s="5">
        <v>122.5</v>
      </c>
      <c r="T150" s="5">
        <v>129.30000000000001</v>
      </c>
      <c r="U150" s="5">
        <v>130.5</v>
      </c>
      <c r="V150" s="5">
        <v>119.2</v>
      </c>
      <c r="W150" s="5">
        <v>125.3</v>
      </c>
      <c r="X150" s="5">
        <v>122.9</v>
      </c>
      <c r="Y150" s="5">
        <v>115.5</v>
      </c>
      <c r="Z150" s="5">
        <v>122.2</v>
      </c>
      <c r="AA150" s="5">
        <v>132.4</v>
      </c>
      <c r="AB150" s="5">
        <v>121.7</v>
      </c>
      <c r="AC150" s="5">
        <v>122.4</v>
      </c>
      <c r="AD150" s="12">
        <v>128.19999999999999</v>
      </c>
      <c r="AE150" s="26">
        <f>COUNTIFS($A$2:$A$379,A150,$B$2:$B$379,B151,$C$2:$C$379,C150)</f>
        <v>1</v>
      </c>
    </row>
    <row r="151" spans="1:31">
      <c r="A151" s="11" t="s">
        <v>69</v>
      </c>
      <c r="B151" s="5">
        <v>2017</v>
      </c>
      <c r="C151" s="5" t="s">
        <v>70</v>
      </c>
      <c r="D151" s="5">
        <v>133.1</v>
      </c>
      <c r="E151" s="5">
        <v>138.80000000000001</v>
      </c>
      <c r="F151" s="5">
        <v>129.30000000000001</v>
      </c>
      <c r="G151" s="5">
        <v>135.80000000000001</v>
      </c>
      <c r="H151" s="5">
        <v>119.2</v>
      </c>
      <c r="I151" s="5">
        <v>135.30000000000001</v>
      </c>
      <c r="J151" s="5">
        <v>119.5</v>
      </c>
      <c r="K151" s="5">
        <v>152.19999999999999</v>
      </c>
      <c r="L151" s="5">
        <v>117.3</v>
      </c>
      <c r="M151" s="5">
        <v>138.69999999999999</v>
      </c>
      <c r="N151" s="5">
        <v>126.9</v>
      </c>
      <c r="O151" s="5">
        <v>143.19999999999999</v>
      </c>
      <c r="P151" s="5">
        <v>133</v>
      </c>
      <c r="Q151" s="5">
        <v>144.4</v>
      </c>
      <c r="R151" s="5">
        <v>136.80000000000001</v>
      </c>
      <c r="S151" s="5">
        <v>130.30000000000001</v>
      </c>
      <c r="T151" s="5">
        <v>135.9</v>
      </c>
      <c r="U151" s="5">
        <v>130.5</v>
      </c>
      <c r="V151" s="5">
        <v>127.9</v>
      </c>
      <c r="W151" s="5">
        <v>129.69999999999999</v>
      </c>
      <c r="X151" s="5">
        <v>127.4</v>
      </c>
      <c r="Y151" s="5">
        <v>117.4</v>
      </c>
      <c r="Z151" s="5">
        <v>124.6</v>
      </c>
      <c r="AA151" s="5">
        <v>133.4</v>
      </c>
      <c r="AB151" s="5">
        <v>122.6</v>
      </c>
      <c r="AC151" s="5">
        <v>124.8</v>
      </c>
      <c r="AD151" s="12">
        <v>130.6</v>
      </c>
      <c r="AE151" s="26">
        <f>COUNTIFS($A$2:$A$379,A151,$B$2:$B$379,B152,$C$2:$C$379,C151)</f>
        <v>1</v>
      </c>
    </row>
    <row r="152" spans="1:31">
      <c r="A152" s="11" t="s">
        <v>65</v>
      </c>
      <c r="B152" s="5">
        <v>2017</v>
      </c>
      <c r="C152" s="5" t="s">
        <v>71</v>
      </c>
      <c r="D152" s="5">
        <v>133.6</v>
      </c>
      <c r="E152" s="5">
        <v>138.80000000000001</v>
      </c>
      <c r="F152" s="5">
        <v>128.80000000000001</v>
      </c>
      <c r="G152" s="5">
        <v>137.19999999999999</v>
      </c>
      <c r="H152" s="5">
        <v>121.6</v>
      </c>
      <c r="I152" s="5">
        <v>139.69999999999999</v>
      </c>
      <c r="J152" s="5">
        <v>119.7</v>
      </c>
      <c r="K152" s="5">
        <v>148</v>
      </c>
      <c r="L152" s="5">
        <v>116.9</v>
      </c>
      <c r="M152" s="5">
        <v>135.6</v>
      </c>
      <c r="N152" s="5">
        <v>129.80000000000001</v>
      </c>
      <c r="O152" s="5">
        <v>145.4</v>
      </c>
      <c r="P152" s="5">
        <v>133.4</v>
      </c>
      <c r="Q152" s="5">
        <v>144.19999999999999</v>
      </c>
      <c r="R152" s="5">
        <v>141.6</v>
      </c>
      <c r="S152" s="5">
        <v>136.19999999999999</v>
      </c>
      <c r="T152" s="5">
        <v>140.80000000000001</v>
      </c>
      <c r="U152" s="5" t="s">
        <v>67</v>
      </c>
      <c r="V152" s="5">
        <v>134.19999999999999</v>
      </c>
      <c r="W152" s="5">
        <v>134.1</v>
      </c>
      <c r="X152" s="5">
        <v>130.6</v>
      </c>
      <c r="Y152" s="5">
        <v>119.8</v>
      </c>
      <c r="Z152" s="5">
        <v>128.30000000000001</v>
      </c>
      <c r="AA152" s="5">
        <v>135.19999999999999</v>
      </c>
      <c r="AB152" s="5">
        <v>123.3</v>
      </c>
      <c r="AC152" s="5">
        <v>127.4</v>
      </c>
      <c r="AD152" s="12">
        <v>132.80000000000001</v>
      </c>
      <c r="AE152" s="26">
        <f>COUNTIFS($A$2:$A$379,A152,$B$2:$B$379,B153,$C$2:$C$379,C152)</f>
        <v>1</v>
      </c>
    </row>
    <row r="153" spans="1:31">
      <c r="A153" s="11" t="s">
        <v>68</v>
      </c>
      <c r="B153" s="5">
        <v>2017</v>
      </c>
      <c r="C153" s="5" t="s">
        <v>71</v>
      </c>
      <c r="D153" s="5">
        <v>132.69999999999999</v>
      </c>
      <c r="E153" s="5">
        <v>139.4</v>
      </c>
      <c r="F153" s="5">
        <v>128.4</v>
      </c>
      <c r="G153" s="5">
        <v>134.9</v>
      </c>
      <c r="H153" s="5">
        <v>114</v>
      </c>
      <c r="I153" s="5">
        <v>136.80000000000001</v>
      </c>
      <c r="J153" s="5">
        <v>122.2</v>
      </c>
      <c r="K153" s="5">
        <v>135.80000000000001</v>
      </c>
      <c r="L153" s="5">
        <v>120.3</v>
      </c>
      <c r="M153" s="5">
        <v>142.6</v>
      </c>
      <c r="N153" s="5">
        <v>123.6</v>
      </c>
      <c r="O153" s="5">
        <v>142.4</v>
      </c>
      <c r="P153" s="5">
        <v>132.6</v>
      </c>
      <c r="Q153" s="5">
        <v>147.5</v>
      </c>
      <c r="R153" s="5">
        <v>130.80000000000001</v>
      </c>
      <c r="S153" s="5">
        <v>122.8</v>
      </c>
      <c r="T153" s="5">
        <v>129.6</v>
      </c>
      <c r="U153" s="5">
        <v>131.1</v>
      </c>
      <c r="V153" s="5">
        <v>120.8</v>
      </c>
      <c r="W153" s="5">
        <v>125.6</v>
      </c>
      <c r="X153" s="5">
        <v>123.1</v>
      </c>
      <c r="Y153" s="5">
        <v>115.6</v>
      </c>
      <c r="Z153" s="5">
        <v>122.4</v>
      </c>
      <c r="AA153" s="5">
        <v>132.80000000000001</v>
      </c>
      <c r="AB153" s="5">
        <v>121.7</v>
      </c>
      <c r="AC153" s="5">
        <v>122.6</v>
      </c>
      <c r="AD153" s="12">
        <v>128.69999999999999</v>
      </c>
      <c r="AE153" s="26">
        <f>COUNTIFS($A$2:$A$379,A153,$B$2:$B$379,B154,$C$2:$C$379,C153)</f>
        <v>1</v>
      </c>
    </row>
    <row r="154" spans="1:31">
      <c r="A154" s="11" t="s">
        <v>69</v>
      </c>
      <c r="B154" s="5">
        <v>2017</v>
      </c>
      <c r="C154" s="5" t="s">
        <v>71</v>
      </c>
      <c r="D154" s="5">
        <v>133.30000000000001</v>
      </c>
      <c r="E154" s="5">
        <v>139</v>
      </c>
      <c r="F154" s="5">
        <v>128.6</v>
      </c>
      <c r="G154" s="5">
        <v>136.30000000000001</v>
      </c>
      <c r="H154" s="5">
        <v>118.8</v>
      </c>
      <c r="I154" s="5">
        <v>138.30000000000001</v>
      </c>
      <c r="J154" s="5">
        <v>120.5</v>
      </c>
      <c r="K154" s="5">
        <v>143.9</v>
      </c>
      <c r="L154" s="5">
        <v>118</v>
      </c>
      <c r="M154" s="5">
        <v>137.9</v>
      </c>
      <c r="N154" s="5">
        <v>127.2</v>
      </c>
      <c r="O154" s="5">
        <v>144</v>
      </c>
      <c r="P154" s="5">
        <v>133.1</v>
      </c>
      <c r="Q154" s="5">
        <v>145.1</v>
      </c>
      <c r="R154" s="5">
        <v>137.30000000000001</v>
      </c>
      <c r="S154" s="5">
        <v>130.6</v>
      </c>
      <c r="T154" s="5">
        <v>136.4</v>
      </c>
      <c r="U154" s="5">
        <v>131.1</v>
      </c>
      <c r="V154" s="5">
        <v>129.1</v>
      </c>
      <c r="W154" s="5">
        <v>130.1</v>
      </c>
      <c r="X154" s="5">
        <v>127.8</v>
      </c>
      <c r="Y154" s="5">
        <v>117.6</v>
      </c>
      <c r="Z154" s="5">
        <v>125</v>
      </c>
      <c r="AA154" s="5">
        <v>133.80000000000001</v>
      </c>
      <c r="AB154" s="5">
        <v>122.6</v>
      </c>
      <c r="AC154" s="5">
        <v>125.1</v>
      </c>
      <c r="AD154" s="12">
        <v>130.9</v>
      </c>
      <c r="AE154" s="26">
        <f>COUNTIFS($A$2:$A$379,A154,$B$2:$B$379,B155,$C$2:$C$379,C154)</f>
        <v>1</v>
      </c>
    </row>
    <row r="155" spans="1:31">
      <c r="A155" s="11" t="s">
        <v>65</v>
      </c>
      <c r="B155" s="5">
        <v>2017</v>
      </c>
      <c r="C155" s="5" t="s">
        <v>72</v>
      </c>
      <c r="D155" s="5">
        <v>133.19999999999999</v>
      </c>
      <c r="E155" s="5">
        <v>138.69999999999999</v>
      </c>
      <c r="F155" s="5">
        <v>127.1</v>
      </c>
      <c r="G155" s="5">
        <v>137.69999999999999</v>
      </c>
      <c r="H155" s="5">
        <v>121.3</v>
      </c>
      <c r="I155" s="5">
        <v>141.80000000000001</v>
      </c>
      <c r="J155" s="5">
        <v>121.5</v>
      </c>
      <c r="K155" s="5">
        <v>144.5</v>
      </c>
      <c r="L155" s="5">
        <v>117.4</v>
      </c>
      <c r="M155" s="5">
        <v>134.1</v>
      </c>
      <c r="N155" s="5">
        <v>130</v>
      </c>
      <c r="O155" s="5">
        <v>145.5</v>
      </c>
      <c r="P155" s="5">
        <v>133.5</v>
      </c>
      <c r="Q155" s="5">
        <v>144.4</v>
      </c>
      <c r="R155" s="5">
        <v>142.4</v>
      </c>
      <c r="S155" s="5">
        <v>136.80000000000001</v>
      </c>
      <c r="T155" s="5">
        <v>141.6</v>
      </c>
      <c r="U155" s="5" t="s">
        <v>67</v>
      </c>
      <c r="V155" s="5">
        <v>135</v>
      </c>
      <c r="W155" s="5">
        <v>134.30000000000001</v>
      </c>
      <c r="X155" s="5">
        <v>131</v>
      </c>
      <c r="Y155" s="5">
        <v>119.2</v>
      </c>
      <c r="Z155" s="5">
        <v>128.30000000000001</v>
      </c>
      <c r="AA155" s="5">
        <v>135.69999999999999</v>
      </c>
      <c r="AB155" s="5">
        <v>123.7</v>
      </c>
      <c r="AC155" s="5">
        <v>127.5</v>
      </c>
      <c r="AD155" s="12">
        <v>132.9</v>
      </c>
      <c r="AE155" s="26">
        <f>COUNTIFS($A$2:$A$379,A155,$B$2:$B$379,B156,$C$2:$C$379,C155)</f>
        <v>1</v>
      </c>
    </row>
    <row r="156" spans="1:31">
      <c r="A156" s="11" t="s">
        <v>68</v>
      </c>
      <c r="B156" s="5">
        <v>2017</v>
      </c>
      <c r="C156" s="5" t="s">
        <v>72</v>
      </c>
      <c r="D156" s="5">
        <v>132.69999999999999</v>
      </c>
      <c r="E156" s="5">
        <v>140.6</v>
      </c>
      <c r="F156" s="5">
        <v>124.5</v>
      </c>
      <c r="G156" s="5">
        <v>136.30000000000001</v>
      </c>
      <c r="H156" s="5">
        <v>113.5</v>
      </c>
      <c r="I156" s="5">
        <v>137.69999999999999</v>
      </c>
      <c r="J156" s="5">
        <v>127.1</v>
      </c>
      <c r="K156" s="5">
        <v>133.80000000000001</v>
      </c>
      <c r="L156" s="5">
        <v>120.8</v>
      </c>
      <c r="M156" s="5">
        <v>141.30000000000001</v>
      </c>
      <c r="N156" s="5">
        <v>123.8</v>
      </c>
      <c r="O156" s="5">
        <v>142.6</v>
      </c>
      <c r="P156" s="5">
        <v>133.4</v>
      </c>
      <c r="Q156" s="5">
        <v>148</v>
      </c>
      <c r="R156" s="5">
        <v>131.19999999999999</v>
      </c>
      <c r="S156" s="5">
        <v>123</v>
      </c>
      <c r="T156" s="5">
        <v>130</v>
      </c>
      <c r="U156" s="5">
        <v>131.69999999999999</v>
      </c>
      <c r="V156" s="5">
        <v>121.4</v>
      </c>
      <c r="W156" s="5">
        <v>126</v>
      </c>
      <c r="X156" s="5">
        <v>123.4</v>
      </c>
      <c r="Y156" s="5">
        <v>114.3</v>
      </c>
      <c r="Z156" s="5">
        <v>122.6</v>
      </c>
      <c r="AA156" s="5">
        <v>133.6</v>
      </c>
      <c r="AB156" s="5">
        <v>122.2</v>
      </c>
      <c r="AC156" s="5">
        <v>122.5</v>
      </c>
      <c r="AD156" s="12">
        <v>129.1</v>
      </c>
      <c r="AE156" s="26">
        <f>COUNTIFS($A$2:$A$379,A156,$B$2:$B$379,B157,$C$2:$C$379,C156)</f>
        <v>1</v>
      </c>
    </row>
    <row r="157" spans="1:31">
      <c r="A157" s="11" t="s">
        <v>69</v>
      </c>
      <c r="B157" s="5">
        <v>2017</v>
      </c>
      <c r="C157" s="5" t="s">
        <v>72</v>
      </c>
      <c r="D157" s="5">
        <v>133</v>
      </c>
      <c r="E157" s="5">
        <v>139.4</v>
      </c>
      <c r="F157" s="5">
        <v>126.1</v>
      </c>
      <c r="G157" s="5">
        <v>137.19999999999999</v>
      </c>
      <c r="H157" s="5">
        <v>118.4</v>
      </c>
      <c r="I157" s="5">
        <v>139.9</v>
      </c>
      <c r="J157" s="5">
        <v>123.4</v>
      </c>
      <c r="K157" s="5">
        <v>140.9</v>
      </c>
      <c r="L157" s="5">
        <v>118.5</v>
      </c>
      <c r="M157" s="5">
        <v>136.5</v>
      </c>
      <c r="N157" s="5">
        <v>127.4</v>
      </c>
      <c r="O157" s="5">
        <v>144.19999999999999</v>
      </c>
      <c r="P157" s="5">
        <v>133.5</v>
      </c>
      <c r="Q157" s="5">
        <v>145.4</v>
      </c>
      <c r="R157" s="5">
        <v>138</v>
      </c>
      <c r="S157" s="5">
        <v>131.1</v>
      </c>
      <c r="T157" s="5">
        <v>137</v>
      </c>
      <c r="U157" s="5">
        <v>131.69999999999999</v>
      </c>
      <c r="V157" s="5">
        <v>129.80000000000001</v>
      </c>
      <c r="W157" s="5">
        <v>130.4</v>
      </c>
      <c r="X157" s="5">
        <v>128.1</v>
      </c>
      <c r="Y157" s="5">
        <v>116.6</v>
      </c>
      <c r="Z157" s="5">
        <v>125.1</v>
      </c>
      <c r="AA157" s="5">
        <v>134.5</v>
      </c>
      <c r="AB157" s="5">
        <v>123.1</v>
      </c>
      <c r="AC157" s="5">
        <v>125.1</v>
      </c>
      <c r="AD157" s="12">
        <v>131.1</v>
      </c>
      <c r="AE157" s="26">
        <f>COUNTIFS($A$2:$A$379,A157,$B$2:$B$379,B158,$C$2:$C$379,C157)</f>
        <v>1</v>
      </c>
    </row>
    <row r="158" spans="1:31">
      <c r="A158" s="11" t="s">
        <v>65</v>
      </c>
      <c r="B158" s="5">
        <v>2017</v>
      </c>
      <c r="C158" s="5" t="s">
        <v>73</v>
      </c>
      <c r="D158" s="5">
        <v>133.1</v>
      </c>
      <c r="E158" s="5">
        <v>140.30000000000001</v>
      </c>
      <c r="F158" s="5">
        <v>126.8</v>
      </c>
      <c r="G158" s="5">
        <v>138.19999999999999</v>
      </c>
      <c r="H158" s="5">
        <v>120.8</v>
      </c>
      <c r="I158" s="5">
        <v>140.19999999999999</v>
      </c>
      <c r="J158" s="5">
        <v>123.8</v>
      </c>
      <c r="K158" s="5">
        <v>141.80000000000001</v>
      </c>
      <c r="L158" s="5">
        <v>118.6</v>
      </c>
      <c r="M158" s="5">
        <v>134</v>
      </c>
      <c r="N158" s="5">
        <v>130.30000000000001</v>
      </c>
      <c r="O158" s="5">
        <v>145.80000000000001</v>
      </c>
      <c r="P158" s="5">
        <v>133.80000000000001</v>
      </c>
      <c r="Q158" s="5">
        <v>145.5</v>
      </c>
      <c r="R158" s="5">
        <v>142.5</v>
      </c>
      <c r="S158" s="5">
        <v>137.30000000000001</v>
      </c>
      <c r="T158" s="5">
        <v>141.80000000000001</v>
      </c>
      <c r="U158" s="5" t="s">
        <v>67</v>
      </c>
      <c r="V158" s="5">
        <v>135</v>
      </c>
      <c r="W158" s="5">
        <v>134.9</v>
      </c>
      <c r="X158" s="5">
        <v>131.4</v>
      </c>
      <c r="Y158" s="5">
        <v>119.4</v>
      </c>
      <c r="Z158" s="5">
        <v>129.4</v>
      </c>
      <c r="AA158" s="5">
        <v>136.30000000000001</v>
      </c>
      <c r="AB158" s="5">
        <v>123.7</v>
      </c>
      <c r="AC158" s="5">
        <v>127.9</v>
      </c>
      <c r="AD158" s="12">
        <v>133.30000000000001</v>
      </c>
      <c r="AE158" s="26">
        <f>COUNTIFS($A$2:$A$379,A158,$B$2:$B$379,B159,$C$2:$C$379,C158)</f>
        <v>1</v>
      </c>
    </row>
    <row r="159" spans="1:31">
      <c r="A159" s="11" t="s">
        <v>68</v>
      </c>
      <c r="B159" s="5">
        <v>2017</v>
      </c>
      <c r="C159" s="5" t="s">
        <v>73</v>
      </c>
      <c r="D159" s="5">
        <v>132.6</v>
      </c>
      <c r="E159" s="5">
        <v>144.1</v>
      </c>
      <c r="F159" s="5">
        <v>125.6</v>
      </c>
      <c r="G159" s="5">
        <v>136.80000000000001</v>
      </c>
      <c r="H159" s="5">
        <v>113.4</v>
      </c>
      <c r="I159" s="5">
        <v>135.19999999999999</v>
      </c>
      <c r="J159" s="5">
        <v>129.19999999999999</v>
      </c>
      <c r="K159" s="5">
        <v>131.5</v>
      </c>
      <c r="L159" s="5">
        <v>121</v>
      </c>
      <c r="M159" s="5">
        <v>139.9</v>
      </c>
      <c r="N159" s="5">
        <v>123.8</v>
      </c>
      <c r="O159" s="5">
        <v>142.9</v>
      </c>
      <c r="P159" s="5">
        <v>133.6</v>
      </c>
      <c r="Q159" s="5">
        <v>148.30000000000001</v>
      </c>
      <c r="R159" s="5">
        <v>131.5</v>
      </c>
      <c r="S159" s="5">
        <v>123.2</v>
      </c>
      <c r="T159" s="5">
        <v>130.19999999999999</v>
      </c>
      <c r="U159" s="5">
        <v>132.1</v>
      </c>
      <c r="V159" s="5">
        <v>120.1</v>
      </c>
      <c r="W159" s="5">
        <v>126.5</v>
      </c>
      <c r="X159" s="5">
        <v>123.6</v>
      </c>
      <c r="Y159" s="5">
        <v>114.3</v>
      </c>
      <c r="Z159" s="5">
        <v>122.8</v>
      </c>
      <c r="AA159" s="5">
        <v>133.80000000000001</v>
      </c>
      <c r="AB159" s="5">
        <v>122</v>
      </c>
      <c r="AC159" s="5">
        <v>122.6</v>
      </c>
      <c r="AD159" s="12">
        <v>129.30000000000001</v>
      </c>
      <c r="AE159" s="26">
        <f>COUNTIFS($A$2:$A$379,A159,$B$2:$B$379,B160,$C$2:$C$379,C159)</f>
        <v>1</v>
      </c>
    </row>
    <row r="160" spans="1:31">
      <c r="A160" s="11" t="s">
        <v>69</v>
      </c>
      <c r="B160" s="5">
        <v>2017</v>
      </c>
      <c r="C160" s="5" t="s">
        <v>73</v>
      </c>
      <c r="D160" s="5">
        <v>132.9</v>
      </c>
      <c r="E160" s="5">
        <v>141.6</v>
      </c>
      <c r="F160" s="5">
        <v>126.3</v>
      </c>
      <c r="G160" s="5">
        <v>137.69999999999999</v>
      </c>
      <c r="H160" s="5">
        <v>118.1</v>
      </c>
      <c r="I160" s="5">
        <v>137.9</v>
      </c>
      <c r="J160" s="5">
        <v>125.6</v>
      </c>
      <c r="K160" s="5">
        <v>138.30000000000001</v>
      </c>
      <c r="L160" s="5">
        <v>119.4</v>
      </c>
      <c r="M160" s="5">
        <v>136</v>
      </c>
      <c r="N160" s="5">
        <v>127.6</v>
      </c>
      <c r="O160" s="5">
        <v>144.5</v>
      </c>
      <c r="P160" s="5">
        <v>133.69999999999999</v>
      </c>
      <c r="Q160" s="5">
        <v>146.19999999999999</v>
      </c>
      <c r="R160" s="5">
        <v>138.19999999999999</v>
      </c>
      <c r="S160" s="5">
        <v>131.4</v>
      </c>
      <c r="T160" s="5">
        <v>137.19999999999999</v>
      </c>
      <c r="U160" s="5">
        <v>132.1</v>
      </c>
      <c r="V160" s="5">
        <v>129.4</v>
      </c>
      <c r="W160" s="5">
        <v>130.9</v>
      </c>
      <c r="X160" s="5">
        <v>128.4</v>
      </c>
      <c r="Y160" s="5">
        <v>116.7</v>
      </c>
      <c r="Z160" s="5">
        <v>125.7</v>
      </c>
      <c r="AA160" s="5">
        <v>134.80000000000001</v>
      </c>
      <c r="AB160" s="5">
        <v>123</v>
      </c>
      <c r="AC160" s="5">
        <v>125.3</v>
      </c>
      <c r="AD160" s="12">
        <v>131.4</v>
      </c>
      <c r="AE160" s="26">
        <f>COUNTIFS($A$2:$A$379,A160,$B$2:$B$379,B161,$C$2:$C$379,C160)</f>
        <v>1</v>
      </c>
    </row>
    <row r="161" spans="1:31">
      <c r="A161" s="11" t="s">
        <v>65</v>
      </c>
      <c r="B161" s="5">
        <v>2017</v>
      </c>
      <c r="C161" s="5" t="s">
        <v>74</v>
      </c>
      <c r="D161" s="5">
        <v>133.5</v>
      </c>
      <c r="E161" s="5">
        <v>143.69999999999999</v>
      </c>
      <c r="F161" s="5">
        <v>128</v>
      </c>
      <c r="G161" s="5">
        <v>138.6</v>
      </c>
      <c r="H161" s="5">
        <v>120.9</v>
      </c>
      <c r="I161" s="5">
        <v>140.9</v>
      </c>
      <c r="J161" s="5">
        <v>128.80000000000001</v>
      </c>
      <c r="K161" s="5">
        <v>140.19999999999999</v>
      </c>
      <c r="L161" s="5">
        <v>118.9</v>
      </c>
      <c r="M161" s="5">
        <v>133.5</v>
      </c>
      <c r="N161" s="5">
        <v>130.4</v>
      </c>
      <c r="O161" s="5">
        <v>146.5</v>
      </c>
      <c r="P161" s="5">
        <v>134.9</v>
      </c>
      <c r="Q161" s="5">
        <v>145.80000000000001</v>
      </c>
      <c r="R161" s="5">
        <v>143.1</v>
      </c>
      <c r="S161" s="5">
        <v>137.69999999999999</v>
      </c>
      <c r="T161" s="5">
        <v>142.30000000000001</v>
      </c>
      <c r="U161" s="5" t="s">
        <v>67</v>
      </c>
      <c r="V161" s="5">
        <v>134.80000000000001</v>
      </c>
      <c r="W161" s="5">
        <v>135.19999999999999</v>
      </c>
      <c r="X161" s="5">
        <v>131.30000000000001</v>
      </c>
      <c r="Y161" s="5">
        <v>119.4</v>
      </c>
      <c r="Z161" s="5">
        <v>129.80000000000001</v>
      </c>
      <c r="AA161" s="5">
        <v>136.9</v>
      </c>
      <c r="AB161" s="5">
        <v>124.1</v>
      </c>
      <c r="AC161" s="5">
        <v>128.1</v>
      </c>
      <c r="AD161" s="12">
        <v>133.9</v>
      </c>
      <c r="AE161" s="26">
        <f>COUNTIFS($A$2:$A$379,A161,$B$2:$B$379,B162,$C$2:$C$379,C161)</f>
        <v>1</v>
      </c>
    </row>
    <row r="162" spans="1:31">
      <c r="A162" s="11" t="s">
        <v>68</v>
      </c>
      <c r="B162" s="5">
        <v>2017</v>
      </c>
      <c r="C162" s="5" t="s">
        <v>74</v>
      </c>
      <c r="D162" s="5">
        <v>132.9</v>
      </c>
      <c r="E162" s="5">
        <v>148.69999999999999</v>
      </c>
      <c r="F162" s="5">
        <v>128.30000000000001</v>
      </c>
      <c r="G162" s="5">
        <v>137.30000000000001</v>
      </c>
      <c r="H162" s="5">
        <v>113.5</v>
      </c>
      <c r="I162" s="5">
        <v>137.19999999999999</v>
      </c>
      <c r="J162" s="5">
        <v>142.19999999999999</v>
      </c>
      <c r="K162" s="5">
        <v>128.19999999999999</v>
      </c>
      <c r="L162" s="5">
        <v>120.9</v>
      </c>
      <c r="M162" s="5">
        <v>138.80000000000001</v>
      </c>
      <c r="N162" s="5">
        <v>124.2</v>
      </c>
      <c r="O162" s="5">
        <v>143.1</v>
      </c>
      <c r="P162" s="5">
        <v>135.69999999999999</v>
      </c>
      <c r="Q162" s="5">
        <v>148.6</v>
      </c>
      <c r="R162" s="5">
        <v>131.5</v>
      </c>
      <c r="S162" s="5">
        <v>123.2</v>
      </c>
      <c r="T162" s="5">
        <v>130.19999999999999</v>
      </c>
      <c r="U162" s="5">
        <v>131.4</v>
      </c>
      <c r="V162" s="5">
        <v>119</v>
      </c>
      <c r="W162" s="5">
        <v>126.8</v>
      </c>
      <c r="X162" s="5">
        <v>123.8</v>
      </c>
      <c r="Y162" s="5">
        <v>113.9</v>
      </c>
      <c r="Z162" s="5">
        <v>122.9</v>
      </c>
      <c r="AA162" s="5">
        <v>134.30000000000001</v>
      </c>
      <c r="AB162" s="5">
        <v>122.5</v>
      </c>
      <c r="AC162" s="5">
        <v>122.7</v>
      </c>
      <c r="AD162" s="12">
        <v>129.9</v>
      </c>
      <c r="AE162" s="26">
        <f>COUNTIFS($A$2:$A$379,A162,$B$2:$B$379,B163,$C$2:$C$379,C162)</f>
        <v>1</v>
      </c>
    </row>
    <row r="163" spans="1:31">
      <c r="A163" s="11" t="s">
        <v>69</v>
      </c>
      <c r="B163" s="5">
        <v>2017</v>
      </c>
      <c r="C163" s="5" t="s">
        <v>74</v>
      </c>
      <c r="D163" s="5">
        <v>133.30000000000001</v>
      </c>
      <c r="E163" s="5">
        <v>145.5</v>
      </c>
      <c r="F163" s="5">
        <v>128.1</v>
      </c>
      <c r="G163" s="5">
        <v>138.1</v>
      </c>
      <c r="H163" s="5">
        <v>118.2</v>
      </c>
      <c r="I163" s="5">
        <v>139.19999999999999</v>
      </c>
      <c r="J163" s="5">
        <v>133.30000000000001</v>
      </c>
      <c r="K163" s="5">
        <v>136.19999999999999</v>
      </c>
      <c r="L163" s="5">
        <v>119.6</v>
      </c>
      <c r="M163" s="5">
        <v>135.30000000000001</v>
      </c>
      <c r="N163" s="5">
        <v>127.8</v>
      </c>
      <c r="O163" s="5">
        <v>144.9</v>
      </c>
      <c r="P163" s="5">
        <v>135.19999999999999</v>
      </c>
      <c r="Q163" s="5">
        <v>146.5</v>
      </c>
      <c r="R163" s="5">
        <v>138.5</v>
      </c>
      <c r="S163" s="5">
        <v>131.69999999999999</v>
      </c>
      <c r="T163" s="5">
        <v>137.5</v>
      </c>
      <c r="U163" s="5">
        <v>131.4</v>
      </c>
      <c r="V163" s="5">
        <v>128.80000000000001</v>
      </c>
      <c r="W163" s="5">
        <v>131.19999999999999</v>
      </c>
      <c r="X163" s="5">
        <v>128.5</v>
      </c>
      <c r="Y163" s="5">
        <v>116.5</v>
      </c>
      <c r="Z163" s="5">
        <v>125.9</v>
      </c>
      <c r="AA163" s="5">
        <v>135.4</v>
      </c>
      <c r="AB163" s="5">
        <v>123.4</v>
      </c>
      <c r="AC163" s="5">
        <v>125.5</v>
      </c>
      <c r="AD163" s="12">
        <v>132</v>
      </c>
      <c r="AE163" s="26">
        <f>COUNTIFS($A$2:$A$379,A163,$B$2:$B$379,B164,$C$2:$C$379,C163)</f>
        <v>1</v>
      </c>
    </row>
    <row r="164" spans="1:31">
      <c r="A164" s="11" t="s">
        <v>65</v>
      </c>
      <c r="B164" s="5">
        <v>2017</v>
      </c>
      <c r="C164" s="5" t="s">
        <v>75</v>
      </c>
      <c r="D164" s="5">
        <v>134</v>
      </c>
      <c r="E164" s="5">
        <v>144.19999999999999</v>
      </c>
      <c r="F164" s="5">
        <v>129.80000000000001</v>
      </c>
      <c r="G164" s="5">
        <v>139</v>
      </c>
      <c r="H164" s="5">
        <v>120.9</v>
      </c>
      <c r="I164" s="5">
        <v>143.9</v>
      </c>
      <c r="J164" s="5">
        <v>151.5</v>
      </c>
      <c r="K164" s="5">
        <v>138.1</v>
      </c>
      <c r="L164" s="5">
        <v>120</v>
      </c>
      <c r="M164" s="5">
        <v>133.9</v>
      </c>
      <c r="N164" s="5">
        <v>131.4</v>
      </c>
      <c r="O164" s="5">
        <v>147.69999999999999</v>
      </c>
      <c r="P164" s="5">
        <v>138.5</v>
      </c>
      <c r="Q164" s="5">
        <v>147.4</v>
      </c>
      <c r="R164" s="5">
        <v>144.30000000000001</v>
      </c>
      <c r="S164" s="5">
        <v>138.1</v>
      </c>
      <c r="T164" s="5">
        <v>143.5</v>
      </c>
      <c r="U164" s="5" t="s">
        <v>67</v>
      </c>
      <c r="V164" s="5">
        <v>135.30000000000001</v>
      </c>
      <c r="W164" s="5">
        <v>136.1</v>
      </c>
      <c r="X164" s="5">
        <v>132.1</v>
      </c>
      <c r="Y164" s="5">
        <v>119.1</v>
      </c>
      <c r="Z164" s="5">
        <v>130.6</v>
      </c>
      <c r="AA164" s="5">
        <v>138.6</v>
      </c>
      <c r="AB164" s="5">
        <v>124.4</v>
      </c>
      <c r="AC164" s="5">
        <v>128.6</v>
      </c>
      <c r="AD164" s="12">
        <v>136.19999999999999</v>
      </c>
      <c r="AE164" s="26">
        <f>COUNTIFS($A$2:$A$379,A164,$B$2:$B$379,B165,$C$2:$C$379,C164)</f>
        <v>1</v>
      </c>
    </row>
    <row r="165" spans="1:31">
      <c r="A165" s="11" t="s">
        <v>68</v>
      </c>
      <c r="B165" s="5">
        <v>2017</v>
      </c>
      <c r="C165" s="5" t="s">
        <v>75</v>
      </c>
      <c r="D165" s="5">
        <v>132.80000000000001</v>
      </c>
      <c r="E165" s="5">
        <v>148.4</v>
      </c>
      <c r="F165" s="5">
        <v>129.4</v>
      </c>
      <c r="G165" s="5">
        <v>137.69999999999999</v>
      </c>
      <c r="H165" s="5">
        <v>113.4</v>
      </c>
      <c r="I165" s="5">
        <v>139.4</v>
      </c>
      <c r="J165" s="5">
        <v>175.1</v>
      </c>
      <c r="K165" s="5">
        <v>124.7</v>
      </c>
      <c r="L165" s="5">
        <v>121.5</v>
      </c>
      <c r="M165" s="5">
        <v>137.80000000000001</v>
      </c>
      <c r="N165" s="5">
        <v>124.4</v>
      </c>
      <c r="O165" s="5">
        <v>143.69999999999999</v>
      </c>
      <c r="P165" s="5">
        <v>139.80000000000001</v>
      </c>
      <c r="Q165" s="5">
        <v>150.5</v>
      </c>
      <c r="R165" s="5">
        <v>131.6</v>
      </c>
      <c r="S165" s="5">
        <v>123.7</v>
      </c>
      <c r="T165" s="5">
        <v>130.4</v>
      </c>
      <c r="U165" s="5">
        <v>132.6</v>
      </c>
      <c r="V165" s="5">
        <v>119.7</v>
      </c>
      <c r="W165" s="5">
        <v>127.2</v>
      </c>
      <c r="X165" s="5">
        <v>125</v>
      </c>
      <c r="Y165" s="5">
        <v>113.2</v>
      </c>
      <c r="Z165" s="5">
        <v>123.5</v>
      </c>
      <c r="AA165" s="5">
        <v>135.5</v>
      </c>
      <c r="AB165" s="5">
        <v>122.4</v>
      </c>
      <c r="AC165" s="5">
        <v>123</v>
      </c>
      <c r="AD165" s="12">
        <v>131.80000000000001</v>
      </c>
      <c r="AE165" s="26">
        <f>COUNTIFS($A$2:$A$379,A165,$B$2:$B$379,B166,$C$2:$C$379,C165)</f>
        <v>1</v>
      </c>
    </row>
    <row r="166" spans="1:31">
      <c r="A166" s="11" t="s">
        <v>69</v>
      </c>
      <c r="B166" s="5">
        <v>2017</v>
      </c>
      <c r="C166" s="5" t="s">
        <v>75</v>
      </c>
      <c r="D166" s="5">
        <v>133.6</v>
      </c>
      <c r="E166" s="5">
        <v>145.69999999999999</v>
      </c>
      <c r="F166" s="5">
        <v>129.6</v>
      </c>
      <c r="G166" s="5">
        <v>138.5</v>
      </c>
      <c r="H166" s="5">
        <v>118.1</v>
      </c>
      <c r="I166" s="5">
        <v>141.80000000000001</v>
      </c>
      <c r="J166" s="5">
        <v>159.5</v>
      </c>
      <c r="K166" s="5">
        <v>133.6</v>
      </c>
      <c r="L166" s="5">
        <v>120.5</v>
      </c>
      <c r="M166" s="5">
        <v>135.19999999999999</v>
      </c>
      <c r="N166" s="5">
        <v>128.5</v>
      </c>
      <c r="O166" s="5">
        <v>145.80000000000001</v>
      </c>
      <c r="P166" s="5">
        <v>139</v>
      </c>
      <c r="Q166" s="5">
        <v>148.19999999999999</v>
      </c>
      <c r="R166" s="5">
        <v>139.30000000000001</v>
      </c>
      <c r="S166" s="5">
        <v>132.1</v>
      </c>
      <c r="T166" s="5">
        <v>138.30000000000001</v>
      </c>
      <c r="U166" s="5">
        <v>132.6</v>
      </c>
      <c r="V166" s="5">
        <v>129.4</v>
      </c>
      <c r="W166" s="5">
        <v>131.9</v>
      </c>
      <c r="X166" s="5">
        <v>129.4</v>
      </c>
      <c r="Y166" s="5">
        <v>116</v>
      </c>
      <c r="Z166" s="5">
        <v>126.6</v>
      </c>
      <c r="AA166" s="5">
        <v>136.80000000000001</v>
      </c>
      <c r="AB166" s="5">
        <v>123.6</v>
      </c>
      <c r="AC166" s="5">
        <v>125.9</v>
      </c>
      <c r="AD166" s="12">
        <v>134.19999999999999</v>
      </c>
      <c r="AE166" s="26">
        <f>COUNTIFS($A$2:$A$379,A166,$B$2:$B$379,B167,$C$2:$C$379,C166)</f>
        <v>1</v>
      </c>
    </row>
    <row r="167" spans="1:31">
      <c r="A167" s="11" t="s">
        <v>65</v>
      </c>
      <c r="B167" s="5">
        <v>2017</v>
      </c>
      <c r="C167" s="5" t="s">
        <v>76</v>
      </c>
      <c r="D167" s="5">
        <v>134.80000000000001</v>
      </c>
      <c r="E167" s="5">
        <v>143.1</v>
      </c>
      <c r="F167" s="5">
        <v>130</v>
      </c>
      <c r="G167" s="5">
        <v>139.4</v>
      </c>
      <c r="H167" s="5">
        <v>120.5</v>
      </c>
      <c r="I167" s="5">
        <v>148</v>
      </c>
      <c r="J167" s="5">
        <v>162.9</v>
      </c>
      <c r="K167" s="5">
        <v>137.4</v>
      </c>
      <c r="L167" s="5">
        <v>120.8</v>
      </c>
      <c r="M167" s="5">
        <v>134.69999999999999</v>
      </c>
      <c r="N167" s="5">
        <v>131.6</v>
      </c>
      <c r="O167" s="5">
        <v>148.69999999999999</v>
      </c>
      <c r="P167" s="5">
        <v>140.6</v>
      </c>
      <c r="Q167" s="5">
        <v>149</v>
      </c>
      <c r="R167" s="5">
        <v>145.30000000000001</v>
      </c>
      <c r="S167" s="5">
        <v>139.19999999999999</v>
      </c>
      <c r="T167" s="5">
        <v>144.5</v>
      </c>
      <c r="U167" s="5" t="s">
        <v>67</v>
      </c>
      <c r="V167" s="5">
        <v>136.4</v>
      </c>
      <c r="W167" s="5">
        <v>137.30000000000001</v>
      </c>
      <c r="X167" s="5">
        <v>133</v>
      </c>
      <c r="Y167" s="5">
        <v>120.3</v>
      </c>
      <c r="Z167" s="5">
        <v>131.5</v>
      </c>
      <c r="AA167" s="5">
        <v>140.19999999999999</v>
      </c>
      <c r="AB167" s="5">
        <v>125.4</v>
      </c>
      <c r="AC167" s="5">
        <v>129.69999999999999</v>
      </c>
      <c r="AD167" s="12">
        <v>137.80000000000001</v>
      </c>
      <c r="AE167" s="26">
        <f>COUNTIFS($A$2:$A$379,A167,$B$2:$B$379,B168,$C$2:$C$379,C167)</f>
        <v>1</v>
      </c>
    </row>
    <row r="168" spans="1:31">
      <c r="A168" s="11" t="s">
        <v>68</v>
      </c>
      <c r="B168" s="5">
        <v>2017</v>
      </c>
      <c r="C168" s="5" t="s">
        <v>76</v>
      </c>
      <c r="D168" s="5">
        <v>133.19999999999999</v>
      </c>
      <c r="E168" s="5">
        <v>143.9</v>
      </c>
      <c r="F168" s="5">
        <v>128.30000000000001</v>
      </c>
      <c r="G168" s="5">
        <v>138.30000000000001</v>
      </c>
      <c r="H168" s="5">
        <v>114.1</v>
      </c>
      <c r="I168" s="5">
        <v>142.69999999999999</v>
      </c>
      <c r="J168" s="5">
        <v>179.8</v>
      </c>
      <c r="K168" s="5">
        <v>123.5</v>
      </c>
      <c r="L168" s="5">
        <v>122.1</v>
      </c>
      <c r="M168" s="5">
        <v>137.5</v>
      </c>
      <c r="N168" s="5">
        <v>124.6</v>
      </c>
      <c r="O168" s="5">
        <v>144.5</v>
      </c>
      <c r="P168" s="5">
        <v>140.5</v>
      </c>
      <c r="Q168" s="5">
        <v>152.1</v>
      </c>
      <c r="R168" s="5">
        <v>132.69999999999999</v>
      </c>
      <c r="S168" s="5">
        <v>124.3</v>
      </c>
      <c r="T168" s="5">
        <v>131.4</v>
      </c>
      <c r="U168" s="5">
        <v>134.4</v>
      </c>
      <c r="V168" s="5">
        <v>118.9</v>
      </c>
      <c r="W168" s="5">
        <v>127.7</v>
      </c>
      <c r="X168" s="5">
        <v>125.7</v>
      </c>
      <c r="Y168" s="5">
        <v>114.6</v>
      </c>
      <c r="Z168" s="5">
        <v>124.1</v>
      </c>
      <c r="AA168" s="5">
        <v>135.69999999999999</v>
      </c>
      <c r="AB168" s="5">
        <v>123.3</v>
      </c>
      <c r="AC168" s="5">
        <v>123.8</v>
      </c>
      <c r="AD168" s="12">
        <v>132.69999999999999</v>
      </c>
      <c r="AE168" s="26">
        <f>COUNTIFS($A$2:$A$379,A168,$B$2:$B$379,B169,$C$2:$C$379,C168)</f>
        <v>1</v>
      </c>
    </row>
    <row r="169" spans="1:31">
      <c r="A169" s="11" t="s">
        <v>69</v>
      </c>
      <c r="B169" s="5">
        <v>2017</v>
      </c>
      <c r="C169" s="5" t="s">
        <v>76</v>
      </c>
      <c r="D169" s="5">
        <v>134.30000000000001</v>
      </c>
      <c r="E169" s="5">
        <v>143.4</v>
      </c>
      <c r="F169" s="5">
        <v>129.30000000000001</v>
      </c>
      <c r="G169" s="5">
        <v>139</v>
      </c>
      <c r="H169" s="5">
        <v>118.1</v>
      </c>
      <c r="I169" s="5">
        <v>145.5</v>
      </c>
      <c r="J169" s="5">
        <v>168.6</v>
      </c>
      <c r="K169" s="5">
        <v>132.69999999999999</v>
      </c>
      <c r="L169" s="5">
        <v>121.2</v>
      </c>
      <c r="M169" s="5">
        <v>135.6</v>
      </c>
      <c r="N169" s="5">
        <v>128.69999999999999</v>
      </c>
      <c r="O169" s="5">
        <v>146.80000000000001</v>
      </c>
      <c r="P169" s="5">
        <v>140.6</v>
      </c>
      <c r="Q169" s="5">
        <v>149.80000000000001</v>
      </c>
      <c r="R169" s="5">
        <v>140.30000000000001</v>
      </c>
      <c r="S169" s="5">
        <v>133</v>
      </c>
      <c r="T169" s="5">
        <v>139.30000000000001</v>
      </c>
      <c r="U169" s="5">
        <v>134.4</v>
      </c>
      <c r="V169" s="5">
        <v>129.80000000000001</v>
      </c>
      <c r="W169" s="5">
        <v>132.80000000000001</v>
      </c>
      <c r="X169" s="5">
        <v>130.19999999999999</v>
      </c>
      <c r="Y169" s="5">
        <v>117.3</v>
      </c>
      <c r="Z169" s="5">
        <v>127.3</v>
      </c>
      <c r="AA169" s="5">
        <v>137.6</v>
      </c>
      <c r="AB169" s="5">
        <v>124.5</v>
      </c>
      <c r="AC169" s="5">
        <v>126.8</v>
      </c>
      <c r="AD169" s="12">
        <v>135.4</v>
      </c>
      <c r="AE169" s="26">
        <f>COUNTIFS($A$2:$A$379,A169,$B$2:$B$379,B170,$C$2:$C$379,C169)</f>
        <v>1</v>
      </c>
    </row>
    <row r="170" spans="1:31">
      <c r="A170" s="11" t="s">
        <v>65</v>
      </c>
      <c r="B170" s="5">
        <v>2017</v>
      </c>
      <c r="C170" s="5" t="s">
        <v>77</v>
      </c>
      <c r="D170" s="5">
        <v>135.19999999999999</v>
      </c>
      <c r="E170" s="5">
        <v>142</v>
      </c>
      <c r="F170" s="5">
        <v>130.5</v>
      </c>
      <c r="G170" s="5">
        <v>140.19999999999999</v>
      </c>
      <c r="H170" s="5">
        <v>120.7</v>
      </c>
      <c r="I170" s="5">
        <v>147.80000000000001</v>
      </c>
      <c r="J170" s="5">
        <v>154.5</v>
      </c>
      <c r="K170" s="5">
        <v>137.1</v>
      </c>
      <c r="L170" s="5">
        <v>121</v>
      </c>
      <c r="M170" s="5">
        <v>134.69999999999999</v>
      </c>
      <c r="N170" s="5">
        <v>131.69999999999999</v>
      </c>
      <c r="O170" s="5">
        <v>149.30000000000001</v>
      </c>
      <c r="P170" s="5">
        <v>139.6</v>
      </c>
      <c r="Q170" s="5">
        <v>149.80000000000001</v>
      </c>
      <c r="R170" s="5">
        <v>146.1</v>
      </c>
      <c r="S170" s="5">
        <v>139.69999999999999</v>
      </c>
      <c r="T170" s="5">
        <v>145.19999999999999</v>
      </c>
      <c r="U170" s="5" t="s">
        <v>67</v>
      </c>
      <c r="V170" s="5">
        <v>137.4</v>
      </c>
      <c r="W170" s="5">
        <v>137.9</v>
      </c>
      <c r="X170" s="5">
        <v>133.4</v>
      </c>
      <c r="Y170" s="5">
        <v>121.2</v>
      </c>
      <c r="Z170" s="5">
        <v>132.30000000000001</v>
      </c>
      <c r="AA170" s="5">
        <v>139.6</v>
      </c>
      <c r="AB170" s="5">
        <v>126.7</v>
      </c>
      <c r="AC170" s="5">
        <v>130.30000000000001</v>
      </c>
      <c r="AD170" s="12">
        <v>137.6</v>
      </c>
      <c r="AE170" s="26">
        <f>COUNTIFS($A$2:$A$379,A170,$B$2:$B$379,B171,$C$2:$C$379,C170)</f>
        <v>1</v>
      </c>
    </row>
    <row r="171" spans="1:31">
      <c r="A171" s="11" t="s">
        <v>68</v>
      </c>
      <c r="B171" s="5">
        <v>2017</v>
      </c>
      <c r="C171" s="5" t="s">
        <v>77</v>
      </c>
      <c r="D171" s="5">
        <v>133.6</v>
      </c>
      <c r="E171" s="5">
        <v>143</v>
      </c>
      <c r="F171" s="5">
        <v>129.69999999999999</v>
      </c>
      <c r="G171" s="5">
        <v>138.69999999999999</v>
      </c>
      <c r="H171" s="5">
        <v>114.5</v>
      </c>
      <c r="I171" s="5">
        <v>137.5</v>
      </c>
      <c r="J171" s="5">
        <v>160.69999999999999</v>
      </c>
      <c r="K171" s="5">
        <v>124.5</v>
      </c>
      <c r="L171" s="5">
        <v>122.4</v>
      </c>
      <c r="M171" s="5">
        <v>137.30000000000001</v>
      </c>
      <c r="N171" s="5">
        <v>124.8</v>
      </c>
      <c r="O171" s="5">
        <v>145</v>
      </c>
      <c r="P171" s="5">
        <v>138</v>
      </c>
      <c r="Q171" s="5">
        <v>153.6</v>
      </c>
      <c r="R171" s="5">
        <v>133.30000000000001</v>
      </c>
      <c r="S171" s="5">
        <v>124.6</v>
      </c>
      <c r="T171" s="5">
        <v>132</v>
      </c>
      <c r="U171" s="5">
        <v>135.69999999999999</v>
      </c>
      <c r="V171" s="5">
        <v>120.6</v>
      </c>
      <c r="W171" s="5">
        <v>128.1</v>
      </c>
      <c r="X171" s="5">
        <v>126.1</v>
      </c>
      <c r="Y171" s="5">
        <v>115.7</v>
      </c>
      <c r="Z171" s="5">
        <v>124.5</v>
      </c>
      <c r="AA171" s="5">
        <v>135.9</v>
      </c>
      <c r="AB171" s="5">
        <v>124.4</v>
      </c>
      <c r="AC171" s="5">
        <v>124.5</v>
      </c>
      <c r="AD171" s="12">
        <v>132.4</v>
      </c>
      <c r="AE171" s="26">
        <f>COUNTIFS($A$2:$A$379,A171,$B$2:$B$379,B172,$C$2:$C$379,C171)</f>
        <v>1</v>
      </c>
    </row>
    <row r="172" spans="1:31">
      <c r="A172" s="11" t="s">
        <v>69</v>
      </c>
      <c r="B172" s="5">
        <v>2017</v>
      </c>
      <c r="C172" s="5" t="s">
        <v>77</v>
      </c>
      <c r="D172" s="5">
        <v>134.69999999999999</v>
      </c>
      <c r="E172" s="5">
        <v>142.4</v>
      </c>
      <c r="F172" s="5">
        <v>130.19999999999999</v>
      </c>
      <c r="G172" s="5">
        <v>139.6</v>
      </c>
      <c r="H172" s="5">
        <v>118.4</v>
      </c>
      <c r="I172" s="5">
        <v>143</v>
      </c>
      <c r="J172" s="5">
        <v>156.6</v>
      </c>
      <c r="K172" s="5">
        <v>132.9</v>
      </c>
      <c r="L172" s="5">
        <v>121.5</v>
      </c>
      <c r="M172" s="5">
        <v>135.6</v>
      </c>
      <c r="N172" s="5">
        <v>128.80000000000001</v>
      </c>
      <c r="O172" s="5">
        <v>147.30000000000001</v>
      </c>
      <c r="P172" s="5">
        <v>139</v>
      </c>
      <c r="Q172" s="5">
        <v>150.80000000000001</v>
      </c>
      <c r="R172" s="5">
        <v>141.1</v>
      </c>
      <c r="S172" s="5">
        <v>133.4</v>
      </c>
      <c r="T172" s="5">
        <v>140</v>
      </c>
      <c r="U172" s="5">
        <v>135.69999999999999</v>
      </c>
      <c r="V172" s="5">
        <v>131</v>
      </c>
      <c r="W172" s="5">
        <v>133.30000000000001</v>
      </c>
      <c r="X172" s="5">
        <v>130.6</v>
      </c>
      <c r="Y172" s="5">
        <v>118.3</v>
      </c>
      <c r="Z172" s="5">
        <v>127.9</v>
      </c>
      <c r="AA172" s="5">
        <v>137.4</v>
      </c>
      <c r="AB172" s="5">
        <v>125.7</v>
      </c>
      <c r="AC172" s="5">
        <v>127.5</v>
      </c>
      <c r="AD172" s="12">
        <v>135.19999999999999</v>
      </c>
      <c r="AE172" s="26">
        <f>COUNTIFS($A$2:$A$379,A172,$B$2:$B$379,B173,$C$2:$C$379,C172)</f>
        <v>1</v>
      </c>
    </row>
    <row r="173" spans="1:31">
      <c r="A173" s="11" t="s">
        <v>65</v>
      </c>
      <c r="B173" s="5">
        <v>2017</v>
      </c>
      <c r="C173" s="5" t="s">
        <v>78</v>
      </c>
      <c r="D173" s="5">
        <v>135.9</v>
      </c>
      <c r="E173" s="5">
        <v>141.9</v>
      </c>
      <c r="F173" s="5">
        <v>131</v>
      </c>
      <c r="G173" s="5">
        <v>141.5</v>
      </c>
      <c r="H173" s="5">
        <v>121.4</v>
      </c>
      <c r="I173" s="5">
        <v>146.69999999999999</v>
      </c>
      <c r="J173" s="5">
        <v>157.1</v>
      </c>
      <c r="K173" s="5">
        <v>136.4</v>
      </c>
      <c r="L173" s="5">
        <v>121.4</v>
      </c>
      <c r="M173" s="5">
        <v>135.6</v>
      </c>
      <c r="N173" s="5">
        <v>131.30000000000001</v>
      </c>
      <c r="O173" s="5">
        <v>150.30000000000001</v>
      </c>
      <c r="P173" s="5">
        <v>140.4</v>
      </c>
      <c r="Q173" s="5">
        <v>150.5</v>
      </c>
      <c r="R173" s="5">
        <v>147.19999999999999</v>
      </c>
      <c r="S173" s="5">
        <v>140.6</v>
      </c>
      <c r="T173" s="5">
        <v>146.19999999999999</v>
      </c>
      <c r="U173" s="5" t="s">
        <v>67</v>
      </c>
      <c r="V173" s="5">
        <v>138.1</v>
      </c>
      <c r="W173" s="5">
        <v>138.4</v>
      </c>
      <c r="X173" s="5">
        <v>134.19999999999999</v>
      </c>
      <c r="Y173" s="5">
        <v>121</v>
      </c>
      <c r="Z173" s="5">
        <v>133</v>
      </c>
      <c r="AA173" s="5">
        <v>140.1</v>
      </c>
      <c r="AB173" s="5">
        <v>127.4</v>
      </c>
      <c r="AC173" s="5">
        <v>130.69999999999999</v>
      </c>
      <c r="AD173" s="12">
        <v>138.30000000000001</v>
      </c>
      <c r="AE173" s="26">
        <f>COUNTIFS($A$2:$A$379,A173,$B$2:$B$379,B174,$C$2:$C$379,C173)</f>
        <v>1</v>
      </c>
    </row>
    <row r="174" spans="1:31">
      <c r="A174" s="11" t="s">
        <v>68</v>
      </c>
      <c r="B174" s="5">
        <v>2017</v>
      </c>
      <c r="C174" s="5" t="s">
        <v>78</v>
      </c>
      <c r="D174" s="5">
        <v>133.9</v>
      </c>
      <c r="E174" s="5">
        <v>142.80000000000001</v>
      </c>
      <c r="F174" s="5">
        <v>131.4</v>
      </c>
      <c r="G174" s="5">
        <v>139.1</v>
      </c>
      <c r="H174" s="5">
        <v>114.9</v>
      </c>
      <c r="I174" s="5">
        <v>135.6</v>
      </c>
      <c r="J174" s="5">
        <v>173.2</v>
      </c>
      <c r="K174" s="5">
        <v>124.1</v>
      </c>
      <c r="L174" s="5">
        <v>122.6</v>
      </c>
      <c r="M174" s="5">
        <v>137.80000000000001</v>
      </c>
      <c r="N174" s="5">
        <v>125.1</v>
      </c>
      <c r="O174" s="5">
        <v>145.5</v>
      </c>
      <c r="P174" s="5">
        <v>139.69999999999999</v>
      </c>
      <c r="Q174" s="5">
        <v>154.6</v>
      </c>
      <c r="R174" s="5">
        <v>134</v>
      </c>
      <c r="S174" s="5">
        <v>124.9</v>
      </c>
      <c r="T174" s="5">
        <v>132.6</v>
      </c>
      <c r="U174" s="5">
        <v>137.30000000000001</v>
      </c>
      <c r="V174" s="5">
        <v>122.6</v>
      </c>
      <c r="W174" s="5">
        <v>128.30000000000001</v>
      </c>
      <c r="X174" s="5">
        <v>126.6</v>
      </c>
      <c r="Y174" s="5">
        <v>115</v>
      </c>
      <c r="Z174" s="5">
        <v>124.8</v>
      </c>
      <c r="AA174" s="5">
        <v>136.30000000000001</v>
      </c>
      <c r="AB174" s="5">
        <v>124.6</v>
      </c>
      <c r="AC174" s="5">
        <v>124.5</v>
      </c>
      <c r="AD174" s="12">
        <v>133.5</v>
      </c>
      <c r="AE174" s="26">
        <f>COUNTIFS($A$2:$A$379,A174,$B$2:$B$379,B175,$C$2:$C$379,C174)</f>
        <v>1</v>
      </c>
    </row>
    <row r="175" spans="1:31">
      <c r="A175" s="11" t="s">
        <v>69</v>
      </c>
      <c r="B175" s="5">
        <v>2017</v>
      </c>
      <c r="C175" s="5" t="s">
        <v>78</v>
      </c>
      <c r="D175" s="5">
        <v>135.30000000000001</v>
      </c>
      <c r="E175" s="5">
        <v>142.19999999999999</v>
      </c>
      <c r="F175" s="5">
        <v>131.19999999999999</v>
      </c>
      <c r="G175" s="5">
        <v>140.6</v>
      </c>
      <c r="H175" s="5">
        <v>119</v>
      </c>
      <c r="I175" s="5">
        <v>141.5</v>
      </c>
      <c r="J175" s="5">
        <v>162.6</v>
      </c>
      <c r="K175" s="5">
        <v>132.30000000000001</v>
      </c>
      <c r="L175" s="5">
        <v>121.8</v>
      </c>
      <c r="M175" s="5">
        <v>136.30000000000001</v>
      </c>
      <c r="N175" s="5">
        <v>128.69999999999999</v>
      </c>
      <c r="O175" s="5">
        <v>148.1</v>
      </c>
      <c r="P175" s="5">
        <v>140.1</v>
      </c>
      <c r="Q175" s="5">
        <v>151.6</v>
      </c>
      <c r="R175" s="5">
        <v>142</v>
      </c>
      <c r="S175" s="5">
        <v>134.1</v>
      </c>
      <c r="T175" s="5">
        <v>140.80000000000001</v>
      </c>
      <c r="U175" s="5">
        <v>137.30000000000001</v>
      </c>
      <c r="V175" s="5">
        <v>132.19999999999999</v>
      </c>
      <c r="W175" s="5">
        <v>133.6</v>
      </c>
      <c r="X175" s="5">
        <v>131.30000000000001</v>
      </c>
      <c r="Y175" s="5">
        <v>117.8</v>
      </c>
      <c r="Z175" s="5">
        <v>128.4</v>
      </c>
      <c r="AA175" s="5">
        <v>137.9</v>
      </c>
      <c r="AB175" s="5">
        <v>126.2</v>
      </c>
      <c r="AC175" s="5">
        <v>127.7</v>
      </c>
      <c r="AD175" s="12">
        <v>136.1</v>
      </c>
      <c r="AE175" s="26">
        <f>COUNTIFS($A$2:$A$379,A175,$B$2:$B$379,B176,$C$2:$C$379,C175)</f>
        <v>1</v>
      </c>
    </row>
    <row r="176" spans="1:31">
      <c r="A176" s="11" t="s">
        <v>65</v>
      </c>
      <c r="B176" s="5">
        <v>2017</v>
      </c>
      <c r="C176" s="5" t="s">
        <v>79</v>
      </c>
      <c r="D176" s="5">
        <v>136.30000000000001</v>
      </c>
      <c r="E176" s="5">
        <v>142.5</v>
      </c>
      <c r="F176" s="5">
        <v>140.5</v>
      </c>
      <c r="G176" s="5">
        <v>141.5</v>
      </c>
      <c r="H176" s="5">
        <v>121.6</v>
      </c>
      <c r="I176" s="5">
        <v>147.30000000000001</v>
      </c>
      <c r="J176" s="5">
        <v>168</v>
      </c>
      <c r="K176" s="5">
        <v>135.80000000000001</v>
      </c>
      <c r="L176" s="5">
        <v>122.5</v>
      </c>
      <c r="M176" s="5">
        <v>136</v>
      </c>
      <c r="N176" s="5">
        <v>131.9</v>
      </c>
      <c r="O176" s="5">
        <v>151.4</v>
      </c>
      <c r="P176" s="5">
        <v>142.4</v>
      </c>
      <c r="Q176" s="5">
        <v>152.1</v>
      </c>
      <c r="R176" s="5">
        <v>148.19999999999999</v>
      </c>
      <c r="S176" s="5">
        <v>141.5</v>
      </c>
      <c r="T176" s="5">
        <v>147.30000000000001</v>
      </c>
      <c r="U176" s="5" t="s">
        <v>67</v>
      </c>
      <c r="V176" s="5">
        <v>141.1</v>
      </c>
      <c r="W176" s="5">
        <v>139.4</v>
      </c>
      <c r="X176" s="5">
        <v>135.80000000000001</v>
      </c>
      <c r="Y176" s="5">
        <v>121.6</v>
      </c>
      <c r="Z176" s="5">
        <v>133.69999999999999</v>
      </c>
      <c r="AA176" s="5">
        <v>141.5</v>
      </c>
      <c r="AB176" s="5">
        <v>128.1</v>
      </c>
      <c r="AC176" s="5">
        <v>131.69999999999999</v>
      </c>
      <c r="AD176" s="12">
        <v>140</v>
      </c>
      <c r="AE176" s="26">
        <f>COUNTIFS($A$2:$A$379,A176,$B$2:$B$379,B177,$C$2:$C$379,C176)</f>
        <v>1</v>
      </c>
    </row>
    <row r="177" spans="1:31">
      <c r="A177" s="11" t="s">
        <v>68</v>
      </c>
      <c r="B177" s="5">
        <v>2017</v>
      </c>
      <c r="C177" s="5" t="s">
        <v>79</v>
      </c>
      <c r="D177" s="5">
        <v>134.30000000000001</v>
      </c>
      <c r="E177" s="5">
        <v>142.1</v>
      </c>
      <c r="F177" s="5">
        <v>146.69999999999999</v>
      </c>
      <c r="G177" s="5">
        <v>139.5</v>
      </c>
      <c r="H177" s="5">
        <v>115.2</v>
      </c>
      <c r="I177" s="5">
        <v>136.4</v>
      </c>
      <c r="J177" s="5">
        <v>185.2</v>
      </c>
      <c r="K177" s="5">
        <v>122.2</v>
      </c>
      <c r="L177" s="5">
        <v>123.9</v>
      </c>
      <c r="M177" s="5">
        <v>138.30000000000001</v>
      </c>
      <c r="N177" s="5">
        <v>125.4</v>
      </c>
      <c r="O177" s="5">
        <v>146</v>
      </c>
      <c r="P177" s="5">
        <v>141.5</v>
      </c>
      <c r="Q177" s="5">
        <v>156.19999999999999</v>
      </c>
      <c r="R177" s="5">
        <v>135</v>
      </c>
      <c r="S177" s="5">
        <v>125.4</v>
      </c>
      <c r="T177" s="5">
        <v>133.5</v>
      </c>
      <c r="U177" s="5">
        <v>138.6</v>
      </c>
      <c r="V177" s="5">
        <v>125.7</v>
      </c>
      <c r="W177" s="5">
        <v>128.80000000000001</v>
      </c>
      <c r="X177" s="5">
        <v>127.4</v>
      </c>
      <c r="Y177" s="5">
        <v>115.3</v>
      </c>
      <c r="Z177" s="5">
        <v>125.1</v>
      </c>
      <c r="AA177" s="5">
        <v>136.6</v>
      </c>
      <c r="AB177" s="5">
        <v>124.9</v>
      </c>
      <c r="AC177" s="5">
        <v>124.9</v>
      </c>
      <c r="AD177" s="12">
        <v>134.80000000000001</v>
      </c>
      <c r="AE177" s="26">
        <f>COUNTIFS($A$2:$A$379,A177,$B$2:$B$379,B178,$C$2:$C$379,C177)</f>
        <v>1</v>
      </c>
    </row>
    <row r="178" spans="1:31">
      <c r="A178" s="11" t="s">
        <v>69</v>
      </c>
      <c r="B178" s="5">
        <v>2017</v>
      </c>
      <c r="C178" s="5" t="s">
        <v>79</v>
      </c>
      <c r="D178" s="5">
        <v>135.69999999999999</v>
      </c>
      <c r="E178" s="5">
        <v>142.4</v>
      </c>
      <c r="F178" s="5">
        <v>142.9</v>
      </c>
      <c r="G178" s="5">
        <v>140.80000000000001</v>
      </c>
      <c r="H178" s="5">
        <v>119.2</v>
      </c>
      <c r="I178" s="5">
        <v>142.19999999999999</v>
      </c>
      <c r="J178" s="5">
        <v>173.8</v>
      </c>
      <c r="K178" s="5">
        <v>131.19999999999999</v>
      </c>
      <c r="L178" s="5">
        <v>123</v>
      </c>
      <c r="M178" s="5">
        <v>136.80000000000001</v>
      </c>
      <c r="N178" s="5">
        <v>129.19999999999999</v>
      </c>
      <c r="O178" s="5">
        <v>148.9</v>
      </c>
      <c r="P178" s="5">
        <v>142.1</v>
      </c>
      <c r="Q178" s="5">
        <v>153.19999999999999</v>
      </c>
      <c r="R178" s="5">
        <v>143</v>
      </c>
      <c r="S178" s="5">
        <v>134.80000000000001</v>
      </c>
      <c r="T178" s="5">
        <v>141.80000000000001</v>
      </c>
      <c r="U178" s="5">
        <v>138.6</v>
      </c>
      <c r="V178" s="5">
        <v>135.30000000000001</v>
      </c>
      <c r="W178" s="5">
        <v>134.4</v>
      </c>
      <c r="X178" s="5">
        <v>132.6</v>
      </c>
      <c r="Y178" s="5">
        <v>118.3</v>
      </c>
      <c r="Z178" s="5">
        <v>128.9</v>
      </c>
      <c r="AA178" s="5">
        <v>138.6</v>
      </c>
      <c r="AB178" s="5">
        <v>126.8</v>
      </c>
      <c r="AC178" s="5">
        <v>128.4</v>
      </c>
      <c r="AD178" s="12">
        <v>137.6</v>
      </c>
      <c r="AE178" s="26">
        <f>COUNTIFS($A$2:$A$379,A178,$B$2:$B$379,B179,$C$2:$C$379,C178)</f>
        <v>1</v>
      </c>
    </row>
    <row r="179" spans="1:31">
      <c r="A179" s="11" t="s">
        <v>65</v>
      </c>
      <c r="B179" s="5">
        <v>2017</v>
      </c>
      <c r="C179" s="5" t="s">
        <v>80</v>
      </c>
      <c r="D179" s="5">
        <v>136.4</v>
      </c>
      <c r="E179" s="5">
        <v>143.69999999999999</v>
      </c>
      <c r="F179" s="5">
        <v>144.80000000000001</v>
      </c>
      <c r="G179" s="5">
        <v>141.9</v>
      </c>
      <c r="H179" s="5">
        <v>123.1</v>
      </c>
      <c r="I179" s="5">
        <v>147.19999999999999</v>
      </c>
      <c r="J179" s="5">
        <v>161</v>
      </c>
      <c r="K179" s="5">
        <v>133.80000000000001</v>
      </c>
      <c r="L179" s="5">
        <v>121.9</v>
      </c>
      <c r="M179" s="5">
        <v>135.80000000000001</v>
      </c>
      <c r="N179" s="5">
        <v>131.1</v>
      </c>
      <c r="O179" s="5">
        <v>151.4</v>
      </c>
      <c r="P179" s="5">
        <v>141.5</v>
      </c>
      <c r="Q179" s="5">
        <v>153.19999999999999</v>
      </c>
      <c r="R179" s="5">
        <v>148</v>
      </c>
      <c r="S179" s="5">
        <v>141.9</v>
      </c>
      <c r="T179" s="5">
        <v>147.19999999999999</v>
      </c>
      <c r="U179" s="5" t="s">
        <v>67</v>
      </c>
      <c r="V179" s="5">
        <v>142.6</v>
      </c>
      <c r="W179" s="5">
        <v>139.5</v>
      </c>
      <c r="X179" s="5">
        <v>136.1</v>
      </c>
      <c r="Y179" s="5">
        <v>122</v>
      </c>
      <c r="Z179" s="5">
        <v>133.4</v>
      </c>
      <c r="AA179" s="5">
        <v>141.1</v>
      </c>
      <c r="AB179" s="5">
        <v>127.8</v>
      </c>
      <c r="AC179" s="5">
        <v>131.9</v>
      </c>
      <c r="AD179" s="12">
        <v>139.80000000000001</v>
      </c>
      <c r="AE179" s="26">
        <f>COUNTIFS($A$2:$A$379,A179,$B$2:$B$379,B180,$C$2:$C$379,C179)</f>
        <v>1</v>
      </c>
    </row>
    <row r="180" spans="1:31">
      <c r="A180" s="11" t="s">
        <v>68</v>
      </c>
      <c r="B180" s="5">
        <v>2017</v>
      </c>
      <c r="C180" s="5" t="s">
        <v>80</v>
      </c>
      <c r="D180" s="5">
        <v>134.4</v>
      </c>
      <c r="E180" s="5">
        <v>142.6</v>
      </c>
      <c r="F180" s="5">
        <v>145.9</v>
      </c>
      <c r="G180" s="5">
        <v>139.5</v>
      </c>
      <c r="H180" s="5">
        <v>115.9</v>
      </c>
      <c r="I180" s="5">
        <v>135</v>
      </c>
      <c r="J180" s="5">
        <v>163.19999999999999</v>
      </c>
      <c r="K180" s="5">
        <v>119.8</v>
      </c>
      <c r="L180" s="5">
        <v>120.7</v>
      </c>
      <c r="M180" s="5">
        <v>139.69999999999999</v>
      </c>
      <c r="N180" s="5">
        <v>125.7</v>
      </c>
      <c r="O180" s="5">
        <v>146.30000000000001</v>
      </c>
      <c r="P180" s="5">
        <v>138.80000000000001</v>
      </c>
      <c r="Q180" s="5">
        <v>157</v>
      </c>
      <c r="R180" s="5">
        <v>135.6</v>
      </c>
      <c r="S180" s="5">
        <v>125.6</v>
      </c>
      <c r="T180" s="5">
        <v>134</v>
      </c>
      <c r="U180" s="5">
        <v>139.1</v>
      </c>
      <c r="V180" s="5">
        <v>126.8</v>
      </c>
      <c r="W180" s="5">
        <v>129.30000000000001</v>
      </c>
      <c r="X180" s="5">
        <v>128.19999999999999</v>
      </c>
      <c r="Y180" s="5">
        <v>115.3</v>
      </c>
      <c r="Z180" s="5">
        <v>125.6</v>
      </c>
      <c r="AA180" s="5">
        <v>136.69999999999999</v>
      </c>
      <c r="AB180" s="5">
        <v>124.6</v>
      </c>
      <c r="AC180" s="5">
        <v>125.1</v>
      </c>
      <c r="AD180" s="12">
        <v>134.1</v>
      </c>
      <c r="AE180" s="26">
        <f>COUNTIFS($A$2:$A$379,A180,$B$2:$B$379,B181,$C$2:$C$379,C180)</f>
        <v>1</v>
      </c>
    </row>
    <row r="181" spans="1:31">
      <c r="A181" s="11" t="s">
        <v>69</v>
      </c>
      <c r="B181" s="5">
        <v>2017</v>
      </c>
      <c r="C181" s="5" t="s">
        <v>80</v>
      </c>
      <c r="D181" s="5">
        <v>135.80000000000001</v>
      </c>
      <c r="E181" s="5">
        <v>143.30000000000001</v>
      </c>
      <c r="F181" s="5">
        <v>145.19999999999999</v>
      </c>
      <c r="G181" s="5">
        <v>141</v>
      </c>
      <c r="H181" s="5">
        <v>120.5</v>
      </c>
      <c r="I181" s="5">
        <v>141.5</v>
      </c>
      <c r="J181" s="5">
        <v>161.69999999999999</v>
      </c>
      <c r="K181" s="5">
        <v>129.1</v>
      </c>
      <c r="L181" s="5">
        <v>121.5</v>
      </c>
      <c r="M181" s="5">
        <v>137.1</v>
      </c>
      <c r="N181" s="5">
        <v>128.80000000000001</v>
      </c>
      <c r="O181" s="5">
        <v>149</v>
      </c>
      <c r="P181" s="5">
        <v>140.5</v>
      </c>
      <c r="Q181" s="5">
        <v>154.19999999999999</v>
      </c>
      <c r="R181" s="5">
        <v>143.1</v>
      </c>
      <c r="S181" s="5">
        <v>135.1</v>
      </c>
      <c r="T181" s="5">
        <v>142</v>
      </c>
      <c r="U181" s="5">
        <v>139.1</v>
      </c>
      <c r="V181" s="5">
        <v>136.6</v>
      </c>
      <c r="W181" s="5">
        <v>134.69999999999999</v>
      </c>
      <c r="X181" s="5">
        <v>133.1</v>
      </c>
      <c r="Y181" s="5">
        <v>118.5</v>
      </c>
      <c r="Z181" s="5">
        <v>129</v>
      </c>
      <c r="AA181" s="5">
        <v>138.5</v>
      </c>
      <c r="AB181" s="5">
        <v>126.5</v>
      </c>
      <c r="AC181" s="5">
        <v>128.6</v>
      </c>
      <c r="AD181" s="12">
        <v>137.19999999999999</v>
      </c>
      <c r="AE181" s="26">
        <f>COUNTIFS($A$2:$A$379,A181,$B$2:$B$379,B182,$C$2:$C$379,C181)</f>
        <v>1</v>
      </c>
    </row>
    <row r="182" spans="1:31">
      <c r="A182" s="11" t="s">
        <v>65</v>
      </c>
      <c r="B182" s="5">
        <v>2018</v>
      </c>
      <c r="C182" s="5" t="s">
        <v>66</v>
      </c>
      <c r="D182" s="5">
        <v>136.6</v>
      </c>
      <c r="E182" s="5">
        <v>144.4</v>
      </c>
      <c r="F182" s="5">
        <v>143.80000000000001</v>
      </c>
      <c r="G182" s="5">
        <v>142</v>
      </c>
      <c r="H182" s="5">
        <v>123.2</v>
      </c>
      <c r="I182" s="5">
        <v>147.9</v>
      </c>
      <c r="J182" s="5">
        <v>152.1</v>
      </c>
      <c r="K182" s="5">
        <v>131.80000000000001</v>
      </c>
      <c r="L182" s="5">
        <v>119.5</v>
      </c>
      <c r="M182" s="5">
        <v>136</v>
      </c>
      <c r="N182" s="5">
        <v>131.19999999999999</v>
      </c>
      <c r="O182" s="5">
        <v>151.80000000000001</v>
      </c>
      <c r="P182" s="5">
        <v>140.4</v>
      </c>
      <c r="Q182" s="5">
        <v>153.6</v>
      </c>
      <c r="R182" s="5">
        <v>148.30000000000001</v>
      </c>
      <c r="S182" s="5">
        <v>142.30000000000001</v>
      </c>
      <c r="T182" s="5">
        <v>147.5</v>
      </c>
      <c r="U182" s="5" t="s">
        <v>67</v>
      </c>
      <c r="V182" s="5">
        <v>142.30000000000001</v>
      </c>
      <c r="W182" s="5">
        <v>139.80000000000001</v>
      </c>
      <c r="X182" s="5">
        <v>136</v>
      </c>
      <c r="Y182" s="5">
        <v>122.7</v>
      </c>
      <c r="Z182" s="5">
        <v>134.30000000000001</v>
      </c>
      <c r="AA182" s="5">
        <v>141.6</v>
      </c>
      <c r="AB182" s="5">
        <v>128.6</v>
      </c>
      <c r="AC182" s="5">
        <v>132.30000000000001</v>
      </c>
      <c r="AD182" s="12">
        <v>139.30000000000001</v>
      </c>
      <c r="AE182" s="26">
        <f>COUNTIFS($A$2:$A$379,A182,$B$2:$B$379,B183,$C$2:$C$379,C182)</f>
        <v>1</v>
      </c>
    </row>
    <row r="183" spans="1:31">
      <c r="A183" s="11" t="s">
        <v>68</v>
      </c>
      <c r="B183" s="5">
        <v>2018</v>
      </c>
      <c r="C183" s="5" t="s">
        <v>66</v>
      </c>
      <c r="D183" s="5">
        <v>134.6</v>
      </c>
      <c r="E183" s="5">
        <v>143.69999999999999</v>
      </c>
      <c r="F183" s="5">
        <v>143.6</v>
      </c>
      <c r="G183" s="5">
        <v>139.6</v>
      </c>
      <c r="H183" s="5">
        <v>116.4</v>
      </c>
      <c r="I183" s="5">
        <v>133.80000000000001</v>
      </c>
      <c r="J183" s="5">
        <v>150.5</v>
      </c>
      <c r="K183" s="5">
        <v>118.4</v>
      </c>
      <c r="L183" s="5">
        <v>117.3</v>
      </c>
      <c r="M183" s="5">
        <v>140.5</v>
      </c>
      <c r="N183" s="5">
        <v>125.9</v>
      </c>
      <c r="O183" s="5">
        <v>146.80000000000001</v>
      </c>
      <c r="P183" s="5">
        <v>137.19999999999999</v>
      </c>
      <c r="Q183" s="5">
        <v>157.69999999999999</v>
      </c>
      <c r="R183" s="5">
        <v>136</v>
      </c>
      <c r="S183" s="5">
        <v>125.9</v>
      </c>
      <c r="T183" s="5">
        <v>134.4</v>
      </c>
      <c r="U183" s="5">
        <v>140.4</v>
      </c>
      <c r="V183" s="5">
        <v>127.3</v>
      </c>
      <c r="W183" s="5">
        <v>129.5</v>
      </c>
      <c r="X183" s="5">
        <v>129</v>
      </c>
      <c r="Y183" s="5">
        <v>116.3</v>
      </c>
      <c r="Z183" s="5">
        <v>126.2</v>
      </c>
      <c r="AA183" s="5">
        <v>137.1</v>
      </c>
      <c r="AB183" s="5">
        <v>125.5</v>
      </c>
      <c r="AC183" s="5">
        <v>125.8</v>
      </c>
      <c r="AD183" s="12">
        <v>134.1</v>
      </c>
      <c r="AE183" s="26">
        <f>COUNTIFS($A$2:$A$379,A183,$B$2:$B$379,B184,$C$2:$C$379,C183)</f>
        <v>1</v>
      </c>
    </row>
    <row r="184" spans="1:31">
      <c r="A184" s="11" t="s">
        <v>69</v>
      </c>
      <c r="B184" s="5">
        <v>2018</v>
      </c>
      <c r="C184" s="5" t="s">
        <v>66</v>
      </c>
      <c r="D184" s="5">
        <v>136</v>
      </c>
      <c r="E184" s="5">
        <v>144.19999999999999</v>
      </c>
      <c r="F184" s="5">
        <v>143.69999999999999</v>
      </c>
      <c r="G184" s="5">
        <v>141.1</v>
      </c>
      <c r="H184" s="5">
        <v>120.7</v>
      </c>
      <c r="I184" s="5">
        <v>141.30000000000001</v>
      </c>
      <c r="J184" s="5">
        <v>151.6</v>
      </c>
      <c r="K184" s="5">
        <v>127.3</v>
      </c>
      <c r="L184" s="5">
        <v>118.8</v>
      </c>
      <c r="M184" s="5">
        <v>137.5</v>
      </c>
      <c r="N184" s="5">
        <v>129</v>
      </c>
      <c r="O184" s="5">
        <v>149.5</v>
      </c>
      <c r="P184" s="5">
        <v>139.19999999999999</v>
      </c>
      <c r="Q184" s="5">
        <v>154.69999999999999</v>
      </c>
      <c r="R184" s="5">
        <v>143.5</v>
      </c>
      <c r="S184" s="5">
        <v>135.5</v>
      </c>
      <c r="T184" s="5">
        <v>142.30000000000001</v>
      </c>
      <c r="U184" s="5">
        <v>140.4</v>
      </c>
      <c r="V184" s="5">
        <v>136.6</v>
      </c>
      <c r="W184" s="5">
        <v>134.9</v>
      </c>
      <c r="X184" s="5">
        <v>133.30000000000001</v>
      </c>
      <c r="Y184" s="5">
        <v>119.3</v>
      </c>
      <c r="Z184" s="5">
        <v>129.69999999999999</v>
      </c>
      <c r="AA184" s="5">
        <v>139</v>
      </c>
      <c r="AB184" s="5">
        <v>127.3</v>
      </c>
      <c r="AC184" s="5">
        <v>129.1</v>
      </c>
      <c r="AD184" s="12">
        <v>136.9</v>
      </c>
      <c r="AE184" s="26">
        <f>COUNTIFS($A$2:$A$379,A184,$B$2:$B$379,B185,$C$2:$C$379,C184)</f>
        <v>1</v>
      </c>
    </row>
    <row r="185" spans="1:31">
      <c r="A185" s="11" t="s">
        <v>65</v>
      </c>
      <c r="B185" s="5">
        <v>2018</v>
      </c>
      <c r="C185" s="5" t="s">
        <v>70</v>
      </c>
      <c r="D185" s="5">
        <v>136.4</v>
      </c>
      <c r="E185" s="5">
        <v>143.69999999999999</v>
      </c>
      <c r="F185" s="5">
        <v>140.6</v>
      </c>
      <c r="G185" s="5">
        <v>141.5</v>
      </c>
      <c r="H185" s="5">
        <v>122.9</v>
      </c>
      <c r="I185" s="5">
        <v>149.4</v>
      </c>
      <c r="J185" s="5">
        <v>142.4</v>
      </c>
      <c r="K185" s="5">
        <v>130.19999999999999</v>
      </c>
      <c r="L185" s="5">
        <v>117.9</v>
      </c>
      <c r="M185" s="5">
        <v>135.6</v>
      </c>
      <c r="N185" s="5">
        <v>130.5</v>
      </c>
      <c r="O185" s="5">
        <v>151.69999999999999</v>
      </c>
      <c r="P185" s="5">
        <v>138.69999999999999</v>
      </c>
      <c r="Q185" s="5">
        <v>153.30000000000001</v>
      </c>
      <c r="R185" s="5">
        <v>148.69999999999999</v>
      </c>
      <c r="S185" s="5">
        <v>142.4</v>
      </c>
      <c r="T185" s="5">
        <v>147.80000000000001</v>
      </c>
      <c r="U185" s="5" t="s">
        <v>67</v>
      </c>
      <c r="V185" s="5">
        <v>142.4</v>
      </c>
      <c r="W185" s="5">
        <v>139.9</v>
      </c>
      <c r="X185" s="5">
        <v>136.19999999999999</v>
      </c>
      <c r="Y185" s="5">
        <v>123.3</v>
      </c>
      <c r="Z185" s="5">
        <v>134.30000000000001</v>
      </c>
      <c r="AA185" s="5">
        <v>141.5</v>
      </c>
      <c r="AB185" s="5">
        <v>128.80000000000001</v>
      </c>
      <c r="AC185" s="5">
        <v>132.5</v>
      </c>
      <c r="AD185" s="12">
        <v>138.5</v>
      </c>
      <c r="AE185" s="26">
        <f>COUNTIFS($A$2:$A$379,A185,$B$2:$B$379,B186,$C$2:$C$379,C185)</f>
        <v>1</v>
      </c>
    </row>
    <row r="186" spans="1:31">
      <c r="A186" s="11" t="s">
        <v>68</v>
      </c>
      <c r="B186" s="5">
        <v>2018</v>
      </c>
      <c r="C186" s="5" t="s">
        <v>70</v>
      </c>
      <c r="D186" s="5">
        <v>134.80000000000001</v>
      </c>
      <c r="E186" s="5">
        <v>143</v>
      </c>
      <c r="F186" s="5">
        <v>139.9</v>
      </c>
      <c r="G186" s="5">
        <v>139.9</v>
      </c>
      <c r="H186" s="5">
        <v>116.2</v>
      </c>
      <c r="I186" s="5">
        <v>135.5</v>
      </c>
      <c r="J186" s="5">
        <v>136.9</v>
      </c>
      <c r="K186" s="5">
        <v>117</v>
      </c>
      <c r="L186" s="5">
        <v>115.4</v>
      </c>
      <c r="M186" s="5">
        <v>140.69999999999999</v>
      </c>
      <c r="N186" s="5">
        <v>125.9</v>
      </c>
      <c r="O186" s="5">
        <v>147.1</v>
      </c>
      <c r="P186" s="5">
        <v>135.6</v>
      </c>
      <c r="Q186" s="5">
        <v>159.30000000000001</v>
      </c>
      <c r="R186" s="5">
        <v>136.30000000000001</v>
      </c>
      <c r="S186" s="5">
        <v>126.1</v>
      </c>
      <c r="T186" s="5">
        <v>134.69999999999999</v>
      </c>
      <c r="U186" s="5">
        <v>141.30000000000001</v>
      </c>
      <c r="V186" s="5">
        <v>127.3</v>
      </c>
      <c r="W186" s="5">
        <v>129.9</v>
      </c>
      <c r="X186" s="5">
        <v>129.80000000000001</v>
      </c>
      <c r="Y186" s="5">
        <v>117.4</v>
      </c>
      <c r="Z186" s="5">
        <v>126.5</v>
      </c>
      <c r="AA186" s="5">
        <v>137.19999999999999</v>
      </c>
      <c r="AB186" s="5">
        <v>126.2</v>
      </c>
      <c r="AC186" s="5">
        <v>126.5</v>
      </c>
      <c r="AD186" s="12">
        <v>134</v>
      </c>
      <c r="AE186" s="26">
        <f>COUNTIFS($A$2:$A$379,A186,$B$2:$B$379,B187,$C$2:$C$379,C186)</f>
        <v>1</v>
      </c>
    </row>
    <row r="187" spans="1:31">
      <c r="A187" s="11" t="s">
        <v>69</v>
      </c>
      <c r="B187" s="5">
        <v>2018</v>
      </c>
      <c r="C187" s="5" t="s">
        <v>70</v>
      </c>
      <c r="D187" s="5">
        <v>135.9</v>
      </c>
      <c r="E187" s="5">
        <v>143.5</v>
      </c>
      <c r="F187" s="5">
        <v>140.30000000000001</v>
      </c>
      <c r="G187" s="5">
        <v>140.9</v>
      </c>
      <c r="H187" s="5">
        <v>120.4</v>
      </c>
      <c r="I187" s="5">
        <v>142.9</v>
      </c>
      <c r="J187" s="5">
        <v>140.5</v>
      </c>
      <c r="K187" s="5">
        <v>125.8</v>
      </c>
      <c r="L187" s="5">
        <v>117.1</v>
      </c>
      <c r="M187" s="5">
        <v>137.30000000000001</v>
      </c>
      <c r="N187" s="5">
        <v>128.6</v>
      </c>
      <c r="O187" s="5">
        <v>149.6</v>
      </c>
      <c r="P187" s="5">
        <v>137.6</v>
      </c>
      <c r="Q187" s="5">
        <v>154.9</v>
      </c>
      <c r="R187" s="5">
        <v>143.80000000000001</v>
      </c>
      <c r="S187" s="5">
        <v>135.6</v>
      </c>
      <c r="T187" s="5">
        <v>142.6</v>
      </c>
      <c r="U187" s="5">
        <v>141.30000000000001</v>
      </c>
      <c r="V187" s="5">
        <v>136.69999999999999</v>
      </c>
      <c r="W187" s="5">
        <v>135.19999999999999</v>
      </c>
      <c r="X187" s="5">
        <v>133.80000000000001</v>
      </c>
      <c r="Y187" s="5">
        <v>120.2</v>
      </c>
      <c r="Z187" s="5">
        <v>129.9</v>
      </c>
      <c r="AA187" s="5">
        <v>139</v>
      </c>
      <c r="AB187" s="5">
        <v>127.7</v>
      </c>
      <c r="AC187" s="5">
        <v>129.6</v>
      </c>
      <c r="AD187" s="12">
        <v>136.4</v>
      </c>
      <c r="AE187" s="26">
        <f>COUNTIFS($A$2:$A$379,A187,$B$2:$B$379,B188,$C$2:$C$379,C187)</f>
        <v>1</v>
      </c>
    </row>
    <row r="188" spans="1:31">
      <c r="A188" s="11" t="s">
        <v>65</v>
      </c>
      <c r="B188" s="5">
        <v>2018</v>
      </c>
      <c r="C188" s="5" t="s">
        <v>71</v>
      </c>
      <c r="D188" s="5">
        <v>136.80000000000001</v>
      </c>
      <c r="E188" s="5">
        <v>143.80000000000001</v>
      </c>
      <c r="F188" s="5">
        <v>140</v>
      </c>
      <c r="G188" s="5">
        <v>142</v>
      </c>
      <c r="H188" s="5">
        <v>123.2</v>
      </c>
      <c r="I188" s="5">
        <v>152.9</v>
      </c>
      <c r="J188" s="5">
        <v>138</v>
      </c>
      <c r="K188" s="5">
        <v>129.30000000000001</v>
      </c>
      <c r="L188" s="5">
        <v>117.1</v>
      </c>
      <c r="M188" s="5">
        <v>136.30000000000001</v>
      </c>
      <c r="N188" s="5">
        <v>131.19999999999999</v>
      </c>
      <c r="O188" s="5">
        <v>152.80000000000001</v>
      </c>
      <c r="P188" s="5">
        <v>138.6</v>
      </c>
      <c r="Q188" s="5">
        <v>155.1</v>
      </c>
      <c r="R188" s="5">
        <v>149.19999999999999</v>
      </c>
      <c r="S188" s="5">
        <v>143</v>
      </c>
      <c r="T188" s="5">
        <v>148.30000000000001</v>
      </c>
      <c r="U188" s="5" t="s">
        <v>67</v>
      </c>
      <c r="V188" s="5">
        <v>142.6</v>
      </c>
      <c r="W188" s="5">
        <v>139.9</v>
      </c>
      <c r="X188" s="5">
        <v>136.69999999999999</v>
      </c>
      <c r="Y188" s="5">
        <v>124.6</v>
      </c>
      <c r="Z188" s="5">
        <v>135.1</v>
      </c>
      <c r="AA188" s="5">
        <v>142.69999999999999</v>
      </c>
      <c r="AB188" s="5">
        <v>129.30000000000001</v>
      </c>
      <c r="AC188" s="5">
        <v>133.30000000000001</v>
      </c>
      <c r="AD188" s="12">
        <v>138.69999999999999</v>
      </c>
      <c r="AE188" s="26">
        <f>COUNTIFS($A$2:$A$379,A188,$B$2:$B$379,B189,$C$2:$C$379,C188)</f>
        <v>1</v>
      </c>
    </row>
    <row r="189" spans="1:31">
      <c r="A189" s="11" t="s">
        <v>68</v>
      </c>
      <c r="B189" s="5">
        <v>2018</v>
      </c>
      <c r="C189" s="5" t="s">
        <v>71</v>
      </c>
      <c r="D189" s="5">
        <v>135</v>
      </c>
      <c r="E189" s="5">
        <v>143.1</v>
      </c>
      <c r="F189" s="5">
        <v>135.5</v>
      </c>
      <c r="G189" s="5">
        <v>139.9</v>
      </c>
      <c r="H189" s="5">
        <v>116.5</v>
      </c>
      <c r="I189" s="5">
        <v>138.5</v>
      </c>
      <c r="J189" s="5">
        <v>128</v>
      </c>
      <c r="K189" s="5">
        <v>115.5</v>
      </c>
      <c r="L189" s="5">
        <v>114.2</v>
      </c>
      <c r="M189" s="5">
        <v>140.69999999999999</v>
      </c>
      <c r="N189" s="5">
        <v>126.2</v>
      </c>
      <c r="O189" s="5">
        <v>147.6</v>
      </c>
      <c r="P189" s="5">
        <v>134.80000000000001</v>
      </c>
      <c r="Q189" s="5">
        <v>159.69999999999999</v>
      </c>
      <c r="R189" s="5">
        <v>136.69999999999999</v>
      </c>
      <c r="S189" s="5">
        <v>126.7</v>
      </c>
      <c r="T189" s="5">
        <v>135.19999999999999</v>
      </c>
      <c r="U189" s="5">
        <v>142</v>
      </c>
      <c r="V189" s="5">
        <v>126.4</v>
      </c>
      <c r="W189" s="5">
        <v>130.80000000000001</v>
      </c>
      <c r="X189" s="5">
        <v>130.5</v>
      </c>
      <c r="Y189" s="5">
        <v>117.8</v>
      </c>
      <c r="Z189" s="5">
        <v>126.8</v>
      </c>
      <c r="AA189" s="5">
        <v>137.80000000000001</v>
      </c>
      <c r="AB189" s="5">
        <v>126.7</v>
      </c>
      <c r="AC189" s="5">
        <v>127.1</v>
      </c>
      <c r="AD189" s="12">
        <v>134</v>
      </c>
      <c r="AE189" s="26">
        <f>COUNTIFS($A$2:$A$379,A189,$B$2:$B$379,B190,$C$2:$C$379,C189)</f>
        <v>1</v>
      </c>
    </row>
    <row r="190" spans="1:31">
      <c r="A190" s="11" t="s">
        <v>69</v>
      </c>
      <c r="B190" s="5">
        <v>2018</v>
      </c>
      <c r="C190" s="5" t="s">
        <v>71</v>
      </c>
      <c r="D190" s="5">
        <v>136.19999999999999</v>
      </c>
      <c r="E190" s="5">
        <v>143.6</v>
      </c>
      <c r="F190" s="5">
        <v>138.30000000000001</v>
      </c>
      <c r="G190" s="5">
        <v>141.19999999999999</v>
      </c>
      <c r="H190" s="5">
        <v>120.7</v>
      </c>
      <c r="I190" s="5">
        <v>146.19999999999999</v>
      </c>
      <c r="J190" s="5">
        <v>134.6</v>
      </c>
      <c r="K190" s="5">
        <v>124.6</v>
      </c>
      <c r="L190" s="5">
        <v>116.1</v>
      </c>
      <c r="M190" s="5">
        <v>137.80000000000001</v>
      </c>
      <c r="N190" s="5">
        <v>129.1</v>
      </c>
      <c r="O190" s="5">
        <v>150.4</v>
      </c>
      <c r="P190" s="5">
        <v>137.19999999999999</v>
      </c>
      <c r="Q190" s="5">
        <v>156.30000000000001</v>
      </c>
      <c r="R190" s="5">
        <v>144.30000000000001</v>
      </c>
      <c r="S190" s="5">
        <v>136.19999999999999</v>
      </c>
      <c r="T190" s="5">
        <v>143.1</v>
      </c>
      <c r="U190" s="5">
        <v>142</v>
      </c>
      <c r="V190" s="5">
        <v>136.5</v>
      </c>
      <c r="W190" s="5">
        <v>135.6</v>
      </c>
      <c r="X190" s="5">
        <v>134.30000000000001</v>
      </c>
      <c r="Y190" s="5">
        <v>121</v>
      </c>
      <c r="Z190" s="5">
        <v>130.4</v>
      </c>
      <c r="AA190" s="5">
        <v>139.80000000000001</v>
      </c>
      <c r="AB190" s="5">
        <v>128.19999999999999</v>
      </c>
      <c r="AC190" s="5">
        <v>130.30000000000001</v>
      </c>
      <c r="AD190" s="12">
        <v>136.5</v>
      </c>
      <c r="AE190" s="26">
        <f>COUNTIFS($A$2:$A$379,A190,$B$2:$B$379,B191,$C$2:$C$379,C190)</f>
        <v>1</v>
      </c>
    </row>
    <row r="191" spans="1:31">
      <c r="A191" s="11" t="s">
        <v>65</v>
      </c>
      <c r="B191" s="5">
        <v>2018</v>
      </c>
      <c r="C191" s="5" t="s">
        <v>72</v>
      </c>
      <c r="D191" s="5">
        <v>137.1</v>
      </c>
      <c r="E191" s="5">
        <v>144.5</v>
      </c>
      <c r="F191" s="5">
        <v>135.9</v>
      </c>
      <c r="G191" s="5">
        <v>142.4</v>
      </c>
      <c r="H191" s="5">
        <v>123.5</v>
      </c>
      <c r="I191" s="5">
        <v>156.4</v>
      </c>
      <c r="J191" s="5">
        <v>135.1</v>
      </c>
      <c r="K191" s="5">
        <v>128.4</v>
      </c>
      <c r="L191" s="5">
        <v>115.2</v>
      </c>
      <c r="M191" s="5">
        <v>137.19999999999999</v>
      </c>
      <c r="N191" s="5">
        <v>131.9</v>
      </c>
      <c r="O191" s="5">
        <v>153.80000000000001</v>
      </c>
      <c r="P191" s="5">
        <v>138.6</v>
      </c>
      <c r="Q191" s="5">
        <v>156.1</v>
      </c>
      <c r="R191" s="5">
        <v>150.1</v>
      </c>
      <c r="S191" s="5">
        <v>143.30000000000001</v>
      </c>
      <c r="T191" s="5">
        <v>149.1</v>
      </c>
      <c r="U191" s="5" t="s">
        <v>67</v>
      </c>
      <c r="V191" s="5">
        <v>143.80000000000001</v>
      </c>
      <c r="W191" s="5">
        <v>140.9</v>
      </c>
      <c r="X191" s="5">
        <v>137.6</v>
      </c>
      <c r="Y191" s="5">
        <v>125.3</v>
      </c>
      <c r="Z191" s="5">
        <v>136</v>
      </c>
      <c r="AA191" s="5">
        <v>143.69999999999999</v>
      </c>
      <c r="AB191" s="5">
        <v>130.4</v>
      </c>
      <c r="AC191" s="5">
        <v>134.19999999999999</v>
      </c>
      <c r="AD191" s="12">
        <v>139.1</v>
      </c>
      <c r="AE191" s="26">
        <f>COUNTIFS($A$2:$A$379,A191,$B$2:$B$379,B192,$C$2:$C$379,C191)</f>
        <v>1</v>
      </c>
    </row>
    <row r="192" spans="1:31">
      <c r="A192" s="11" t="s">
        <v>68</v>
      </c>
      <c r="B192" s="5">
        <v>2018</v>
      </c>
      <c r="C192" s="5" t="s">
        <v>72</v>
      </c>
      <c r="D192" s="5">
        <v>135</v>
      </c>
      <c r="E192" s="5">
        <v>144.30000000000001</v>
      </c>
      <c r="F192" s="5">
        <v>130.80000000000001</v>
      </c>
      <c r="G192" s="5">
        <v>140.30000000000001</v>
      </c>
      <c r="H192" s="5">
        <v>116.6</v>
      </c>
      <c r="I192" s="5">
        <v>150.1</v>
      </c>
      <c r="J192" s="5">
        <v>127.6</v>
      </c>
      <c r="K192" s="5">
        <v>114</v>
      </c>
      <c r="L192" s="5">
        <v>110.6</v>
      </c>
      <c r="M192" s="5">
        <v>140.19999999999999</v>
      </c>
      <c r="N192" s="5">
        <v>126.5</v>
      </c>
      <c r="O192" s="5">
        <v>148.30000000000001</v>
      </c>
      <c r="P192" s="5">
        <v>135.69999999999999</v>
      </c>
      <c r="Q192" s="5">
        <v>159.19999999999999</v>
      </c>
      <c r="R192" s="5">
        <v>137.80000000000001</v>
      </c>
      <c r="S192" s="5">
        <v>127.4</v>
      </c>
      <c r="T192" s="5">
        <v>136.19999999999999</v>
      </c>
      <c r="U192" s="5">
        <v>142.9</v>
      </c>
      <c r="V192" s="5">
        <v>124.6</v>
      </c>
      <c r="W192" s="5">
        <v>131.80000000000001</v>
      </c>
      <c r="X192" s="5">
        <v>131.30000000000001</v>
      </c>
      <c r="Y192" s="5">
        <v>118.9</v>
      </c>
      <c r="Z192" s="5">
        <v>127.6</v>
      </c>
      <c r="AA192" s="5">
        <v>139.69999999999999</v>
      </c>
      <c r="AB192" s="5">
        <v>127.6</v>
      </c>
      <c r="AC192" s="5">
        <v>128.19999999999999</v>
      </c>
      <c r="AD192" s="12">
        <v>134.80000000000001</v>
      </c>
      <c r="AE192" s="26">
        <f>COUNTIFS($A$2:$A$379,A192,$B$2:$B$379,B193,$C$2:$C$379,C192)</f>
        <v>1</v>
      </c>
    </row>
    <row r="193" spans="1:31">
      <c r="A193" s="11" t="s">
        <v>69</v>
      </c>
      <c r="B193" s="5">
        <v>2018</v>
      </c>
      <c r="C193" s="5" t="s">
        <v>72</v>
      </c>
      <c r="D193" s="5">
        <v>136.4</v>
      </c>
      <c r="E193" s="5">
        <v>144.4</v>
      </c>
      <c r="F193" s="5">
        <v>133.9</v>
      </c>
      <c r="G193" s="5">
        <v>141.6</v>
      </c>
      <c r="H193" s="5">
        <v>121</v>
      </c>
      <c r="I193" s="5">
        <v>153.5</v>
      </c>
      <c r="J193" s="5">
        <v>132.6</v>
      </c>
      <c r="K193" s="5">
        <v>123.5</v>
      </c>
      <c r="L193" s="5">
        <v>113.7</v>
      </c>
      <c r="M193" s="5">
        <v>138.19999999999999</v>
      </c>
      <c r="N193" s="5">
        <v>129.6</v>
      </c>
      <c r="O193" s="5">
        <v>151.19999999999999</v>
      </c>
      <c r="P193" s="5">
        <v>137.5</v>
      </c>
      <c r="Q193" s="5">
        <v>156.9</v>
      </c>
      <c r="R193" s="5">
        <v>145.30000000000001</v>
      </c>
      <c r="S193" s="5">
        <v>136.69999999999999</v>
      </c>
      <c r="T193" s="5">
        <v>144</v>
      </c>
      <c r="U193" s="5">
        <v>142.9</v>
      </c>
      <c r="V193" s="5">
        <v>136.5</v>
      </c>
      <c r="W193" s="5">
        <v>136.6</v>
      </c>
      <c r="X193" s="5">
        <v>135.19999999999999</v>
      </c>
      <c r="Y193" s="5">
        <v>121.9</v>
      </c>
      <c r="Z193" s="5">
        <v>131.30000000000001</v>
      </c>
      <c r="AA193" s="5">
        <v>141.4</v>
      </c>
      <c r="AB193" s="5">
        <v>129.19999999999999</v>
      </c>
      <c r="AC193" s="5">
        <v>131.30000000000001</v>
      </c>
      <c r="AD193" s="12">
        <v>137.1</v>
      </c>
      <c r="AE193" s="26">
        <f>COUNTIFS($A$2:$A$379,A193,$B$2:$B$379,B194,$C$2:$C$379,C193)</f>
        <v>1</v>
      </c>
    </row>
    <row r="194" spans="1:31">
      <c r="A194" s="11" t="s">
        <v>65</v>
      </c>
      <c r="B194" s="5">
        <v>2018</v>
      </c>
      <c r="C194" s="5" t="s">
        <v>73</v>
      </c>
      <c r="D194" s="5">
        <v>137.4</v>
      </c>
      <c r="E194" s="5">
        <v>145.69999999999999</v>
      </c>
      <c r="F194" s="5">
        <v>135.5</v>
      </c>
      <c r="G194" s="5">
        <v>142.9</v>
      </c>
      <c r="H194" s="5">
        <v>123.6</v>
      </c>
      <c r="I194" s="5">
        <v>157.5</v>
      </c>
      <c r="J194" s="5">
        <v>137.80000000000001</v>
      </c>
      <c r="K194" s="5">
        <v>127.2</v>
      </c>
      <c r="L194" s="5">
        <v>111.8</v>
      </c>
      <c r="M194" s="5">
        <v>137.4</v>
      </c>
      <c r="N194" s="5">
        <v>132.19999999999999</v>
      </c>
      <c r="O194" s="5">
        <v>154.30000000000001</v>
      </c>
      <c r="P194" s="5">
        <v>139.1</v>
      </c>
      <c r="Q194" s="5">
        <v>157</v>
      </c>
      <c r="R194" s="5">
        <v>150.80000000000001</v>
      </c>
      <c r="S194" s="5">
        <v>144.1</v>
      </c>
      <c r="T194" s="5">
        <v>149.80000000000001</v>
      </c>
      <c r="U194" s="5" t="s">
        <v>67</v>
      </c>
      <c r="V194" s="5">
        <v>144.30000000000001</v>
      </c>
      <c r="W194" s="5">
        <v>141.80000000000001</v>
      </c>
      <c r="X194" s="5">
        <v>138.4</v>
      </c>
      <c r="Y194" s="5">
        <v>126.4</v>
      </c>
      <c r="Z194" s="5">
        <v>136.80000000000001</v>
      </c>
      <c r="AA194" s="5">
        <v>144.4</v>
      </c>
      <c r="AB194" s="5">
        <v>131.19999999999999</v>
      </c>
      <c r="AC194" s="5">
        <v>135.1</v>
      </c>
      <c r="AD194" s="12">
        <v>139.80000000000001</v>
      </c>
      <c r="AE194" s="26">
        <f>COUNTIFS($A$2:$A$379,A194,$B$2:$B$379,B195,$C$2:$C$379,C194)</f>
        <v>1</v>
      </c>
    </row>
    <row r="195" spans="1:31">
      <c r="A195" s="11" t="s">
        <v>68</v>
      </c>
      <c r="B195" s="5">
        <v>2018</v>
      </c>
      <c r="C195" s="5" t="s">
        <v>73</v>
      </c>
      <c r="D195" s="5">
        <v>135</v>
      </c>
      <c r="E195" s="5">
        <v>148.19999999999999</v>
      </c>
      <c r="F195" s="5">
        <v>130.5</v>
      </c>
      <c r="G195" s="5">
        <v>140.69999999999999</v>
      </c>
      <c r="H195" s="5">
        <v>116.4</v>
      </c>
      <c r="I195" s="5">
        <v>151.30000000000001</v>
      </c>
      <c r="J195" s="5">
        <v>131.4</v>
      </c>
      <c r="K195" s="5">
        <v>112.8</v>
      </c>
      <c r="L195" s="5">
        <v>105.3</v>
      </c>
      <c r="M195" s="5">
        <v>139.6</v>
      </c>
      <c r="N195" s="5">
        <v>126.6</v>
      </c>
      <c r="O195" s="5">
        <v>148.69999999999999</v>
      </c>
      <c r="P195" s="5">
        <v>136.4</v>
      </c>
      <c r="Q195" s="5">
        <v>160.30000000000001</v>
      </c>
      <c r="R195" s="5">
        <v>138.6</v>
      </c>
      <c r="S195" s="5">
        <v>127.9</v>
      </c>
      <c r="T195" s="5">
        <v>137</v>
      </c>
      <c r="U195" s="5">
        <v>143.19999999999999</v>
      </c>
      <c r="V195" s="5">
        <v>124.7</v>
      </c>
      <c r="W195" s="5">
        <v>132.5</v>
      </c>
      <c r="X195" s="5">
        <v>132</v>
      </c>
      <c r="Y195" s="5">
        <v>119.8</v>
      </c>
      <c r="Z195" s="5">
        <v>128</v>
      </c>
      <c r="AA195" s="5">
        <v>140.4</v>
      </c>
      <c r="AB195" s="5">
        <v>128.1</v>
      </c>
      <c r="AC195" s="5">
        <v>128.9</v>
      </c>
      <c r="AD195" s="12">
        <v>135.4</v>
      </c>
      <c r="AE195" s="26">
        <f>COUNTIFS($A$2:$A$379,A195,$B$2:$B$379,B196,$C$2:$C$379,C195)</f>
        <v>1</v>
      </c>
    </row>
    <row r="196" spans="1:31">
      <c r="A196" s="11" t="s">
        <v>69</v>
      </c>
      <c r="B196" s="5">
        <v>2018</v>
      </c>
      <c r="C196" s="5" t="s">
        <v>73</v>
      </c>
      <c r="D196" s="5">
        <v>136.6</v>
      </c>
      <c r="E196" s="5">
        <v>146.6</v>
      </c>
      <c r="F196" s="5">
        <v>133.6</v>
      </c>
      <c r="G196" s="5">
        <v>142.1</v>
      </c>
      <c r="H196" s="5">
        <v>121</v>
      </c>
      <c r="I196" s="5">
        <v>154.6</v>
      </c>
      <c r="J196" s="5">
        <v>135.6</v>
      </c>
      <c r="K196" s="5">
        <v>122.3</v>
      </c>
      <c r="L196" s="5">
        <v>109.6</v>
      </c>
      <c r="M196" s="5">
        <v>138.1</v>
      </c>
      <c r="N196" s="5">
        <v>129.9</v>
      </c>
      <c r="O196" s="5">
        <v>151.69999999999999</v>
      </c>
      <c r="P196" s="5">
        <v>138.1</v>
      </c>
      <c r="Q196" s="5">
        <v>157.9</v>
      </c>
      <c r="R196" s="5">
        <v>146</v>
      </c>
      <c r="S196" s="5">
        <v>137.4</v>
      </c>
      <c r="T196" s="5">
        <v>144.69999999999999</v>
      </c>
      <c r="U196" s="5">
        <v>143.19999999999999</v>
      </c>
      <c r="V196" s="5">
        <v>136.9</v>
      </c>
      <c r="W196" s="5">
        <v>137.4</v>
      </c>
      <c r="X196" s="5">
        <v>136</v>
      </c>
      <c r="Y196" s="5">
        <v>122.9</v>
      </c>
      <c r="Z196" s="5">
        <v>131.80000000000001</v>
      </c>
      <c r="AA196" s="5">
        <v>142.1</v>
      </c>
      <c r="AB196" s="5">
        <v>129.9</v>
      </c>
      <c r="AC196" s="5">
        <v>132.1</v>
      </c>
      <c r="AD196" s="12">
        <v>137.80000000000001</v>
      </c>
      <c r="AE196" s="26">
        <f>COUNTIFS($A$2:$A$379,A196,$B$2:$B$379,B197,$C$2:$C$379,C196)</f>
        <v>1</v>
      </c>
    </row>
    <row r="197" spans="1:31">
      <c r="A197" s="11" t="s">
        <v>65</v>
      </c>
      <c r="B197" s="5">
        <v>2018</v>
      </c>
      <c r="C197" s="5" t="s">
        <v>74</v>
      </c>
      <c r="D197" s="5">
        <v>137.6</v>
      </c>
      <c r="E197" s="5">
        <v>148.1</v>
      </c>
      <c r="F197" s="5">
        <v>136.69999999999999</v>
      </c>
      <c r="G197" s="5">
        <v>143.19999999999999</v>
      </c>
      <c r="H197" s="5">
        <v>124</v>
      </c>
      <c r="I197" s="5">
        <v>154.1</v>
      </c>
      <c r="J197" s="5">
        <v>143.5</v>
      </c>
      <c r="K197" s="5">
        <v>126</v>
      </c>
      <c r="L197" s="5">
        <v>112.4</v>
      </c>
      <c r="M197" s="5">
        <v>137.6</v>
      </c>
      <c r="N197" s="5">
        <v>132.80000000000001</v>
      </c>
      <c r="O197" s="5">
        <v>154.30000000000001</v>
      </c>
      <c r="P197" s="5">
        <v>140</v>
      </c>
      <c r="Q197" s="5">
        <v>157.30000000000001</v>
      </c>
      <c r="R197" s="5">
        <v>151.30000000000001</v>
      </c>
      <c r="S197" s="5">
        <v>144.69999999999999</v>
      </c>
      <c r="T197" s="5">
        <v>150.30000000000001</v>
      </c>
      <c r="U197" s="5" t="s">
        <v>67</v>
      </c>
      <c r="V197" s="5">
        <v>145.1</v>
      </c>
      <c r="W197" s="5">
        <v>142.19999999999999</v>
      </c>
      <c r="X197" s="5">
        <v>138.4</v>
      </c>
      <c r="Y197" s="5">
        <v>127.4</v>
      </c>
      <c r="Z197" s="5">
        <v>137.80000000000001</v>
      </c>
      <c r="AA197" s="5">
        <v>145.1</v>
      </c>
      <c r="AB197" s="5">
        <v>131.4</v>
      </c>
      <c r="AC197" s="5">
        <v>135.6</v>
      </c>
      <c r="AD197" s="12">
        <v>140.5</v>
      </c>
      <c r="AE197" s="26">
        <f>COUNTIFS($A$2:$A$379,A197,$B$2:$B$379,B198,$C$2:$C$379,C197)</f>
        <v>1</v>
      </c>
    </row>
    <row r="198" spans="1:31">
      <c r="A198" s="11" t="s">
        <v>68</v>
      </c>
      <c r="B198" s="5">
        <v>2018</v>
      </c>
      <c r="C198" s="5" t="s">
        <v>74</v>
      </c>
      <c r="D198" s="5">
        <v>135.30000000000001</v>
      </c>
      <c r="E198" s="5">
        <v>149.69999999999999</v>
      </c>
      <c r="F198" s="5">
        <v>133.9</v>
      </c>
      <c r="G198" s="5">
        <v>140.80000000000001</v>
      </c>
      <c r="H198" s="5">
        <v>116.6</v>
      </c>
      <c r="I198" s="5">
        <v>152.19999999999999</v>
      </c>
      <c r="J198" s="5">
        <v>144</v>
      </c>
      <c r="K198" s="5">
        <v>112.3</v>
      </c>
      <c r="L198" s="5">
        <v>108.4</v>
      </c>
      <c r="M198" s="5">
        <v>140</v>
      </c>
      <c r="N198" s="5">
        <v>126.7</v>
      </c>
      <c r="O198" s="5">
        <v>149</v>
      </c>
      <c r="P198" s="5">
        <v>138.4</v>
      </c>
      <c r="Q198" s="5">
        <v>161</v>
      </c>
      <c r="R198" s="5">
        <v>138.9</v>
      </c>
      <c r="S198" s="5">
        <v>128.69999999999999</v>
      </c>
      <c r="T198" s="5">
        <v>137.4</v>
      </c>
      <c r="U198" s="5">
        <v>142.5</v>
      </c>
      <c r="V198" s="5">
        <v>126.5</v>
      </c>
      <c r="W198" s="5">
        <v>133.1</v>
      </c>
      <c r="X198" s="5">
        <v>132.6</v>
      </c>
      <c r="Y198" s="5">
        <v>120.4</v>
      </c>
      <c r="Z198" s="5">
        <v>128.5</v>
      </c>
      <c r="AA198" s="5">
        <v>141.19999999999999</v>
      </c>
      <c r="AB198" s="5">
        <v>128.19999999999999</v>
      </c>
      <c r="AC198" s="5">
        <v>129.5</v>
      </c>
      <c r="AD198" s="12">
        <v>136.19999999999999</v>
      </c>
      <c r="AE198" s="26">
        <f>COUNTIFS($A$2:$A$379,A198,$B$2:$B$379,B199,$C$2:$C$379,C198)</f>
        <v>1</v>
      </c>
    </row>
    <row r="199" spans="1:31">
      <c r="A199" s="11" t="s">
        <v>69</v>
      </c>
      <c r="B199" s="5">
        <v>2018</v>
      </c>
      <c r="C199" s="5" t="s">
        <v>74</v>
      </c>
      <c r="D199" s="5">
        <v>136.9</v>
      </c>
      <c r="E199" s="5">
        <v>148.69999999999999</v>
      </c>
      <c r="F199" s="5">
        <v>135.6</v>
      </c>
      <c r="G199" s="5">
        <v>142.30000000000001</v>
      </c>
      <c r="H199" s="5">
        <v>121.3</v>
      </c>
      <c r="I199" s="5">
        <v>153.19999999999999</v>
      </c>
      <c r="J199" s="5">
        <v>143.69999999999999</v>
      </c>
      <c r="K199" s="5">
        <v>121.4</v>
      </c>
      <c r="L199" s="5">
        <v>111.1</v>
      </c>
      <c r="M199" s="5">
        <v>138.4</v>
      </c>
      <c r="N199" s="5">
        <v>130.30000000000001</v>
      </c>
      <c r="O199" s="5">
        <v>151.80000000000001</v>
      </c>
      <c r="P199" s="5">
        <v>139.4</v>
      </c>
      <c r="Q199" s="5">
        <v>158.30000000000001</v>
      </c>
      <c r="R199" s="5">
        <v>146.4</v>
      </c>
      <c r="S199" s="5">
        <v>138.1</v>
      </c>
      <c r="T199" s="5">
        <v>145.19999999999999</v>
      </c>
      <c r="U199" s="5">
        <v>142.5</v>
      </c>
      <c r="V199" s="5">
        <v>138.1</v>
      </c>
      <c r="W199" s="5">
        <v>137.9</v>
      </c>
      <c r="X199" s="5">
        <v>136.19999999999999</v>
      </c>
      <c r="Y199" s="5">
        <v>123.7</v>
      </c>
      <c r="Z199" s="5">
        <v>132.6</v>
      </c>
      <c r="AA199" s="5">
        <v>142.80000000000001</v>
      </c>
      <c r="AB199" s="5">
        <v>130.1</v>
      </c>
      <c r="AC199" s="5">
        <v>132.6</v>
      </c>
      <c r="AD199" s="12">
        <v>138.5</v>
      </c>
      <c r="AE199" s="26">
        <f>COUNTIFS($A$2:$A$379,A199,$B$2:$B$379,B200,$C$2:$C$379,C199)</f>
        <v>1</v>
      </c>
    </row>
    <row r="200" spans="1:31">
      <c r="A200" s="11" t="s">
        <v>65</v>
      </c>
      <c r="B200" s="5">
        <v>2018</v>
      </c>
      <c r="C200" s="5" t="s">
        <v>75</v>
      </c>
      <c r="D200" s="5">
        <v>138.4</v>
      </c>
      <c r="E200" s="5">
        <v>149.30000000000001</v>
      </c>
      <c r="F200" s="5">
        <v>139.30000000000001</v>
      </c>
      <c r="G200" s="5">
        <v>143.4</v>
      </c>
      <c r="H200" s="5">
        <v>124.1</v>
      </c>
      <c r="I200" s="5">
        <v>153.30000000000001</v>
      </c>
      <c r="J200" s="5">
        <v>154.19999999999999</v>
      </c>
      <c r="K200" s="5">
        <v>126.4</v>
      </c>
      <c r="L200" s="5">
        <v>114.3</v>
      </c>
      <c r="M200" s="5">
        <v>138.19999999999999</v>
      </c>
      <c r="N200" s="5">
        <v>132.80000000000001</v>
      </c>
      <c r="O200" s="5">
        <v>154.80000000000001</v>
      </c>
      <c r="P200" s="5">
        <v>142</v>
      </c>
      <c r="Q200" s="5">
        <v>156.1</v>
      </c>
      <c r="R200" s="5">
        <v>151.5</v>
      </c>
      <c r="S200" s="5">
        <v>145.1</v>
      </c>
      <c r="T200" s="5">
        <v>150.6</v>
      </c>
      <c r="U200" s="5" t="s">
        <v>67</v>
      </c>
      <c r="V200" s="5">
        <v>146.80000000000001</v>
      </c>
      <c r="W200" s="5">
        <v>143.1</v>
      </c>
      <c r="X200" s="5">
        <v>139</v>
      </c>
      <c r="Y200" s="5">
        <v>127.5</v>
      </c>
      <c r="Z200" s="5">
        <v>138.4</v>
      </c>
      <c r="AA200" s="5">
        <v>145.80000000000001</v>
      </c>
      <c r="AB200" s="5">
        <v>131.4</v>
      </c>
      <c r="AC200" s="5">
        <v>136</v>
      </c>
      <c r="AD200" s="12">
        <v>141.80000000000001</v>
      </c>
      <c r="AE200" s="26">
        <f>COUNTIFS($A$2:$A$379,A200,$B$2:$B$379,B201,$C$2:$C$379,C200)</f>
        <v>1</v>
      </c>
    </row>
    <row r="201" spans="1:31">
      <c r="A201" s="11" t="s">
        <v>68</v>
      </c>
      <c r="B201" s="5">
        <v>2018</v>
      </c>
      <c r="C201" s="5" t="s">
        <v>75</v>
      </c>
      <c r="D201" s="5">
        <v>135.6</v>
      </c>
      <c r="E201" s="5">
        <v>148.6</v>
      </c>
      <c r="F201" s="5">
        <v>139.1</v>
      </c>
      <c r="G201" s="5">
        <v>141</v>
      </c>
      <c r="H201" s="5">
        <v>116.7</v>
      </c>
      <c r="I201" s="5">
        <v>149.69999999999999</v>
      </c>
      <c r="J201" s="5">
        <v>159.19999999999999</v>
      </c>
      <c r="K201" s="5">
        <v>112.6</v>
      </c>
      <c r="L201" s="5">
        <v>111.8</v>
      </c>
      <c r="M201" s="5">
        <v>140.30000000000001</v>
      </c>
      <c r="N201" s="5">
        <v>126.8</v>
      </c>
      <c r="O201" s="5">
        <v>149.4</v>
      </c>
      <c r="P201" s="5">
        <v>140.30000000000001</v>
      </c>
      <c r="Q201" s="5">
        <v>161.4</v>
      </c>
      <c r="R201" s="5">
        <v>139.6</v>
      </c>
      <c r="S201" s="5">
        <v>128.9</v>
      </c>
      <c r="T201" s="5">
        <v>137.9</v>
      </c>
      <c r="U201" s="5">
        <v>143.6</v>
      </c>
      <c r="V201" s="5">
        <v>128.1</v>
      </c>
      <c r="W201" s="5">
        <v>133.6</v>
      </c>
      <c r="X201" s="5">
        <v>133.6</v>
      </c>
      <c r="Y201" s="5">
        <v>120.1</v>
      </c>
      <c r="Z201" s="5">
        <v>129</v>
      </c>
      <c r="AA201" s="5">
        <v>144</v>
      </c>
      <c r="AB201" s="5">
        <v>128.19999999999999</v>
      </c>
      <c r="AC201" s="5">
        <v>130.19999999999999</v>
      </c>
      <c r="AD201" s="12">
        <v>137.5</v>
      </c>
      <c r="AE201" s="26">
        <f>COUNTIFS($A$2:$A$379,A201,$B$2:$B$379,B202,$C$2:$C$379,C201)</f>
        <v>1</v>
      </c>
    </row>
    <row r="202" spans="1:31">
      <c r="A202" s="11" t="s">
        <v>69</v>
      </c>
      <c r="B202" s="5">
        <v>2018</v>
      </c>
      <c r="C202" s="5" t="s">
        <v>75</v>
      </c>
      <c r="D202" s="5">
        <v>137.5</v>
      </c>
      <c r="E202" s="5">
        <v>149.1</v>
      </c>
      <c r="F202" s="5">
        <v>139.19999999999999</v>
      </c>
      <c r="G202" s="5">
        <v>142.5</v>
      </c>
      <c r="H202" s="5">
        <v>121.4</v>
      </c>
      <c r="I202" s="5">
        <v>151.6</v>
      </c>
      <c r="J202" s="5">
        <v>155.9</v>
      </c>
      <c r="K202" s="5">
        <v>121.7</v>
      </c>
      <c r="L202" s="5">
        <v>113.5</v>
      </c>
      <c r="M202" s="5">
        <v>138.9</v>
      </c>
      <c r="N202" s="5">
        <v>130.30000000000001</v>
      </c>
      <c r="O202" s="5">
        <v>152.30000000000001</v>
      </c>
      <c r="P202" s="5">
        <v>141.4</v>
      </c>
      <c r="Q202" s="5">
        <v>157.5</v>
      </c>
      <c r="R202" s="5">
        <v>146.80000000000001</v>
      </c>
      <c r="S202" s="5">
        <v>138.4</v>
      </c>
      <c r="T202" s="5">
        <v>145.6</v>
      </c>
      <c r="U202" s="5">
        <v>143.6</v>
      </c>
      <c r="V202" s="5">
        <v>139.69999999999999</v>
      </c>
      <c r="W202" s="5">
        <v>138.6</v>
      </c>
      <c r="X202" s="5">
        <v>137</v>
      </c>
      <c r="Y202" s="5">
        <v>123.6</v>
      </c>
      <c r="Z202" s="5">
        <v>133.1</v>
      </c>
      <c r="AA202" s="5">
        <v>144.69999999999999</v>
      </c>
      <c r="AB202" s="5">
        <v>130.1</v>
      </c>
      <c r="AC202" s="5">
        <v>133.19999999999999</v>
      </c>
      <c r="AD202" s="12">
        <v>139.80000000000001</v>
      </c>
      <c r="AE202" s="26">
        <f>COUNTIFS($A$2:$A$379,A202,$B$2:$B$379,B203,$C$2:$C$379,C202)</f>
        <v>1</v>
      </c>
    </row>
    <row r="203" spans="1:31">
      <c r="A203" s="11" t="s">
        <v>65</v>
      </c>
      <c r="B203" s="5">
        <v>2018</v>
      </c>
      <c r="C203" s="5" t="s">
        <v>76</v>
      </c>
      <c r="D203" s="5">
        <v>139.19999999999999</v>
      </c>
      <c r="E203" s="5">
        <v>148.80000000000001</v>
      </c>
      <c r="F203" s="5">
        <v>139.1</v>
      </c>
      <c r="G203" s="5">
        <v>143.5</v>
      </c>
      <c r="H203" s="5">
        <v>125</v>
      </c>
      <c r="I203" s="5">
        <v>154.4</v>
      </c>
      <c r="J203" s="5">
        <v>156.30000000000001</v>
      </c>
      <c r="K203" s="5">
        <v>126.8</v>
      </c>
      <c r="L203" s="5">
        <v>115.4</v>
      </c>
      <c r="M203" s="5">
        <v>138.6</v>
      </c>
      <c r="N203" s="5">
        <v>133.80000000000001</v>
      </c>
      <c r="O203" s="5">
        <v>155.19999999999999</v>
      </c>
      <c r="P203" s="5">
        <v>142.69999999999999</v>
      </c>
      <c r="Q203" s="5">
        <v>156.4</v>
      </c>
      <c r="R203" s="5">
        <v>152.1</v>
      </c>
      <c r="S203" s="5">
        <v>145.80000000000001</v>
      </c>
      <c r="T203" s="5">
        <v>151.30000000000001</v>
      </c>
      <c r="U203" s="5" t="s">
        <v>67</v>
      </c>
      <c r="V203" s="5">
        <v>147.69999999999999</v>
      </c>
      <c r="W203" s="5">
        <v>143.80000000000001</v>
      </c>
      <c r="X203" s="5">
        <v>139.4</v>
      </c>
      <c r="Y203" s="5">
        <v>128.30000000000001</v>
      </c>
      <c r="Z203" s="5">
        <v>138.6</v>
      </c>
      <c r="AA203" s="5">
        <v>146.9</v>
      </c>
      <c r="AB203" s="5">
        <v>131.30000000000001</v>
      </c>
      <c r="AC203" s="5">
        <v>136.6</v>
      </c>
      <c r="AD203" s="12">
        <v>142.5</v>
      </c>
      <c r="AE203" s="26">
        <f>COUNTIFS($A$2:$A$379,A203,$B$2:$B$379,B204,$C$2:$C$379,C203)</f>
        <v>1</v>
      </c>
    </row>
    <row r="204" spans="1:31">
      <c r="A204" s="11" t="s">
        <v>68</v>
      </c>
      <c r="B204" s="5">
        <v>2018</v>
      </c>
      <c r="C204" s="5" t="s">
        <v>76</v>
      </c>
      <c r="D204" s="5">
        <v>136.5</v>
      </c>
      <c r="E204" s="5">
        <v>146.4</v>
      </c>
      <c r="F204" s="5">
        <v>136.6</v>
      </c>
      <c r="G204" s="5">
        <v>141.19999999999999</v>
      </c>
      <c r="H204" s="5">
        <v>117.4</v>
      </c>
      <c r="I204" s="5">
        <v>146.30000000000001</v>
      </c>
      <c r="J204" s="5">
        <v>157.30000000000001</v>
      </c>
      <c r="K204" s="5">
        <v>113.6</v>
      </c>
      <c r="L204" s="5">
        <v>113.3</v>
      </c>
      <c r="M204" s="5">
        <v>141.1</v>
      </c>
      <c r="N204" s="5">
        <v>127.4</v>
      </c>
      <c r="O204" s="5">
        <v>150.4</v>
      </c>
      <c r="P204" s="5">
        <v>140.1</v>
      </c>
      <c r="Q204" s="5">
        <v>162.1</v>
      </c>
      <c r="R204" s="5">
        <v>140</v>
      </c>
      <c r="S204" s="5">
        <v>129</v>
      </c>
      <c r="T204" s="5">
        <v>138.30000000000001</v>
      </c>
      <c r="U204" s="5">
        <v>144.6</v>
      </c>
      <c r="V204" s="5">
        <v>129.80000000000001</v>
      </c>
      <c r="W204" s="5">
        <v>134.4</v>
      </c>
      <c r="X204" s="5">
        <v>134.9</v>
      </c>
      <c r="Y204" s="5">
        <v>120.7</v>
      </c>
      <c r="Z204" s="5">
        <v>129.80000000000001</v>
      </c>
      <c r="AA204" s="5">
        <v>145.30000000000001</v>
      </c>
      <c r="AB204" s="5">
        <v>128.30000000000001</v>
      </c>
      <c r="AC204" s="5">
        <v>131</v>
      </c>
      <c r="AD204" s="12">
        <v>138</v>
      </c>
      <c r="AE204" s="26">
        <f>COUNTIFS($A$2:$A$379,A204,$B$2:$B$379,B205,$C$2:$C$379,C204)</f>
        <v>1</v>
      </c>
    </row>
    <row r="205" spans="1:31">
      <c r="A205" s="11" t="s">
        <v>69</v>
      </c>
      <c r="B205" s="5">
        <v>2018</v>
      </c>
      <c r="C205" s="5" t="s">
        <v>76</v>
      </c>
      <c r="D205" s="5">
        <v>138.30000000000001</v>
      </c>
      <c r="E205" s="5">
        <v>148</v>
      </c>
      <c r="F205" s="5">
        <v>138.1</v>
      </c>
      <c r="G205" s="5">
        <v>142.6</v>
      </c>
      <c r="H205" s="5">
        <v>122.2</v>
      </c>
      <c r="I205" s="5">
        <v>150.6</v>
      </c>
      <c r="J205" s="5">
        <v>156.6</v>
      </c>
      <c r="K205" s="5">
        <v>122.4</v>
      </c>
      <c r="L205" s="5">
        <v>114.7</v>
      </c>
      <c r="M205" s="5">
        <v>139.4</v>
      </c>
      <c r="N205" s="5">
        <v>131.1</v>
      </c>
      <c r="O205" s="5">
        <v>153</v>
      </c>
      <c r="P205" s="5">
        <v>141.69999999999999</v>
      </c>
      <c r="Q205" s="5">
        <v>157.9</v>
      </c>
      <c r="R205" s="5">
        <v>147.30000000000001</v>
      </c>
      <c r="S205" s="5">
        <v>138.80000000000001</v>
      </c>
      <c r="T205" s="5">
        <v>146.1</v>
      </c>
      <c r="U205" s="5">
        <v>144.6</v>
      </c>
      <c r="V205" s="5">
        <v>140.9</v>
      </c>
      <c r="W205" s="5">
        <v>139.4</v>
      </c>
      <c r="X205" s="5">
        <v>137.69999999999999</v>
      </c>
      <c r="Y205" s="5">
        <v>124.3</v>
      </c>
      <c r="Z205" s="5">
        <v>133.6</v>
      </c>
      <c r="AA205" s="5">
        <v>146</v>
      </c>
      <c r="AB205" s="5">
        <v>130.1</v>
      </c>
      <c r="AC205" s="5">
        <v>133.9</v>
      </c>
      <c r="AD205" s="12">
        <v>140.4</v>
      </c>
      <c r="AE205" s="26">
        <f>COUNTIFS($A$2:$A$379,A205,$B$2:$B$379,B206,$C$2:$C$379,C205)</f>
        <v>1</v>
      </c>
    </row>
    <row r="206" spans="1:31">
      <c r="A206" s="11" t="s">
        <v>65</v>
      </c>
      <c r="B206" s="5">
        <v>2018</v>
      </c>
      <c r="C206" s="5" t="s">
        <v>77</v>
      </c>
      <c r="D206" s="5">
        <v>139.4</v>
      </c>
      <c r="E206" s="5">
        <v>147.19999999999999</v>
      </c>
      <c r="F206" s="5">
        <v>136.6</v>
      </c>
      <c r="G206" s="5">
        <v>143.69999999999999</v>
      </c>
      <c r="H206" s="5">
        <v>124.6</v>
      </c>
      <c r="I206" s="5">
        <v>150.1</v>
      </c>
      <c r="J206" s="5">
        <v>149.4</v>
      </c>
      <c r="K206" s="5">
        <v>125.4</v>
      </c>
      <c r="L206" s="5">
        <v>114.4</v>
      </c>
      <c r="M206" s="5">
        <v>138.69999999999999</v>
      </c>
      <c r="N206" s="5">
        <v>133.1</v>
      </c>
      <c r="O206" s="5">
        <v>155.9</v>
      </c>
      <c r="P206" s="5">
        <v>141.30000000000001</v>
      </c>
      <c r="Q206" s="5">
        <v>157.69999999999999</v>
      </c>
      <c r="R206" s="5">
        <v>152.1</v>
      </c>
      <c r="S206" s="5">
        <v>146.1</v>
      </c>
      <c r="T206" s="5">
        <v>151.30000000000001</v>
      </c>
      <c r="U206" s="5" t="s">
        <v>67</v>
      </c>
      <c r="V206" s="5">
        <v>149</v>
      </c>
      <c r="W206" s="5">
        <v>144</v>
      </c>
      <c r="X206" s="5">
        <v>140</v>
      </c>
      <c r="Y206" s="5">
        <v>129.9</v>
      </c>
      <c r="Z206" s="5">
        <v>140</v>
      </c>
      <c r="AA206" s="5">
        <v>147.6</v>
      </c>
      <c r="AB206" s="5">
        <v>132</v>
      </c>
      <c r="AC206" s="5">
        <v>137.4</v>
      </c>
      <c r="AD206" s="12">
        <v>142.1</v>
      </c>
      <c r="AE206" s="26">
        <f>COUNTIFS($A$2:$A$379,A206,$B$2:$B$379,B207,$C$2:$C$379,C206)</f>
        <v>1</v>
      </c>
    </row>
    <row r="207" spans="1:31">
      <c r="A207" s="11" t="s">
        <v>68</v>
      </c>
      <c r="B207" s="5">
        <v>2018</v>
      </c>
      <c r="C207" s="5" t="s">
        <v>77</v>
      </c>
      <c r="D207" s="5">
        <v>137</v>
      </c>
      <c r="E207" s="5">
        <v>143.1</v>
      </c>
      <c r="F207" s="5">
        <v>132.80000000000001</v>
      </c>
      <c r="G207" s="5">
        <v>141.5</v>
      </c>
      <c r="H207" s="5">
        <v>117.8</v>
      </c>
      <c r="I207" s="5">
        <v>140</v>
      </c>
      <c r="J207" s="5">
        <v>151.30000000000001</v>
      </c>
      <c r="K207" s="5">
        <v>113.5</v>
      </c>
      <c r="L207" s="5">
        <v>112.3</v>
      </c>
      <c r="M207" s="5">
        <v>141.19999999999999</v>
      </c>
      <c r="N207" s="5">
        <v>127.7</v>
      </c>
      <c r="O207" s="5">
        <v>151.30000000000001</v>
      </c>
      <c r="P207" s="5">
        <v>138.9</v>
      </c>
      <c r="Q207" s="5">
        <v>163.30000000000001</v>
      </c>
      <c r="R207" s="5">
        <v>140.80000000000001</v>
      </c>
      <c r="S207" s="5">
        <v>129.30000000000001</v>
      </c>
      <c r="T207" s="5">
        <v>139.1</v>
      </c>
      <c r="U207" s="5">
        <v>145.30000000000001</v>
      </c>
      <c r="V207" s="5">
        <v>131.19999999999999</v>
      </c>
      <c r="W207" s="5">
        <v>134.9</v>
      </c>
      <c r="X207" s="5">
        <v>135.69999999999999</v>
      </c>
      <c r="Y207" s="5">
        <v>122.5</v>
      </c>
      <c r="Z207" s="5">
        <v>130.19999999999999</v>
      </c>
      <c r="AA207" s="5">
        <v>145.19999999999999</v>
      </c>
      <c r="AB207" s="5">
        <v>129.30000000000001</v>
      </c>
      <c r="AC207" s="5">
        <v>131.9</v>
      </c>
      <c r="AD207" s="12">
        <v>138.1</v>
      </c>
      <c r="AE207" s="26">
        <f>COUNTIFS($A$2:$A$379,A207,$B$2:$B$379,B208,$C$2:$C$379,C207)</f>
        <v>1</v>
      </c>
    </row>
    <row r="208" spans="1:31">
      <c r="A208" s="11" t="s">
        <v>69</v>
      </c>
      <c r="B208" s="5">
        <v>2018</v>
      </c>
      <c r="C208" s="5" t="s">
        <v>77</v>
      </c>
      <c r="D208" s="5">
        <v>138.6</v>
      </c>
      <c r="E208" s="5">
        <v>145.80000000000001</v>
      </c>
      <c r="F208" s="5">
        <v>135.1</v>
      </c>
      <c r="G208" s="5">
        <v>142.9</v>
      </c>
      <c r="H208" s="5">
        <v>122.1</v>
      </c>
      <c r="I208" s="5">
        <v>145.4</v>
      </c>
      <c r="J208" s="5">
        <v>150</v>
      </c>
      <c r="K208" s="5">
        <v>121.4</v>
      </c>
      <c r="L208" s="5">
        <v>113.7</v>
      </c>
      <c r="M208" s="5">
        <v>139.5</v>
      </c>
      <c r="N208" s="5">
        <v>130.80000000000001</v>
      </c>
      <c r="O208" s="5">
        <v>153.80000000000001</v>
      </c>
      <c r="P208" s="5">
        <v>140.4</v>
      </c>
      <c r="Q208" s="5">
        <v>159.19999999999999</v>
      </c>
      <c r="R208" s="5">
        <v>147.69999999999999</v>
      </c>
      <c r="S208" s="5">
        <v>139.1</v>
      </c>
      <c r="T208" s="5">
        <v>146.5</v>
      </c>
      <c r="U208" s="5">
        <v>145.30000000000001</v>
      </c>
      <c r="V208" s="5">
        <v>142.30000000000001</v>
      </c>
      <c r="W208" s="5">
        <v>139.69999999999999</v>
      </c>
      <c r="X208" s="5">
        <v>138.4</v>
      </c>
      <c r="Y208" s="5">
        <v>126</v>
      </c>
      <c r="Z208" s="5">
        <v>134.5</v>
      </c>
      <c r="AA208" s="5">
        <v>146.19999999999999</v>
      </c>
      <c r="AB208" s="5">
        <v>130.9</v>
      </c>
      <c r="AC208" s="5">
        <v>134.69999999999999</v>
      </c>
      <c r="AD208" s="12">
        <v>140.19999999999999</v>
      </c>
      <c r="AE208" s="26">
        <f>COUNTIFS($A$2:$A$379,A208,$B$2:$B$379,B209,$C$2:$C$379,C208)</f>
        <v>1</v>
      </c>
    </row>
    <row r="209" spans="1:31">
      <c r="A209" s="11" t="s">
        <v>65</v>
      </c>
      <c r="B209" s="5">
        <v>2018</v>
      </c>
      <c r="C209" s="5" t="s">
        <v>78</v>
      </c>
      <c r="D209" s="5">
        <v>139.30000000000001</v>
      </c>
      <c r="E209" s="5">
        <v>147.6</v>
      </c>
      <c r="F209" s="5">
        <v>134.6</v>
      </c>
      <c r="G209" s="5">
        <v>141.9</v>
      </c>
      <c r="H209" s="5">
        <v>123.5</v>
      </c>
      <c r="I209" s="5">
        <v>144.5</v>
      </c>
      <c r="J209" s="5">
        <v>147.6</v>
      </c>
      <c r="K209" s="5">
        <v>121.4</v>
      </c>
      <c r="L209" s="5">
        <v>112.3</v>
      </c>
      <c r="M209" s="5">
        <v>139.5</v>
      </c>
      <c r="N209" s="5">
        <v>134.6</v>
      </c>
      <c r="O209" s="5">
        <v>155.19999999999999</v>
      </c>
      <c r="P209" s="5">
        <v>140.19999999999999</v>
      </c>
      <c r="Q209" s="5">
        <v>159.6</v>
      </c>
      <c r="R209" s="5">
        <v>150.69999999999999</v>
      </c>
      <c r="S209" s="5">
        <v>144.5</v>
      </c>
      <c r="T209" s="5">
        <v>149.80000000000001</v>
      </c>
      <c r="U209" s="5" t="s">
        <v>67</v>
      </c>
      <c r="V209" s="5">
        <v>149.69999999999999</v>
      </c>
      <c r="W209" s="5">
        <v>147.5</v>
      </c>
      <c r="X209" s="5">
        <v>144.80000000000001</v>
      </c>
      <c r="Y209" s="5">
        <v>130.80000000000001</v>
      </c>
      <c r="Z209" s="5">
        <v>140.1</v>
      </c>
      <c r="AA209" s="5">
        <v>148</v>
      </c>
      <c r="AB209" s="5">
        <v>134.4</v>
      </c>
      <c r="AC209" s="5">
        <v>139.80000000000001</v>
      </c>
      <c r="AD209" s="12">
        <v>142.19999999999999</v>
      </c>
      <c r="AE209" s="26">
        <f>COUNTIFS($A$2:$A$379,A209,$B$2:$B$379,B210,$C$2:$C$379,C209)</f>
        <v>1</v>
      </c>
    </row>
    <row r="210" spans="1:31">
      <c r="A210" s="11" t="s">
        <v>68</v>
      </c>
      <c r="B210" s="5">
        <v>2018</v>
      </c>
      <c r="C210" s="5" t="s">
        <v>78</v>
      </c>
      <c r="D210" s="5">
        <v>137.6</v>
      </c>
      <c r="E210" s="5">
        <v>144.9</v>
      </c>
      <c r="F210" s="5">
        <v>133.5</v>
      </c>
      <c r="G210" s="5">
        <v>141.5</v>
      </c>
      <c r="H210" s="5">
        <v>118</v>
      </c>
      <c r="I210" s="5">
        <v>139.5</v>
      </c>
      <c r="J210" s="5">
        <v>153</v>
      </c>
      <c r="K210" s="5">
        <v>113.2</v>
      </c>
      <c r="L210" s="5">
        <v>112.8</v>
      </c>
      <c r="M210" s="5">
        <v>141.1</v>
      </c>
      <c r="N210" s="5">
        <v>127.6</v>
      </c>
      <c r="O210" s="5">
        <v>152</v>
      </c>
      <c r="P210" s="5">
        <v>139.4</v>
      </c>
      <c r="Q210" s="5">
        <v>164</v>
      </c>
      <c r="R210" s="5">
        <v>141.5</v>
      </c>
      <c r="S210" s="5">
        <v>129.80000000000001</v>
      </c>
      <c r="T210" s="5">
        <v>139.69999999999999</v>
      </c>
      <c r="U210" s="5">
        <v>146.30000000000001</v>
      </c>
      <c r="V210" s="5">
        <v>133.4</v>
      </c>
      <c r="W210" s="5">
        <v>135.1</v>
      </c>
      <c r="X210" s="5">
        <v>136.19999999999999</v>
      </c>
      <c r="Y210" s="5">
        <v>123.3</v>
      </c>
      <c r="Z210" s="5">
        <v>130.69999999999999</v>
      </c>
      <c r="AA210" s="5">
        <v>145.5</v>
      </c>
      <c r="AB210" s="5">
        <v>130.4</v>
      </c>
      <c r="AC210" s="5">
        <v>132.5</v>
      </c>
      <c r="AD210" s="12">
        <v>138.9</v>
      </c>
      <c r="AE210" s="26">
        <f>COUNTIFS($A$2:$A$379,A210,$B$2:$B$379,B211,$C$2:$C$379,C210)</f>
        <v>1</v>
      </c>
    </row>
    <row r="211" spans="1:31">
      <c r="A211" s="11" t="s">
        <v>69</v>
      </c>
      <c r="B211" s="5">
        <v>2018</v>
      </c>
      <c r="C211" s="5" t="s">
        <v>78</v>
      </c>
      <c r="D211" s="5">
        <v>137.4</v>
      </c>
      <c r="E211" s="5">
        <v>149.5</v>
      </c>
      <c r="F211" s="5">
        <v>137.30000000000001</v>
      </c>
      <c r="G211" s="5">
        <v>141.9</v>
      </c>
      <c r="H211" s="5">
        <v>121.1</v>
      </c>
      <c r="I211" s="5">
        <v>142.5</v>
      </c>
      <c r="J211" s="5">
        <v>146.69999999999999</v>
      </c>
      <c r="K211" s="5">
        <v>119.1</v>
      </c>
      <c r="L211" s="5">
        <v>111.9</v>
      </c>
      <c r="M211" s="5">
        <v>141</v>
      </c>
      <c r="N211" s="5">
        <v>133.6</v>
      </c>
      <c r="O211" s="5">
        <v>154.5</v>
      </c>
      <c r="P211" s="5">
        <v>139.69999999999999</v>
      </c>
      <c r="Q211" s="5">
        <v>162.6</v>
      </c>
      <c r="R211" s="5">
        <v>148</v>
      </c>
      <c r="S211" s="5">
        <v>139.19999999999999</v>
      </c>
      <c r="T211" s="5">
        <v>146.80000000000001</v>
      </c>
      <c r="U211" s="5">
        <v>146.9</v>
      </c>
      <c r="V211" s="5">
        <v>145.30000000000001</v>
      </c>
      <c r="W211" s="5">
        <v>142.19999999999999</v>
      </c>
      <c r="X211" s="5">
        <v>142.1</v>
      </c>
      <c r="Y211" s="5">
        <v>125.5</v>
      </c>
      <c r="Z211" s="5">
        <v>136.5</v>
      </c>
      <c r="AA211" s="5">
        <v>147.80000000000001</v>
      </c>
      <c r="AB211" s="5">
        <v>132</v>
      </c>
      <c r="AC211" s="5">
        <v>136.30000000000001</v>
      </c>
      <c r="AD211" s="12">
        <v>140.80000000000001</v>
      </c>
      <c r="AE211" s="26">
        <f>COUNTIFS($A$2:$A$379,A211,$B$2:$B$379,B212,$C$2:$C$379,C211)</f>
        <v>1</v>
      </c>
    </row>
    <row r="212" spans="1:31">
      <c r="A212" s="11" t="s">
        <v>65</v>
      </c>
      <c r="B212" s="5">
        <v>2018</v>
      </c>
      <c r="C212" s="5" t="s">
        <v>79</v>
      </c>
      <c r="D212" s="5">
        <v>137.1</v>
      </c>
      <c r="E212" s="5">
        <v>150.80000000000001</v>
      </c>
      <c r="F212" s="5">
        <v>136.69999999999999</v>
      </c>
      <c r="G212" s="5">
        <v>141.9</v>
      </c>
      <c r="H212" s="5">
        <v>122.8</v>
      </c>
      <c r="I212" s="5">
        <v>143.9</v>
      </c>
      <c r="J212" s="5">
        <v>147.5</v>
      </c>
      <c r="K212" s="5">
        <v>121</v>
      </c>
      <c r="L212" s="5">
        <v>111.6</v>
      </c>
      <c r="M212" s="5">
        <v>140.6</v>
      </c>
      <c r="N212" s="5">
        <v>137.5</v>
      </c>
      <c r="O212" s="5">
        <v>156.1</v>
      </c>
      <c r="P212" s="5">
        <v>140</v>
      </c>
      <c r="Q212" s="5">
        <v>161.9</v>
      </c>
      <c r="R212" s="5">
        <v>151.69999999999999</v>
      </c>
      <c r="S212" s="5">
        <v>145.5</v>
      </c>
      <c r="T212" s="5">
        <v>150.80000000000001</v>
      </c>
      <c r="U212" s="5" t="s">
        <v>67</v>
      </c>
      <c r="V212" s="5">
        <v>150.30000000000001</v>
      </c>
      <c r="W212" s="5">
        <v>148</v>
      </c>
      <c r="X212" s="5">
        <v>145.4</v>
      </c>
      <c r="Y212" s="5">
        <v>130.30000000000001</v>
      </c>
      <c r="Z212" s="5">
        <v>143.1</v>
      </c>
      <c r="AA212" s="5">
        <v>150.19999999999999</v>
      </c>
      <c r="AB212" s="5">
        <v>133.1</v>
      </c>
      <c r="AC212" s="5">
        <v>140.1</v>
      </c>
      <c r="AD212" s="12">
        <v>142.4</v>
      </c>
      <c r="AE212" s="26">
        <f>COUNTIFS($A$2:$A$379,A212,$B$2:$B$379,B213,$C$2:$C$379,C212)</f>
        <v>1</v>
      </c>
    </row>
    <row r="213" spans="1:31">
      <c r="A213" s="11" t="s">
        <v>68</v>
      </c>
      <c r="B213" s="5">
        <v>2018</v>
      </c>
      <c r="C213" s="5" t="s">
        <v>79</v>
      </c>
      <c r="D213" s="5">
        <v>138.1</v>
      </c>
      <c r="E213" s="5">
        <v>146.30000000000001</v>
      </c>
      <c r="F213" s="5">
        <v>137.80000000000001</v>
      </c>
      <c r="G213" s="5">
        <v>141.6</v>
      </c>
      <c r="H213" s="5">
        <v>118.1</v>
      </c>
      <c r="I213" s="5">
        <v>141.5</v>
      </c>
      <c r="J213" s="5">
        <v>145.19999999999999</v>
      </c>
      <c r="K213" s="5">
        <v>115.3</v>
      </c>
      <c r="L213" s="5">
        <v>112.5</v>
      </c>
      <c r="M213" s="5">
        <v>141.4</v>
      </c>
      <c r="N213" s="5">
        <v>128</v>
      </c>
      <c r="O213" s="5">
        <v>152.6</v>
      </c>
      <c r="P213" s="5">
        <v>139.1</v>
      </c>
      <c r="Q213" s="5">
        <v>164.4</v>
      </c>
      <c r="R213" s="5">
        <v>142.4</v>
      </c>
      <c r="S213" s="5">
        <v>130.19999999999999</v>
      </c>
      <c r="T213" s="5">
        <v>140.5</v>
      </c>
      <c r="U213" s="5">
        <v>146.9</v>
      </c>
      <c r="V213" s="5">
        <v>136.69999999999999</v>
      </c>
      <c r="W213" s="5">
        <v>135.80000000000001</v>
      </c>
      <c r="X213" s="5">
        <v>136.80000000000001</v>
      </c>
      <c r="Y213" s="5">
        <v>121.2</v>
      </c>
      <c r="Z213" s="5">
        <v>131.30000000000001</v>
      </c>
      <c r="AA213" s="5">
        <v>146.1</v>
      </c>
      <c r="AB213" s="5">
        <v>130.5</v>
      </c>
      <c r="AC213" s="5">
        <v>132.19999999999999</v>
      </c>
      <c r="AD213" s="12">
        <v>139</v>
      </c>
      <c r="AE213" s="26">
        <f>COUNTIFS($A$2:$A$379,A213,$B$2:$B$379,B214,$C$2:$C$379,C213)</f>
        <v>1</v>
      </c>
    </row>
    <row r="214" spans="1:31">
      <c r="A214" s="11" t="s">
        <v>69</v>
      </c>
      <c r="B214" s="5">
        <v>2018</v>
      </c>
      <c r="C214" s="5" t="s">
        <v>79</v>
      </c>
      <c r="D214" s="5">
        <v>137.4</v>
      </c>
      <c r="E214" s="5">
        <v>149.19999999999999</v>
      </c>
      <c r="F214" s="5">
        <v>137.1</v>
      </c>
      <c r="G214" s="5">
        <v>141.80000000000001</v>
      </c>
      <c r="H214" s="5">
        <v>121.1</v>
      </c>
      <c r="I214" s="5">
        <v>142.80000000000001</v>
      </c>
      <c r="J214" s="5">
        <v>146.69999999999999</v>
      </c>
      <c r="K214" s="5">
        <v>119.1</v>
      </c>
      <c r="L214" s="5">
        <v>111.9</v>
      </c>
      <c r="M214" s="5">
        <v>140.9</v>
      </c>
      <c r="N214" s="5">
        <v>133.5</v>
      </c>
      <c r="O214" s="5">
        <v>154.5</v>
      </c>
      <c r="P214" s="5">
        <v>139.69999999999999</v>
      </c>
      <c r="Q214" s="5">
        <v>162.6</v>
      </c>
      <c r="R214" s="5">
        <v>148</v>
      </c>
      <c r="S214" s="5">
        <v>139.1</v>
      </c>
      <c r="T214" s="5">
        <v>146.69999999999999</v>
      </c>
      <c r="U214" s="5">
        <v>146.9</v>
      </c>
      <c r="V214" s="5">
        <v>145.1</v>
      </c>
      <c r="W214" s="5">
        <v>142.19999999999999</v>
      </c>
      <c r="X214" s="5">
        <v>142.1</v>
      </c>
      <c r="Y214" s="5">
        <v>125.5</v>
      </c>
      <c r="Z214" s="5">
        <v>136.5</v>
      </c>
      <c r="AA214" s="5">
        <v>147.80000000000001</v>
      </c>
      <c r="AB214" s="5">
        <v>132</v>
      </c>
      <c r="AC214" s="5">
        <v>136.30000000000001</v>
      </c>
      <c r="AD214" s="12">
        <v>140.80000000000001</v>
      </c>
      <c r="AE214" s="26">
        <f>COUNTIFS($A$2:$A$379,A214,$B$2:$B$379,B215,$C$2:$C$379,C214)</f>
        <v>1</v>
      </c>
    </row>
    <row r="215" spans="1:31">
      <c r="A215" s="11" t="s">
        <v>65</v>
      </c>
      <c r="B215" s="5">
        <v>2018</v>
      </c>
      <c r="C215" s="5" t="s">
        <v>80</v>
      </c>
      <c r="D215" s="5">
        <v>137.1</v>
      </c>
      <c r="E215" s="5">
        <v>151.9</v>
      </c>
      <c r="F215" s="5">
        <v>137.4</v>
      </c>
      <c r="G215" s="5">
        <v>142.4</v>
      </c>
      <c r="H215" s="5">
        <v>124.2</v>
      </c>
      <c r="I215" s="5">
        <v>140.19999999999999</v>
      </c>
      <c r="J215" s="5">
        <v>136.6</v>
      </c>
      <c r="K215" s="5">
        <v>120.9</v>
      </c>
      <c r="L215" s="5">
        <v>109.9</v>
      </c>
      <c r="M215" s="5">
        <v>140.19999999999999</v>
      </c>
      <c r="N215" s="5">
        <v>137.80000000000001</v>
      </c>
      <c r="O215" s="5">
        <v>156</v>
      </c>
      <c r="P215" s="5">
        <v>138.5</v>
      </c>
      <c r="Q215" s="5">
        <v>162.4</v>
      </c>
      <c r="R215" s="5">
        <v>151.6</v>
      </c>
      <c r="S215" s="5">
        <v>145.9</v>
      </c>
      <c r="T215" s="5">
        <v>150.80000000000001</v>
      </c>
      <c r="U215" s="5" t="s">
        <v>67</v>
      </c>
      <c r="V215" s="5">
        <v>149</v>
      </c>
      <c r="W215" s="5">
        <v>149.5</v>
      </c>
      <c r="X215" s="5">
        <v>149.6</v>
      </c>
      <c r="Y215" s="5">
        <v>128.9</v>
      </c>
      <c r="Z215" s="5">
        <v>143.30000000000001</v>
      </c>
      <c r="AA215" s="5">
        <v>155.1</v>
      </c>
      <c r="AB215" s="5">
        <v>133.19999999999999</v>
      </c>
      <c r="AC215" s="5">
        <v>141.6</v>
      </c>
      <c r="AD215" s="12">
        <v>141.9</v>
      </c>
      <c r="AE215" s="26">
        <f>COUNTIFS($A$2:$A$379,A215,$B$2:$B$379,B216,$C$2:$C$379,C215)</f>
        <v>1</v>
      </c>
    </row>
    <row r="216" spans="1:31">
      <c r="A216" s="11" t="s">
        <v>68</v>
      </c>
      <c r="B216" s="5">
        <v>2018</v>
      </c>
      <c r="C216" s="5" t="s">
        <v>80</v>
      </c>
      <c r="D216" s="5">
        <v>138.5</v>
      </c>
      <c r="E216" s="5">
        <v>147.80000000000001</v>
      </c>
      <c r="F216" s="5">
        <v>141.1</v>
      </c>
      <c r="G216" s="5">
        <v>141.6</v>
      </c>
      <c r="H216" s="5">
        <v>118.1</v>
      </c>
      <c r="I216" s="5">
        <v>138.5</v>
      </c>
      <c r="J216" s="5">
        <v>132.4</v>
      </c>
      <c r="K216" s="5">
        <v>117.5</v>
      </c>
      <c r="L216" s="5">
        <v>111</v>
      </c>
      <c r="M216" s="5">
        <v>141.5</v>
      </c>
      <c r="N216" s="5">
        <v>128.1</v>
      </c>
      <c r="O216" s="5">
        <v>152.9</v>
      </c>
      <c r="P216" s="5">
        <v>137.6</v>
      </c>
      <c r="Q216" s="5">
        <v>164.6</v>
      </c>
      <c r="R216" s="5">
        <v>142.69999999999999</v>
      </c>
      <c r="S216" s="5">
        <v>130.30000000000001</v>
      </c>
      <c r="T216" s="5">
        <v>140.80000000000001</v>
      </c>
      <c r="U216" s="5">
        <v>146.5</v>
      </c>
      <c r="V216" s="5">
        <v>132.4</v>
      </c>
      <c r="W216" s="5">
        <v>136.19999999999999</v>
      </c>
      <c r="X216" s="5">
        <v>137.30000000000001</v>
      </c>
      <c r="Y216" s="5">
        <v>118.8</v>
      </c>
      <c r="Z216" s="5">
        <v>131.69999999999999</v>
      </c>
      <c r="AA216" s="5">
        <v>146.5</v>
      </c>
      <c r="AB216" s="5">
        <v>130.80000000000001</v>
      </c>
      <c r="AC216" s="5">
        <v>131.69999999999999</v>
      </c>
      <c r="AD216" s="12">
        <v>138</v>
      </c>
      <c r="AE216" s="26">
        <f>COUNTIFS($A$2:$A$379,A216,$B$2:$B$379,B217,$C$2:$C$379,C216)</f>
        <v>1</v>
      </c>
    </row>
    <row r="217" spans="1:31">
      <c r="A217" s="11" t="s">
        <v>69</v>
      </c>
      <c r="B217" s="5">
        <v>2018</v>
      </c>
      <c r="C217" s="5" t="s">
        <v>80</v>
      </c>
      <c r="D217" s="5">
        <v>137.5</v>
      </c>
      <c r="E217" s="5">
        <v>150.5</v>
      </c>
      <c r="F217" s="5">
        <v>138.80000000000001</v>
      </c>
      <c r="G217" s="5">
        <v>142.1</v>
      </c>
      <c r="H217" s="5">
        <v>122</v>
      </c>
      <c r="I217" s="5">
        <v>139.4</v>
      </c>
      <c r="J217" s="5">
        <v>135.19999999999999</v>
      </c>
      <c r="K217" s="5">
        <v>119.8</v>
      </c>
      <c r="L217" s="5">
        <v>110.3</v>
      </c>
      <c r="M217" s="5">
        <v>140.6</v>
      </c>
      <c r="N217" s="5">
        <v>133.80000000000001</v>
      </c>
      <c r="O217" s="5">
        <v>154.6</v>
      </c>
      <c r="P217" s="5">
        <v>138.19999999999999</v>
      </c>
      <c r="Q217" s="5">
        <v>163</v>
      </c>
      <c r="R217" s="5">
        <v>148.1</v>
      </c>
      <c r="S217" s="5">
        <v>139.4</v>
      </c>
      <c r="T217" s="5">
        <v>146.80000000000001</v>
      </c>
      <c r="U217" s="5">
        <v>146.5</v>
      </c>
      <c r="V217" s="5">
        <v>142.69999999999999</v>
      </c>
      <c r="W217" s="5">
        <v>143.19999999999999</v>
      </c>
      <c r="X217" s="5">
        <v>144.9</v>
      </c>
      <c r="Y217" s="5">
        <v>123.6</v>
      </c>
      <c r="Z217" s="5">
        <v>136.80000000000001</v>
      </c>
      <c r="AA217" s="5">
        <v>150.1</v>
      </c>
      <c r="AB217" s="5">
        <v>132.19999999999999</v>
      </c>
      <c r="AC217" s="5">
        <v>136.80000000000001</v>
      </c>
      <c r="AD217" s="12">
        <v>140.1</v>
      </c>
      <c r="AE217" s="26">
        <f>COUNTIFS($A$2:$A$379,A217,$B$2:$B$379,B218,$C$2:$C$379,C217)</f>
        <v>1</v>
      </c>
    </row>
    <row r="218" spans="1:31">
      <c r="A218" s="11" t="s">
        <v>65</v>
      </c>
      <c r="B218" s="5">
        <v>2019</v>
      </c>
      <c r="C218" s="5" t="s">
        <v>66</v>
      </c>
      <c r="D218" s="5">
        <v>136.6</v>
      </c>
      <c r="E218" s="5">
        <v>152.5</v>
      </c>
      <c r="F218" s="5">
        <v>138.19999999999999</v>
      </c>
      <c r="G218" s="5">
        <v>142.4</v>
      </c>
      <c r="H218" s="5">
        <v>123.9</v>
      </c>
      <c r="I218" s="5">
        <v>135.5</v>
      </c>
      <c r="J218" s="5">
        <v>131.69999999999999</v>
      </c>
      <c r="K218" s="5">
        <v>121.3</v>
      </c>
      <c r="L218" s="5">
        <v>108.4</v>
      </c>
      <c r="M218" s="5">
        <v>138.9</v>
      </c>
      <c r="N218" s="5">
        <v>137</v>
      </c>
      <c r="O218" s="5">
        <v>155.80000000000001</v>
      </c>
      <c r="P218" s="5">
        <v>137.4</v>
      </c>
      <c r="Q218" s="5">
        <v>162.69999999999999</v>
      </c>
      <c r="R218" s="5">
        <v>150.6</v>
      </c>
      <c r="S218" s="5">
        <v>145.1</v>
      </c>
      <c r="T218" s="5">
        <v>149.9</v>
      </c>
      <c r="U218" s="5" t="s">
        <v>67</v>
      </c>
      <c r="V218" s="5">
        <v>146.19999999999999</v>
      </c>
      <c r="W218" s="5">
        <v>150.1</v>
      </c>
      <c r="X218" s="5">
        <v>149.6</v>
      </c>
      <c r="Y218" s="5">
        <v>128.6</v>
      </c>
      <c r="Z218" s="5">
        <v>142.9</v>
      </c>
      <c r="AA218" s="5">
        <v>155.19999999999999</v>
      </c>
      <c r="AB218" s="5">
        <v>133.5</v>
      </c>
      <c r="AC218" s="5">
        <v>141.69999999999999</v>
      </c>
      <c r="AD218" s="12">
        <v>141</v>
      </c>
      <c r="AE218" s="26">
        <f>COUNTIFS($A$2:$A$379,A218,$B$2:$B$379,B219,$C$2:$C$379,C218)</f>
        <v>1</v>
      </c>
    </row>
    <row r="219" spans="1:31">
      <c r="A219" s="11" t="s">
        <v>68</v>
      </c>
      <c r="B219" s="5">
        <v>2019</v>
      </c>
      <c r="C219" s="5" t="s">
        <v>66</v>
      </c>
      <c r="D219" s="5">
        <v>138.30000000000001</v>
      </c>
      <c r="E219" s="5">
        <v>149.4</v>
      </c>
      <c r="F219" s="5">
        <v>143.5</v>
      </c>
      <c r="G219" s="5">
        <v>141.69999999999999</v>
      </c>
      <c r="H219" s="5">
        <v>118.1</v>
      </c>
      <c r="I219" s="5">
        <v>135.19999999999999</v>
      </c>
      <c r="J219" s="5">
        <v>130.5</v>
      </c>
      <c r="K219" s="5">
        <v>118.2</v>
      </c>
      <c r="L219" s="5">
        <v>110.4</v>
      </c>
      <c r="M219" s="5">
        <v>140.4</v>
      </c>
      <c r="N219" s="5">
        <v>128.1</v>
      </c>
      <c r="O219" s="5">
        <v>153.19999999999999</v>
      </c>
      <c r="P219" s="5">
        <v>137.30000000000001</v>
      </c>
      <c r="Q219" s="5">
        <v>164.7</v>
      </c>
      <c r="R219" s="5">
        <v>143</v>
      </c>
      <c r="S219" s="5">
        <v>130.4</v>
      </c>
      <c r="T219" s="5">
        <v>141.1</v>
      </c>
      <c r="U219" s="5">
        <v>147.69999999999999</v>
      </c>
      <c r="V219" s="5">
        <v>128.6</v>
      </c>
      <c r="W219" s="5">
        <v>136.30000000000001</v>
      </c>
      <c r="X219" s="5">
        <v>137.80000000000001</v>
      </c>
      <c r="Y219" s="5">
        <v>118.6</v>
      </c>
      <c r="Z219" s="5">
        <v>131.9</v>
      </c>
      <c r="AA219" s="5">
        <v>146.6</v>
      </c>
      <c r="AB219" s="5">
        <v>131.69999999999999</v>
      </c>
      <c r="AC219" s="5">
        <v>131.80000000000001</v>
      </c>
      <c r="AD219" s="12">
        <v>138</v>
      </c>
      <c r="AE219" s="26">
        <f>COUNTIFS($A$2:$A$379,A219,$B$2:$B$379,B220,$C$2:$C$379,C219)</f>
        <v>1</v>
      </c>
    </row>
    <row r="220" spans="1:31">
      <c r="A220" s="11" t="s">
        <v>69</v>
      </c>
      <c r="B220" s="5">
        <v>2019</v>
      </c>
      <c r="C220" s="5" t="s">
        <v>66</v>
      </c>
      <c r="D220" s="5">
        <v>137.1</v>
      </c>
      <c r="E220" s="5">
        <v>151.4</v>
      </c>
      <c r="F220" s="5">
        <v>140.19999999999999</v>
      </c>
      <c r="G220" s="5">
        <v>142.1</v>
      </c>
      <c r="H220" s="5">
        <v>121.8</v>
      </c>
      <c r="I220" s="5">
        <v>135.4</v>
      </c>
      <c r="J220" s="5">
        <v>131.30000000000001</v>
      </c>
      <c r="K220" s="5">
        <v>120.3</v>
      </c>
      <c r="L220" s="5">
        <v>109.1</v>
      </c>
      <c r="M220" s="5">
        <v>139.4</v>
      </c>
      <c r="N220" s="5">
        <v>133.30000000000001</v>
      </c>
      <c r="O220" s="5">
        <v>154.6</v>
      </c>
      <c r="P220" s="5">
        <v>137.4</v>
      </c>
      <c r="Q220" s="5">
        <v>163.19999999999999</v>
      </c>
      <c r="R220" s="5">
        <v>147.6</v>
      </c>
      <c r="S220" s="5">
        <v>139</v>
      </c>
      <c r="T220" s="5">
        <v>146.4</v>
      </c>
      <c r="U220" s="5">
        <v>147.69999999999999</v>
      </c>
      <c r="V220" s="5">
        <v>139.5</v>
      </c>
      <c r="W220" s="5">
        <v>143.6</v>
      </c>
      <c r="X220" s="5">
        <v>145.1</v>
      </c>
      <c r="Y220" s="5">
        <v>123.3</v>
      </c>
      <c r="Z220" s="5">
        <v>136.69999999999999</v>
      </c>
      <c r="AA220" s="5">
        <v>150.19999999999999</v>
      </c>
      <c r="AB220" s="5">
        <v>132.80000000000001</v>
      </c>
      <c r="AC220" s="5">
        <v>136.9</v>
      </c>
      <c r="AD220" s="12">
        <v>139.6</v>
      </c>
      <c r="AE220" s="26">
        <f>COUNTIFS($A$2:$A$379,A220,$B$2:$B$379,B221,$C$2:$C$379,C220)</f>
        <v>1</v>
      </c>
    </row>
    <row r="221" spans="1:31">
      <c r="A221" s="11" t="s">
        <v>65</v>
      </c>
      <c r="B221" s="5">
        <v>2019</v>
      </c>
      <c r="C221" s="5" t="s">
        <v>70</v>
      </c>
      <c r="D221" s="5">
        <v>136.80000000000001</v>
      </c>
      <c r="E221" s="5">
        <v>153</v>
      </c>
      <c r="F221" s="5">
        <v>139.1</v>
      </c>
      <c r="G221" s="5">
        <v>142.5</v>
      </c>
      <c r="H221" s="5">
        <v>124.1</v>
      </c>
      <c r="I221" s="5">
        <v>135.80000000000001</v>
      </c>
      <c r="J221" s="5">
        <v>128.69999999999999</v>
      </c>
      <c r="K221" s="5">
        <v>121.5</v>
      </c>
      <c r="L221" s="5">
        <v>108.3</v>
      </c>
      <c r="M221" s="5">
        <v>139.19999999999999</v>
      </c>
      <c r="N221" s="5">
        <v>137.4</v>
      </c>
      <c r="O221" s="5">
        <v>156.19999999999999</v>
      </c>
      <c r="P221" s="5">
        <v>137.19999999999999</v>
      </c>
      <c r="Q221" s="5">
        <v>162.80000000000001</v>
      </c>
      <c r="R221" s="5">
        <v>150.5</v>
      </c>
      <c r="S221" s="5">
        <v>146.1</v>
      </c>
      <c r="T221" s="5">
        <v>149.9</v>
      </c>
      <c r="U221" s="5" t="s">
        <v>67</v>
      </c>
      <c r="V221" s="5">
        <v>145.30000000000001</v>
      </c>
      <c r="W221" s="5">
        <v>150.1</v>
      </c>
      <c r="X221" s="5">
        <v>149.9</v>
      </c>
      <c r="Y221" s="5">
        <v>129.19999999999999</v>
      </c>
      <c r="Z221" s="5">
        <v>143.4</v>
      </c>
      <c r="AA221" s="5">
        <v>155.5</v>
      </c>
      <c r="AB221" s="5">
        <v>134.9</v>
      </c>
      <c r="AC221" s="5">
        <v>142.19999999999999</v>
      </c>
      <c r="AD221" s="12">
        <v>141</v>
      </c>
      <c r="AE221" s="26">
        <f>COUNTIFS($A$2:$A$379,A221,$B$2:$B$379,B222,$C$2:$C$379,C221)</f>
        <v>1</v>
      </c>
    </row>
    <row r="222" spans="1:31">
      <c r="A222" s="11" t="s">
        <v>68</v>
      </c>
      <c r="B222" s="5">
        <v>2019</v>
      </c>
      <c r="C222" s="5" t="s">
        <v>70</v>
      </c>
      <c r="D222" s="5">
        <v>139.4</v>
      </c>
      <c r="E222" s="5">
        <v>150.1</v>
      </c>
      <c r="F222" s="5">
        <v>145.30000000000001</v>
      </c>
      <c r="G222" s="5">
        <v>141.69999999999999</v>
      </c>
      <c r="H222" s="5">
        <v>118.4</v>
      </c>
      <c r="I222" s="5">
        <v>137</v>
      </c>
      <c r="J222" s="5">
        <v>131.6</v>
      </c>
      <c r="K222" s="5">
        <v>119.9</v>
      </c>
      <c r="L222" s="5">
        <v>110.4</v>
      </c>
      <c r="M222" s="5">
        <v>140.80000000000001</v>
      </c>
      <c r="N222" s="5">
        <v>128.30000000000001</v>
      </c>
      <c r="O222" s="5">
        <v>153.5</v>
      </c>
      <c r="P222" s="5">
        <v>138</v>
      </c>
      <c r="Q222" s="5">
        <v>164.9</v>
      </c>
      <c r="R222" s="5">
        <v>143.30000000000001</v>
      </c>
      <c r="S222" s="5">
        <v>130.80000000000001</v>
      </c>
      <c r="T222" s="5">
        <v>141.4</v>
      </c>
      <c r="U222" s="5">
        <v>148.5</v>
      </c>
      <c r="V222" s="5">
        <v>127.1</v>
      </c>
      <c r="W222" s="5">
        <v>136.6</v>
      </c>
      <c r="X222" s="5">
        <v>138.5</v>
      </c>
      <c r="Y222" s="5">
        <v>119.2</v>
      </c>
      <c r="Z222" s="5">
        <v>132.19999999999999</v>
      </c>
      <c r="AA222" s="5">
        <v>146.6</v>
      </c>
      <c r="AB222" s="5">
        <v>133</v>
      </c>
      <c r="AC222" s="5">
        <v>132.4</v>
      </c>
      <c r="AD222" s="12">
        <v>138.6</v>
      </c>
      <c r="AE222" s="26">
        <f>COUNTIFS($A$2:$A$379,A222,$B$2:$B$379,B223,$C$2:$C$379,C222)</f>
        <v>1</v>
      </c>
    </row>
    <row r="223" spans="1:31">
      <c r="A223" s="11" t="s">
        <v>69</v>
      </c>
      <c r="B223" s="5">
        <v>2019</v>
      </c>
      <c r="C223" s="5" t="s">
        <v>70</v>
      </c>
      <c r="D223" s="5">
        <v>137.6</v>
      </c>
      <c r="E223" s="5">
        <v>152</v>
      </c>
      <c r="F223" s="5">
        <v>141.5</v>
      </c>
      <c r="G223" s="5">
        <v>142.19999999999999</v>
      </c>
      <c r="H223" s="5">
        <v>122</v>
      </c>
      <c r="I223" s="5">
        <v>136.4</v>
      </c>
      <c r="J223" s="5">
        <v>129.69999999999999</v>
      </c>
      <c r="K223" s="5">
        <v>121</v>
      </c>
      <c r="L223" s="5">
        <v>109</v>
      </c>
      <c r="M223" s="5">
        <v>139.69999999999999</v>
      </c>
      <c r="N223" s="5">
        <v>133.6</v>
      </c>
      <c r="O223" s="5">
        <v>154.9</v>
      </c>
      <c r="P223" s="5">
        <v>137.5</v>
      </c>
      <c r="Q223" s="5">
        <v>163.4</v>
      </c>
      <c r="R223" s="5">
        <v>147.69999999999999</v>
      </c>
      <c r="S223" s="5">
        <v>139.69999999999999</v>
      </c>
      <c r="T223" s="5">
        <v>146.5</v>
      </c>
      <c r="U223" s="5">
        <v>148.5</v>
      </c>
      <c r="V223" s="5">
        <v>138.4</v>
      </c>
      <c r="W223" s="5">
        <v>143.69999999999999</v>
      </c>
      <c r="X223" s="5">
        <v>145.6</v>
      </c>
      <c r="Y223" s="5">
        <v>123.9</v>
      </c>
      <c r="Z223" s="5">
        <v>137.1</v>
      </c>
      <c r="AA223" s="5">
        <v>150.30000000000001</v>
      </c>
      <c r="AB223" s="5">
        <v>134.1</v>
      </c>
      <c r="AC223" s="5">
        <v>137.4</v>
      </c>
      <c r="AD223" s="12">
        <v>139.9</v>
      </c>
      <c r="AE223" s="26">
        <f>COUNTIFS($A$2:$A$379,A223,$B$2:$B$379,B224,$C$2:$C$379,C223)</f>
        <v>1</v>
      </c>
    </row>
    <row r="224" spans="1:31">
      <c r="A224" s="11" t="s">
        <v>65</v>
      </c>
      <c r="B224" s="5">
        <v>2019</v>
      </c>
      <c r="C224" s="5" t="s">
        <v>71</v>
      </c>
      <c r="D224" s="5">
        <v>136.9</v>
      </c>
      <c r="E224" s="5">
        <v>154.1</v>
      </c>
      <c r="F224" s="5">
        <v>138.69999999999999</v>
      </c>
      <c r="G224" s="5">
        <v>142.5</v>
      </c>
      <c r="H224" s="5">
        <v>124.1</v>
      </c>
      <c r="I224" s="5">
        <v>136.1</v>
      </c>
      <c r="J224" s="5">
        <v>128.19999999999999</v>
      </c>
      <c r="K224" s="5">
        <v>122.3</v>
      </c>
      <c r="L224" s="5">
        <v>108.3</v>
      </c>
      <c r="M224" s="5">
        <v>138.9</v>
      </c>
      <c r="N224" s="5">
        <v>137.4</v>
      </c>
      <c r="O224" s="5">
        <v>156.4</v>
      </c>
      <c r="P224" s="5">
        <v>137.30000000000001</v>
      </c>
      <c r="Q224" s="5">
        <v>162.9</v>
      </c>
      <c r="R224" s="5">
        <v>150.80000000000001</v>
      </c>
      <c r="S224" s="5">
        <v>146.1</v>
      </c>
      <c r="T224" s="5">
        <v>150.1</v>
      </c>
      <c r="U224" s="5" t="s">
        <v>67</v>
      </c>
      <c r="V224" s="5">
        <v>146.4</v>
      </c>
      <c r="W224" s="5">
        <v>150</v>
      </c>
      <c r="X224" s="5">
        <v>150.4</v>
      </c>
      <c r="Y224" s="5">
        <v>129.9</v>
      </c>
      <c r="Z224" s="5">
        <v>143.80000000000001</v>
      </c>
      <c r="AA224" s="5">
        <v>155.5</v>
      </c>
      <c r="AB224" s="5">
        <v>134</v>
      </c>
      <c r="AC224" s="5">
        <v>142.4</v>
      </c>
      <c r="AD224" s="12">
        <v>141.19999999999999</v>
      </c>
      <c r="AE224" s="26">
        <f>COUNTIFS($A$2:$A$379,A224,$B$2:$B$379,B225,$C$2:$C$379,C224)</f>
        <v>1</v>
      </c>
    </row>
    <row r="225" spans="1:31">
      <c r="A225" s="11" t="s">
        <v>68</v>
      </c>
      <c r="B225" s="5">
        <v>2019</v>
      </c>
      <c r="C225" s="5" t="s">
        <v>71</v>
      </c>
      <c r="D225" s="5">
        <v>139.69999999999999</v>
      </c>
      <c r="E225" s="5">
        <v>151.1</v>
      </c>
      <c r="F225" s="5">
        <v>142.9</v>
      </c>
      <c r="G225" s="5">
        <v>141.9</v>
      </c>
      <c r="H225" s="5">
        <v>118.4</v>
      </c>
      <c r="I225" s="5">
        <v>139.4</v>
      </c>
      <c r="J225" s="5">
        <v>141.19999999999999</v>
      </c>
      <c r="K225" s="5">
        <v>120.7</v>
      </c>
      <c r="L225" s="5">
        <v>110.4</v>
      </c>
      <c r="M225" s="5">
        <v>140.69999999999999</v>
      </c>
      <c r="N225" s="5">
        <v>128.5</v>
      </c>
      <c r="O225" s="5">
        <v>153.9</v>
      </c>
      <c r="P225" s="5">
        <v>139.6</v>
      </c>
      <c r="Q225" s="5">
        <v>165.3</v>
      </c>
      <c r="R225" s="5">
        <v>143.5</v>
      </c>
      <c r="S225" s="5">
        <v>131.19999999999999</v>
      </c>
      <c r="T225" s="5">
        <v>141.6</v>
      </c>
      <c r="U225" s="5">
        <v>149</v>
      </c>
      <c r="V225" s="5">
        <v>128.80000000000001</v>
      </c>
      <c r="W225" s="5">
        <v>136.80000000000001</v>
      </c>
      <c r="X225" s="5">
        <v>139.19999999999999</v>
      </c>
      <c r="Y225" s="5">
        <v>119.9</v>
      </c>
      <c r="Z225" s="5">
        <v>133</v>
      </c>
      <c r="AA225" s="5">
        <v>146.69999999999999</v>
      </c>
      <c r="AB225" s="5">
        <v>132.5</v>
      </c>
      <c r="AC225" s="5">
        <v>132.80000000000001</v>
      </c>
      <c r="AD225" s="12">
        <v>139.5</v>
      </c>
      <c r="AE225" s="26">
        <f>COUNTIFS($A$2:$A$379,A225,$B$2:$B$379,B226,$C$2:$C$379,C225)</f>
        <v>1</v>
      </c>
    </row>
    <row r="226" spans="1:31">
      <c r="A226" s="11" t="s">
        <v>69</v>
      </c>
      <c r="B226" s="5">
        <v>2019</v>
      </c>
      <c r="C226" s="5" t="s">
        <v>71</v>
      </c>
      <c r="D226" s="5">
        <v>137.80000000000001</v>
      </c>
      <c r="E226" s="5">
        <v>153</v>
      </c>
      <c r="F226" s="5">
        <v>140.30000000000001</v>
      </c>
      <c r="G226" s="5">
        <v>142.30000000000001</v>
      </c>
      <c r="H226" s="5">
        <v>122</v>
      </c>
      <c r="I226" s="5">
        <v>137.6</v>
      </c>
      <c r="J226" s="5">
        <v>132.6</v>
      </c>
      <c r="K226" s="5">
        <v>121.8</v>
      </c>
      <c r="L226" s="5">
        <v>109</v>
      </c>
      <c r="M226" s="5">
        <v>139.5</v>
      </c>
      <c r="N226" s="5">
        <v>133.69999999999999</v>
      </c>
      <c r="O226" s="5">
        <v>155.19999999999999</v>
      </c>
      <c r="P226" s="5">
        <v>138.1</v>
      </c>
      <c r="Q226" s="5">
        <v>163.5</v>
      </c>
      <c r="R226" s="5">
        <v>147.9</v>
      </c>
      <c r="S226" s="5">
        <v>139.9</v>
      </c>
      <c r="T226" s="5">
        <v>146.69999999999999</v>
      </c>
      <c r="U226" s="5">
        <v>149</v>
      </c>
      <c r="V226" s="5">
        <v>139.69999999999999</v>
      </c>
      <c r="W226" s="5">
        <v>143.80000000000001</v>
      </c>
      <c r="X226" s="5">
        <v>146.19999999999999</v>
      </c>
      <c r="Y226" s="5">
        <v>124.6</v>
      </c>
      <c r="Z226" s="5">
        <v>137.69999999999999</v>
      </c>
      <c r="AA226" s="5">
        <v>150.30000000000001</v>
      </c>
      <c r="AB226" s="5">
        <v>133.4</v>
      </c>
      <c r="AC226" s="5">
        <v>137.69999999999999</v>
      </c>
      <c r="AD226" s="12">
        <v>140.4</v>
      </c>
      <c r="AE226" s="26">
        <f>COUNTIFS($A$2:$A$379,A226,$B$2:$B$379,B227,$C$2:$C$379,C226)</f>
        <v>1</v>
      </c>
    </row>
    <row r="227" spans="1:31">
      <c r="A227" s="11" t="s">
        <v>65</v>
      </c>
      <c r="B227" s="5">
        <v>2019</v>
      </c>
      <c r="C227" s="5" t="s">
        <v>73</v>
      </c>
      <c r="D227" s="5">
        <v>137.4</v>
      </c>
      <c r="E227" s="5">
        <v>159.5</v>
      </c>
      <c r="F227" s="5">
        <v>134.5</v>
      </c>
      <c r="G227" s="5">
        <v>142.6</v>
      </c>
      <c r="H227" s="5">
        <v>124</v>
      </c>
      <c r="I227" s="5">
        <v>143.69999999999999</v>
      </c>
      <c r="J227" s="5">
        <v>133.4</v>
      </c>
      <c r="K227" s="5">
        <v>125.1</v>
      </c>
      <c r="L227" s="5">
        <v>109.3</v>
      </c>
      <c r="M227" s="5">
        <v>139.30000000000001</v>
      </c>
      <c r="N227" s="5">
        <v>137.69999999999999</v>
      </c>
      <c r="O227" s="5">
        <v>156.4</v>
      </c>
      <c r="P227" s="5">
        <v>139.19999999999999</v>
      </c>
      <c r="Q227" s="5">
        <v>163.30000000000001</v>
      </c>
      <c r="R227" s="5">
        <v>151.30000000000001</v>
      </c>
      <c r="S227" s="5">
        <v>146.6</v>
      </c>
      <c r="T227" s="5">
        <v>150.69999999999999</v>
      </c>
      <c r="U227" s="5" t="s">
        <v>67</v>
      </c>
      <c r="V227" s="5">
        <v>146.9</v>
      </c>
      <c r="W227" s="5">
        <v>149.5</v>
      </c>
      <c r="X227" s="5">
        <v>151.30000000000001</v>
      </c>
      <c r="Y227" s="5">
        <v>130.19999999999999</v>
      </c>
      <c r="Z227" s="5">
        <v>145.9</v>
      </c>
      <c r="AA227" s="5">
        <v>156.69999999999999</v>
      </c>
      <c r="AB227" s="5">
        <v>133.9</v>
      </c>
      <c r="AC227" s="5">
        <v>142.9</v>
      </c>
      <c r="AD227" s="12">
        <v>142.4</v>
      </c>
      <c r="AE227" s="26">
        <f>COUNTIFS($A$2:$A$379,A227,$B$2:$B$379,B228,$C$2:$C$379,C227)</f>
        <v>1</v>
      </c>
    </row>
    <row r="228" spans="1:31">
      <c r="A228" s="11" t="s">
        <v>68</v>
      </c>
      <c r="B228" s="5">
        <v>2019</v>
      </c>
      <c r="C228" s="5" t="s">
        <v>73</v>
      </c>
      <c r="D228" s="5">
        <v>140.4</v>
      </c>
      <c r="E228" s="5">
        <v>156.69999999999999</v>
      </c>
      <c r="F228" s="5">
        <v>138.30000000000001</v>
      </c>
      <c r="G228" s="5">
        <v>142.4</v>
      </c>
      <c r="H228" s="5">
        <v>118.6</v>
      </c>
      <c r="I228" s="5">
        <v>149.69999999999999</v>
      </c>
      <c r="J228" s="5">
        <v>161.6</v>
      </c>
      <c r="K228" s="5">
        <v>124.4</v>
      </c>
      <c r="L228" s="5">
        <v>111.2</v>
      </c>
      <c r="M228" s="5">
        <v>141</v>
      </c>
      <c r="N228" s="5">
        <v>128.9</v>
      </c>
      <c r="O228" s="5">
        <v>154.5</v>
      </c>
      <c r="P228" s="5">
        <v>143.80000000000001</v>
      </c>
      <c r="Q228" s="5">
        <v>166.2</v>
      </c>
      <c r="R228" s="5">
        <v>144</v>
      </c>
      <c r="S228" s="5">
        <v>131.69999999999999</v>
      </c>
      <c r="T228" s="5">
        <v>142.19999999999999</v>
      </c>
      <c r="U228" s="5">
        <v>150.1</v>
      </c>
      <c r="V228" s="5">
        <v>129.4</v>
      </c>
      <c r="W228" s="5">
        <v>137.19999999999999</v>
      </c>
      <c r="X228" s="5">
        <v>139.80000000000001</v>
      </c>
      <c r="Y228" s="5">
        <v>120.1</v>
      </c>
      <c r="Z228" s="5">
        <v>134</v>
      </c>
      <c r="AA228" s="5">
        <v>148</v>
      </c>
      <c r="AB228" s="5">
        <v>132.6</v>
      </c>
      <c r="AC228" s="5">
        <v>133.30000000000001</v>
      </c>
      <c r="AD228" s="12">
        <v>141.5</v>
      </c>
      <c r="AE228" s="26">
        <f>COUNTIFS($A$2:$A$379,A228,$B$2:$B$379,B229,$C$2:$C$379,C228)</f>
        <v>1</v>
      </c>
    </row>
    <row r="229" spans="1:31">
      <c r="A229" s="11" t="s">
        <v>69</v>
      </c>
      <c r="B229" s="5">
        <v>2019</v>
      </c>
      <c r="C229" s="5" t="s">
        <v>73</v>
      </c>
      <c r="D229" s="5">
        <v>138.30000000000001</v>
      </c>
      <c r="E229" s="5">
        <v>158.5</v>
      </c>
      <c r="F229" s="5">
        <v>136</v>
      </c>
      <c r="G229" s="5">
        <v>142.5</v>
      </c>
      <c r="H229" s="5">
        <v>122</v>
      </c>
      <c r="I229" s="5">
        <v>146.5</v>
      </c>
      <c r="J229" s="5">
        <v>143</v>
      </c>
      <c r="K229" s="5">
        <v>124.9</v>
      </c>
      <c r="L229" s="5">
        <v>109.9</v>
      </c>
      <c r="M229" s="5">
        <v>139.9</v>
      </c>
      <c r="N229" s="5">
        <v>134</v>
      </c>
      <c r="O229" s="5">
        <v>155.5</v>
      </c>
      <c r="P229" s="5">
        <v>140.9</v>
      </c>
      <c r="Q229" s="5">
        <v>164.1</v>
      </c>
      <c r="R229" s="5">
        <v>148.4</v>
      </c>
      <c r="S229" s="5">
        <v>140.4</v>
      </c>
      <c r="T229" s="5">
        <v>147.30000000000001</v>
      </c>
      <c r="U229" s="5">
        <v>150.1</v>
      </c>
      <c r="V229" s="5">
        <v>140.30000000000001</v>
      </c>
      <c r="W229" s="5">
        <v>143.69999999999999</v>
      </c>
      <c r="X229" s="5">
        <v>146.9</v>
      </c>
      <c r="Y229" s="5">
        <v>124.9</v>
      </c>
      <c r="Z229" s="5">
        <v>139.19999999999999</v>
      </c>
      <c r="AA229" s="5">
        <v>151.6</v>
      </c>
      <c r="AB229" s="5">
        <v>133.4</v>
      </c>
      <c r="AC229" s="5">
        <v>138.19999999999999</v>
      </c>
      <c r="AD229" s="12">
        <v>142</v>
      </c>
      <c r="AE229" s="26">
        <f>COUNTIFS($A$2:$A$379,A229,$B$2:$B$379,B230,$C$2:$C$379,C229)</f>
        <v>1</v>
      </c>
    </row>
    <row r="230" spans="1:31">
      <c r="A230" s="11" t="s">
        <v>65</v>
      </c>
      <c r="B230" s="5">
        <v>2019</v>
      </c>
      <c r="C230" s="5" t="s">
        <v>74</v>
      </c>
      <c r="D230" s="5">
        <v>137.80000000000001</v>
      </c>
      <c r="E230" s="5">
        <v>163.5</v>
      </c>
      <c r="F230" s="5">
        <v>136.19999999999999</v>
      </c>
      <c r="G230" s="5">
        <v>143.19999999999999</v>
      </c>
      <c r="H230" s="5">
        <v>124.3</v>
      </c>
      <c r="I230" s="5">
        <v>143.30000000000001</v>
      </c>
      <c r="J230" s="5">
        <v>140.6</v>
      </c>
      <c r="K230" s="5">
        <v>128.69999999999999</v>
      </c>
      <c r="L230" s="5">
        <v>110.6</v>
      </c>
      <c r="M230" s="5">
        <v>140.4</v>
      </c>
      <c r="N230" s="5">
        <v>138</v>
      </c>
      <c r="O230" s="5">
        <v>156.6</v>
      </c>
      <c r="P230" s="5">
        <v>141</v>
      </c>
      <c r="Q230" s="5">
        <v>164.2</v>
      </c>
      <c r="R230" s="5">
        <v>151.4</v>
      </c>
      <c r="S230" s="5">
        <v>146.5</v>
      </c>
      <c r="T230" s="5">
        <v>150.69999999999999</v>
      </c>
      <c r="U230" s="5" t="s">
        <v>67</v>
      </c>
      <c r="V230" s="5">
        <v>147.80000000000001</v>
      </c>
      <c r="W230" s="5">
        <v>149.6</v>
      </c>
      <c r="X230" s="5">
        <v>151.69999999999999</v>
      </c>
      <c r="Y230" s="5">
        <v>130.19999999999999</v>
      </c>
      <c r="Z230" s="5">
        <v>146.4</v>
      </c>
      <c r="AA230" s="5">
        <v>157.69999999999999</v>
      </c>
      <c r="AB230" s="5">
        <v>134.80000000000001</v>
      </c>
      <c r="AC230" s="5">
        <v>143.30000000000001</v>
      </c>
      <c r="AD230" s="12">
        <v>143.6</v>
      </c>
      <c r="AE230" s="26">
        <f>COUNTIFS($A$2:$A$379,A230,$B$2:$B$379,B231,$C$2:$C$379,C230)</f>
        <v>1</v>
      </c>
    </row>
    <row r="231" spans="1:31">
      <c r="A231" s="11" t="s">
        <v>68</v>
      </c>
      <c r="B231" s="5">
        <v>2019</v>
      </c>
      <c r="C231" s="5" t="s">
        <v>74</v>
      </c>
      <c r="D231" s="5">
        <v>140.69999999999999</v>
      </c>
      <c r="E231" s="5">
        <v>159.6</v>
      </c>
      <c r="F231" s="5">
        <v>140.4</v>
      </c>
      <c r="G231" s="5">
        <v>143.4</v>
      </c>
      <c r="H231" s="5">
        <v>118.6</v>
      </c>
      <c r="I231" s="5">
        <v>150.9</v>
      </c>
      <c r="J231" s="5">
        <v>169.8</v>
      </c>
      <c r="K231" s="5">
        <v>127.4</v>
      </c>
      <c r="L231" s="5">
        <v>111.8</v>
      </c>
      <c r="M231" s="5">
        <v>141</v>
      </c>
      <c r="N231" s="5">
        <v>129</v>
      </c>
      <c r="O231" s="5">
        <v>155.1</v>
      </c>
      <c r="P231" s="5">
        <v>145.6</v>
      </c>
      <c r="Q231" s="5">
        <v>166.7</v>
      </c>
      <c r="R231" s="5">
        <v>144.30000000000001</v>
      </c>
      <c r="S231" s="5">
        <v>131.69999999999999</v>
      </c>
      <c r="T231" s="5">
        <v>142.4</v>
      </c>
      <c r="U231" s="5">
        <v>149.4</v>
      </c>
      <c r="V231" s="5">
        <v>130.5</v>
      </c>
      <c r="W231" s="5">
        <v>137.4</v>
      </c>
      <c r="X231" s="5">
        <v>140.30000000000001</v>
      </c>
      <c r="Y231" s="5">
        <v>119.6</v>
      </c>
      <c r="Z231" s="5">
        <v>134.30000000000001</v>
      </c>
      <c r="AA231" s="5">
        <v>148.9</v>
      </c>
      <c r="AB231" s="5">
        <v>133.69999999999999</v>
      </c>
      <c r="AC231" s="5">
        <v>133.6</v>
      </c>
      <c r="AD231" s="12">
        <v>142.1</v>
      </c>
      <c r="AE231" s="26">
        <f>COUNTIFS($A$2:$A$379,A231,$B$2:$B$379,B232,$C$2:$C$379,C231)</f>
        <v>1</v>
      </c>
    </row>
    <row r="232" spans="1:31">
      <c r="A232" s="11" t="s">
        <v>69</v>
      </c>
      <c r="B232" s="5">
        <v>2019</v>
      </c>
      <c r="C232" s="5" t="s">
        <v>74</v>
      </c>
      <c r="D232" s="5">
        <v>138.69999999999999</v>
      </c>
      <c r="E232" s="5">
        <v>162.1</v>
      </c>
      <c r="F232" s="5">
        <v>137.80000000000001</v>
      </c>
      <c r="G232" s="5">
        <v>143.30000000000001</v>
      </c>
      <c r="H232" s="5">
        <v>122.2</v>
      </c>
      <c r="I232" s="5">
        <v>146.80000000000001</v>
      </c>
      <c r="J232" s="5">
        <v>150.5</v>
      </c>
      <c r="K232" s="5">
        <v>128.30000000000001</v>
      </c>
      <c r="L232" s="5">
        <v>111</v>
      </c>
      <c r="M232" s="5">
        <v>140.6</v>
      </c>
      <c r="N232" s="5">
        <v>134.19999999999999</v>
      </c>
      <c r="O232" s="5">
        <v>155.9</v>
      </c>
      <c r="P232" s="5">
        <v>142.69999999999999</v>
      </c>
      <c r="Q232" s="5">
        <v>164.9</v>
      </c>
      <c r="R232" s="5">
        <v>148.6</v>
      </c>
      <c r="S232" s="5">
        <v>140.4</v>
      </c>
      <c r="T232" s="5">
        <v>147.4</v>
      </c>
      <c r="U232" s="5">
        <v>149.4</v>
      </c>
      <c r="V232" s="5">
        <v>141.19999999999999</v>
      </c>
      <c r="W232" s="5">
        <v>143.80000000000001</v>
      </c>
      <c r="X232" s="5">
        <v>147.4</v>
      </c>
      <c r="Y232" s="5">
        <v>124.6</v>
      </c>
      <c r="Z232" s="5">
        <v>139.6</v>
      </c>
      <c r="AA232" s="5">
        <v>152.5</v>
      </c>
      <c r="AB232" s="5">
        <v>134.30000000000001</v>
      </c>
      <c r="AC232" s="5">
        <v>138.6</v>
      </c>
      <c r="AD232" s="12">
        <v>142.9</v>
      </c>
      <c r="AE232" s="26">
        <f>COUNTIFS($A$2:$A$379,A232,$B$2:$B$379,B233,$C$2:$C$379,C232)</f>
        <v>1</v>
      </c>
    </row>
    <row r="233" spans="1:31">
      <c r="A233" s="11" t="s">
        <v>65</v>
      </c>
      <c r="B233" s="5">
        <v>2019</v>
      </c>
      <c r="C233" s="5" t="s">
        <v>75</v>
      </c>
      <c r="D233" s="5">
        <v>138.4</v>
      </c>
      <c r="E233" s="5">
        <v>164</v>
      </c>
      <c r="F233" s="5">
        <v>138.4</v>
      </c>
      <c r="G233" s="5">
        <v>143.9</v>
      </c>
      <c r="H233" s="5">
        <v>124.4</v>
      </c>
      <c r="I233" s="5">
        <v>146.4</v>
      </c>
      <c r="J233" s="5">
        <v>150.1</v>
      </c>
      <c r="K233" s="5">
        <v>130.6</v>
      </c>
      <c r="L233" s="5">
        <v>110.8</v>
      </c>
      <c r="M233" s="5">
        <v>141.69999999999999</v>
      </c>
      <c r="N233" s="5">
        <v>138.5</v>
      </c>
      <c r="O233" s="5">
        <v>156.69999999999999</v>
      </c>
      <c r="P233" s="5">
        <v>143</v>
      </c>
      <c r="Q233" s="5">
        <v>164.5</v>
      </c>
      <c r="R233" s="5">
        <v>151.6</v>
      </c>
      <c r="S233" s="5">
        <v>146.6</v>
      </c>
      <c r="T233" s="5">
        <v>150.9</v>
      </c>
      <c r="U233" s="5" t="s">
        <v>67</v>
      </c>
      <c r="V233" s="5">
        <v>146.80000000000001</v>
      </c>
      <c r="W233" s="5">
        <v>150</v>
      </c>
      <c r="X233" s="5">
        <v>152.19999999999999</v>
      </c>
      <c r="Y233" s="5">
        <v>131.19999999999999</v>
      </c>
      <c r="Z233" s="5">
        <v>147.5</v>
      </c>
      <c r="AA233" s="5">
        <v>159.1</v>
      </c>
      <c r="AB233" s="5">
        <v>136.1</v>
      </c>
      <c r="AC233" s="5">
        <v>144.19999999999999</v>
      </c>
      <c r="AD233" s="12">
        <v>144.9</v>
      </c>
      <c r="AE233" s="26">
        <f>COUNTIFS($A$2:$A$379,A233,$B$2:$B$379,B234,$C$2:$C$379,C233)</f>
        <v>1</v>
      </c>
    </row>
    <row r="234" spans="1:31">
      <c r="A234" s="11" t="s">
        <v>68</v>
      </c>
      <c r="B234" s="5">
        <v>2019</v>
      </c>
      <c r="C234" s="5" t="s">
        <v>75</v>
      </c>
      <c r="D234" s="5">
        <v>141.4</v>
      </c>
      <c r="E234" s="5">
        <v>160.19999999999999</v>
      </c>
      <c r="F234" s="5">
        <v>142.5</v>
      </c>
      <c r="G234" s="5">
        <v>144.1</v>
      </c>
      <c r="H234" s="5">
        <v>119.3</v>
      </c>
      <c r="I234" s="5">
        <v>154.69999999999999</v>
      </c>
      <c r="J234" s="5">
        <v>180.1</v>
      </c>
      <c r="K234" s="5">
        <v>128.9</v>
      </c>
      <c r="L234" s="5">
        <v>111.8</v>
      </c>
      <c r="M234" s="5">
        <v>141.6</v>
      </c>
      <c r="N234" s="5">
        <v>129.5</v>
      </c>
      <c r="O234" s="5">
        <v>155.6</v>
      </c>
      <c r="P234" s="5">
        <v>147.69999999999999</v>
      </c>
      <c r="Q234" s="5">
        <v>167.2</v>
      </c>
      <c r="R234" s="5">
        <v>144.69999999999999</v>
      </c>
      <c r="S234" s="5">
        <v>131.9</v>
      </c>
      <c r="T234" s="5">
        <v>142.69999999999999</v>
      </c>
      <c r="U234" s="5">
        <v>150.6</v>
      </c>
      <c r="V234" s="5">
        <v>127</v>
      </c>
      <c r="W234" s="5">
        <v>137.69999999999999</v>
      </c>
      <c r="X234" s="5">
        <v>140.80000000000001</v>
      </c>
      <c r="Y234" s="5">
        <v>120.6</v>
      </c>
      <c r="Z234" s="5">
        <v>135</v>
      </c>
      <c r="AA234" s="5">
        <v>150.4</v>
      </c>
      <c r="AB234" s="5">
        <v>135.1</v>
      </c>
      <c r="AC234" s="5">
        <v>134.5</v>
      </c>
      <c r="AD234" s="12">
        <v>143.30000000000001</v>
      </c>
      <c r="AE234" s="26">
        <f>COUNTIFS($A$2:$A$379,A234,$B$2:$B$379,B235,$C$2:$C$379,C234)</f>
        <v>1</v>
      </c>
    </row>
    <row r="235" spans="1:31">
      <c r="A235" s="11" t="s">
        <v>69</v>
      </c>
      <c r="B235" s="5">
        <v>2019</v>
      </c>
      <c r="C235" s="5" t="s">
        <v>75</v>
      </c>
      <c r="D235" s="5">
        <v>139.30000000000001</v>
      </c>
      <c r="E235" s="5">
        <v>162.69999999999999</v>
      </c>
      <c r="F235" s="5">
        <v>140</v>
      </c>
      <c r="G235" s="5">
        <v>144</v>
      </c>
      <c r="H235" s="5">
        <v>122.5</v>
      </c>
      <c r="I235" s="5">
        <v>150.30000000000001</v>
      </c>
      <c r="J235" s="5">
        <v>160.30000000000001</v>
      </c>
      <c r="K235" s="5">
        <v>130</v>
      </c>
      <c r="L235" s="5">
        <v>111.1</v>
      </c>
      <c r="M235" s="5">
        <v>141.69999999999999</v>
      </c>
      <c r="N235" s="5">
        <v>134.69999999999999</v>
      </c>
      <c r="O235" s="5">
        <v>156.19999999999999</v>
      </c>
      <c r="P235" s="5">
        <v>144.69999999999999</v>
      </c>
      <c r="Q235" s="5">
        <v>165.2</v>
      </c>
      <c r="R235" s="5">
        <v>148.9</v>
      </c>
      <c r="S235" s="5">
        <v>140.5</v>
      </c>
      <c r="T235" s="5">
        <v>147.6</v>
      </c>
      <c r="U235" s="5">
        <v>150.6</v>
      </c>
      <c r="V235" s="5">
        <v>139.30000000000001</v>
      </c>
      <c r="W235" s="5">
        <v>144.19999999999999</v>
      </c>
      <c r="X235" s="5">
        <v>147.9</v>
      </c>
      <c r="Y235" s="5">
        <v>125.6</v>
      </c>
      <c r="Z235" s="5">
        <v>140.5</v>
      </c>
      <c r="AA235" s="5">
        <v>154</v>
      </c>
      <c r="AB235" s="5">
        <v>135.69999999999999</v>
      </c>
      <c r="AC235" s="5">
        <v>139.5</v>
      </c>
      <c r="AD235" s="12">
        <v>144.19999999999999</v>
      </c>
      <c r="AE235" s="26">
        <f>COUNTIFS($A$2:$A$379,A235,$B$2:$B$379,B236,$C$2:$C$379,C235)</f>
        <v>1</v>
      </c>
    </row>
    <row r="236" spans="1:31">
      <c r="A236" s="11" t="s">
        <v>65</v>
      </c>
      <c r="B236" s="5">
        <v>2019</v>
      </c>
      <c r="C236" s="5" t="s">
        <v>76</v>
      </c>
      <c r="D236" s="5">
        <v>139.19999999999999</v>
      </c>
      <c r="E236" s="5">
        <v>161.9</v>
      </c>
      <c r="F236" s="5">
        <v>137.1</v>
      </c>
      <c r="G236" s="5">
        <v>144.6</v>
      </c>
      <c r="H236" s="5">
        <v>124.7</v>
      </c>
      <c r="I236" s="5">
        <v>145.5</v>
      </c>
      <c r="J236" s="5">
        <v>156.19999999999999</v>
      </c>
      <c r="K236" s="5">
        <v>131.5</v>
      </c>
      <c r="L236" s="5">
        <v>111.7</v>
      </c>
      <c r="M236" s="5">
        <v>142.69999999999999</v>
      </c>
      <c r="N236" s="5">
        <v>138.5</v>
      </c>
      <c r="O236" s="5">
        <v>156.9</v>
      </c>
      <c r="P236" s="5">
        <v>144</v>
      </c>
      <c r="Q236" s="5">
        <v>165.1</v>
      </c>
      <c r="R236" s="5">
        <v>151.80000000000001</v>
      </c>
      <c r="S236" s="5">
        <v>146.6</v>
      </c>
      <c r="T236" s="5">
        <v>151.1</v>
      </c>
      <c r="U236" s="5" t="s">
        <v>67</v>
      </c>
      <c r="V236" s="5">
        <v>146.4</v>
      </c>
      <c r="W236" s="5">
        <v>150.19999999999999</v>
      </c>
      <c r="X236" s="5">
        <v>152.69999999999999</v>
      </c>
      <c r="Y236" s="5">
        <v>131.4</v>
      </c>
      <c r="Z236" s="5">
        <v>148</v>
      </c>
      <c r="AA236" s="5">
        <v>159.69999999999999</v>
      </c>
      <c r="AB236" s="5">
        <v>138.80000000000001</v>
      </c>
      <c r="AC236" s="5">
        <v>144.9</v>
      </c>
      <c r="AD236" s="12">
        <v>145.69999999999999</v>
      </c>
      <c r="AE236" s="26">
        <f>COUNTIFS($A$2:$A$379,A236,$B$2:$B$379,B237,$C$2:$C$379,C236)</f>
        <v>1</v>
      </c>
    </row>
    <row r="237" spans="1:31">
      <c r="A237" s="11" t="s">
        <v>68</v>
      </c>
      <c r="B237" s="5">
        <v>2019</v>
      </c>
      <c r="C237" s="5" t="s">
        <v>76</v>
      </c>
      <c r="D237" s="5">
        <v>142.1</v>
      </c>
      <c r="E237" s="5">
        <v>158.30000000000001</v>
      </c>
      <c r="F237" s="5">
        <v>140.80000000000001</v>
      </c>
      <c r="G237" s="5">
        <v>144.9</v>
      </c>
      <c r="H237" s="5">
        <v>119.9</v>
      </c>
      <c r="I237" s="5">
        <v>153.9</v>
      </c>
      <c r="J237" s="5">
        <v>189.1</v>
      </c>
      <c r="K237" s="5">
        <v>129.80000000000001</v>
      </c>
      <c r="L237" s="5">
        <v>112.7</v>
      </c>
      <c r="M237" s="5">
        <v>142.5</v>
      </c>
      <c r="N237" s="5">
        <v>129.80000000000001</v>
      </c>
      <c r="O237" s="5">
        <v>156.19999999999999</v>
      </c>
      <c r="P237" s="5">
        <v>149.1</v>
      </c>
      <c r="Q237" s="5">
        <v>167.9</v>
      </c>
      <c r="R237" s="5">
        <v>145</v>
      </c>
      <c r="S237" s="5">
        <v>132.19999999999999</v>
      </c>
      <c r="T237" s="5">
        <v>143</v>
      </c>
      <c r="U237" s="5">
        <v>151.6</v>
      </c>
      <c r="V237" s="5">
        <v>125.5</v>
      </c>
      <c r="W237" s="5">
        <v>138.1</v>
      </c>
      <c r="X237" s="5">
        <v>141.5</v>
      </c>
      <c r="Y237" s="5">
        <v>120.8</v>
      </c>
      <c r="Z237" s="5">
        <v>135.4</v>
      </c>
      <c r="AA237" s="5">
        <v>151.5</v>
      </c>
      <c r="AB237" s="5">
        <v>137.80000000000001</v>
      </c>
      <c r="AC237" s="5">
        <v>135.30000000000001</v>
      </c>
      <c r="AD237" s="12">
        <v>144.19999999999999</v>
      </c>
      <c r="AE237" s="26">
        <f>COUNTIFS($A$2:$A$379,A237,$B$2:$B$379,B238,$C$2:$C$379,C237)</f>
        <v>1</v>
      </c>
    </row>
    <row r="238" spans="1:31">
      <c r="A238" s="11" t="s">
        <v>69</v>
      </c>
      <c r="B238" s="5">
        <v>2019</v>
      </c>
      <c r="C238" s="5" t="s">
        <v>76</v>
      </c>
      <c r="D238" s="5">
        <v>140.1</v>
      </c>
      <c r="E238" s="5">
        <v>160.6</v>
      </c>
      <c r="F238" s="5">
        <v>138.5</v>
      </c>
      <c r="G238" s="5">
        <v>144.69999999999999</v>
      </c>
      <c r="H238" s="5">
        <v>122.9</v>
      </c>
      <c r="I238" s="5">
        <v>149.4</v>
      </c>
      <c r="J238" s="5">
        <v>167.4</v>
      </c>
      <c r="K238" s="5">
        <v>130.9</v>
      </c>
      <c r="L238" s="5">
        <v>112</v>
      </c>
      <c r="M238" s="5">
        <v>142.6</v>
      </c>
      <c r="N238" s="5">
        <v>134.9</v>
      </c>
      <c r="O238" s="5">
        <v>156.6</v>
      </c>
      <c r="P238" s="5">
        <v>145.9</v>
      </c>
      <c r="Q238" s="5">
        <v>165.8</v>
      </c>
      <c r="R238" s="5">
        <v>149.1</v>
      </c>
      <c r="S238" s="5">
        <v>140.6</v>
      </c>
      <c r="T238" s="5">
        <v>147.9</v>
      </c>
      <c r="U238" s="5">
        <v>151.6</v>
      </c>
      <c r="V238" s="5">
        <v>138.5</v>
      </c>
      <c r="W238" s="5">
        <v>144.5</v>
      </c>
      <c r="X238" s="5">
        <v>148.5</v>
      </c>
      <c r="Y238" s="5">
        <v>125.8</v>
      </c>
      <c r="Z238" s="5">
        <v>140.9</v>
      </c>
      <c r="AA238" s="5">
        <v>154.9</v>
      </c>
      <c r="AB238" s="5">
        <v>138.4</v>
      </c>
      <c r="AC238" s="5">
        <v>140.19999999999999</v>
      </c>
      <c r="AD238" s="12">
        <v>145</v>
      </c>
      <c r="AE238" s="26">
        <f>COUNTIFS($A$2:$A$379,A238,$B$2:$B$379,B239,$C$2:$C$379,C238)</f>
        <v>1</v>
      </c>
    </row>
    <row r="239" spans="1:31">
      <c r="A239" s="11" t="s">
        <v>65</v>
      </c>
      <c r="B239" s="5">
        <v>2019</v>
      </c>
      <c r="C239" s="5" t="s">
        <v>77</v>
      </c>
      <c r="D239" s="5">
        <v>140.1</v>
      </c>
      <c r="E239" s="5">
        <v>161.9</v>
      </c>
      <c r="F239" s="5">
        <v>138.30000000000001</v>
      </c>
      <c r="G239" s="5">
        <v>145.69999999999999</v>
      </c>
      <c r="H239" s="5">
        <v>125.1</v>
      </c>
      <c r="I239" s="5">
        <v>143.80000000000001</v>
      </c>
      <c r="J239" s="5">
        <v>163.4</v>
      </c>
      <c r="K239" s="5">
        <v>132.19999999999999</v>
      </c>
      <c r="L239" s="5">
        <v>112.8</v>
      </c>
      <c r="M239" s="5">
        <v>144.19999999999999</v>
      </c>
      <c r="N239" s="5">
        <v>138.5</v>
      </c>
      <c r="O239" s="5">
        <v>157.19999999999999</v>
      </c>
      <c r="P239" s="5">
        <v>145.5</v>
      </c>
      <c r="Q239" s="5">
        <v>165.7</v>
      </c>
      <c r="R239" s="5">
        <v>151.69999999999999</v>
      </c>
      <c r="S239" s="5">
        <v>146.6</v>
      </c>
      <c r="T239" s="5">
        <v>151</v>
      </c>
      <c r="U239" s="5" t="s">
        <v>67</v>
      </c>
      <c r="V239" s="5">
        <v>146.9</v>
      </c>
      <c r="W239" s="5">
        <v>150.30000000000001</v>
      </c>
      <c r="X239" s="5">
        <v>153.4</v>
      </c>
      <c r="Y239" s="5">
        <v>131.6</v>
      </c>
      <c r="Z239" s="5">
        <v>148.30000000000001</v>
      </c>
      <c r="AA239" s="5">
        <v>160.19999999999999</v>
      </c>
      <c r="AB239" s="5">
        <v>140.19999999999999</v>
      </c>
      <c r="AC239" s="5">
        <v>145.4</v>
      </c>
      <c r="AD239" s="12">
        <v>146.69999999999999</v>
      </c>
      <c r="AE239" s="26">
        <f>COUNTIFS($A$2:$A$379,A239,$B$2:$B$379,B240,$C$2:$C$379,C239)</f>
        <v>1</v>
      </c>
    </row>
    <row r="240" spans="1:31">
      <c r="A240" s="11" t="s">
        <v>68</v>
      </c>
      <c r="B240" s="5">
        <v>2019</v>
      </c>
      <c r="C240" s="5" t="s">
        <v>77</v>
      </c>
      <c r="D240" s="5">
        <v>142.69999999999999</v>
      </c>
      <c r="E240" s="5">
        <v>158.69999999999999</v>
      </c>
      <c r="F240" s="5">
        <v>141.6</v>
      </c>
      <c r="G240" s="5">
        <v>144.9</v>
      </c>
      <c r="H240" s="5">
        <v>120.8</v>
      </c>
      <c r="I240" s="5">
        <v>149.80000000000001</v>
      </c>
      <c r="J240" s="5">
        <v>192.4</v>
      </c>
      <c r="K240" s="5">
        <v>130.30000000000001</v>
      </c>
      <c r="L240" s="5">
        <v>114</v>
      </c>
      <c r="M240" s="5">
        <v>143.80000000000001</v>
      </c>
      <c r="N240" s="5">
        <v>130</v>
      </c>
      <c r="O240" s="5">
        <v>156.4</v>
      </c>
      <c r="P240" s="5">
        <v>149.5</v>
      </c>
      <c r="Q240" s="5">
        <v>168.6</v>
      </c>
      <c r="R240" s="5">
        <v>145.30000000000001</v>
      </c>
      <c r="S240" s="5">
        <v>132.19999999999999</v>
      </c>
      <c r="T240" s="5">
        <v>143.30000000000001</v>
      </c>
      <c r="U240" s="5">
        <v>152.19999999999999</v>
      </c>
      <c r="V240" s="5">
        <v>126.6</v>
      </c>
      <c r="W240" s="5">
        <v>138.30000000000001</v>
      </c>
      <c r="X240" s="5">
        <v>141.9</v>
      </c>
      <c r="Y240" s="5">
        <v>121.2</v>
      </c>
      <c r="Z240" s="5">
        <v>135.9</v>
      </c>
      <c r="AA240" s="5">
        <v>151.6</v>
      </c>
      <c r="AB240" s="5">
        <v>139</v>
      </c>
      <c r="AC240" s="5">
        <v>135.69999999999999</v>
      </c>
      <c r="AD240" s="12">
        <v>144.69999999999999</v>
      </c>
      <c r="AE240" s="26">
        <f>COUNTIFS($A$2:$A$379,A240,$B$2:$B$379,B241,$C$2:$C$379,C240)</f>
        <v>1</v>
      </c>
    </row>
    <row r="241" spans="1:31">
      <c r="A241" s="11" t="s">
        <v>69</v>
      </c>
      <c r="B241" s="5">
        <v>2019</v>
      </c>
      <c r="C241" s="5" t="s">
        <v>77</v>
      </c>
      <c r="D241" s="5">
        <v>140.9</v>
      </c>
      <c r="E241" s="5">
        <v>160.80000000000001</v>
      </c>
      <c r="F241" s="5">
        <v>139.6</v>
      </c>
      <c r="G241" s="5">
        <v>145.4</v>
      </c>
      <c r="H241" s="5">
        <v>123.5</v>
      </c>
      <c r="I241" s="5">
        <v>146.6</v>
      </c>
      <c r="J241" s="5">
        <v>173.2</v>
      </c>
      <c r="K241" s="5">
        <v>131.6</v>
      </c>
      <c r="L241" s="5">
        <v>113.2</v>
      </c>
      <c r="M241" s="5">
        <v>144.1</v>
      </c>
      <c r="N241" s="5">
        <v>135</v>
      </c>
      <c r="O241" s="5">
        <v>156.80000000000001</v>
      </c>
      <c r="P241" s="5">
        <v>147</v>
      </c>
      <c r="Q241" s="5">
        <v>166.5</v>
      </c>
      <c r="R241" s="5">
        <v>149.19999999999999</v>
      </c>
      <c r="S241" s="5">
        <v>140.6</v>
      </c>
      <c r="T241" s="5">
        <v>147.9</v>
      </c>
      <c r="U241" s="5">
        <v>152.19999999999999</v>
      </c>
      <c r="V241" s="5">
        <v>139.19999999999999</v>
      </c>
      <c r="W241" s="5">
        <v>144.6</v>
      </c>
      <c r="X241" s="5">
        <v>149</v>
      </c>
      <c r="Y241" s="5">
        <v>126.1</v>
      </c>
      <c r="Z241" s="5">
        <v>141.30000000000001</v>
      </c>
      <c r="AA241" s="5">
        <v>155.19999999999999</v>
      </c>
      <c r="AB241" s="5">
        <v>139.69999999999999</v>
      </c>
      <c r="AC241" s="5">
        <v>140.69999999999999</v>
      </c>
      <c r="AD241" s="12">
        <v>145.80000000000001</v>
      </c>
      <c r="AE241" s="26">
        <f>COUNTIFS($A$2:$A$379,A241,$B$2:$B$379,B242,$C$2:$C$379,C241)</f>
        <v>1</v>
      </c>
    </row>
    <row r="242" spans="1:31">
      <c r="A242" s="11" t="s">
        <v>65</v>
      </c>
      <c r="B242" s="5">
        <v>2019</v>
      </c>
      <c r="C242" s="5" t="s">
        <v>78</v>
      </c>
      <c r="D242" s="5">
        <v>141</v>
      </c>
      <c r="E242" s="5">
        <v>161.6</v>
      </c>
      <c r="F242" s="5">
        <v>141.19999999999999</v>
      </c>
      <c r="G242" s="5">
        <v>146.5</v>
      </c>
      <c r="H242" s="5">
        <v>125.6</v>
      </c>
      <c r="I242" s="5">
        <v>145.69999999999999</v>
      </c>
      <c r="J242" s="5">
        <v>178.8</v>
      </c>
      <c r="K242" s="5">
        <v>133.1</v>
      </c>
      <c r="L242" s="5">
        <v>113.6</v>
      </c>
      <c r="M242" s="5">
        <v>145.5</v>
      </c>
      <c r="N242" s="5">
        <v>138.6</v>
      </c>
      <c r="O242" s="5">
        <v>157.4</v>
      </c>
      <c r="P242" s="5">
        <v>148.30000000000001</v>
      </c>
      <c r="Q242" s="5">
        <v>166.3</v>
      </c>
      <c r="R242" s="5">
        <v>151.69999999999999</v>
      </c>
      <c r="S242" s="5">
        <v>146.69999999999999</v>
      </c>
      <c r="T242" s="5">
        <v>151</v>
      </c>
      <c r="U242" s="5" t="s">
        <v>67</v>
      </c>
      <c r="V242" s="5">
        <v>147.69999999999999</v>
      </c>
      <c r="W242" s="5">
        <v>150.6</v>
      </c>
      <c r="X242" s="5">
        <v>153.69999999999999</v>
      </c>
      <c r="Y242" s="5">
        <v>131.69999999999999</v>
      </c>
      <c r="Z242" s="5">
        <v>148.69999999999999</v>
      </c>
      <c r="AA242" s="5">
        <v>160.69999999999999</v>
      </c>
      <c r="AB242" s="5">
        <v>140.30000000000001</v>
      </c>
      <c r="AC242" s="5">
        <v>145.69999999999999</v>
      </c>
      <c r="AD242" s="12">
        <v>148.30000000000001</v>
      </c>
      <c r="AE242" s="26">
        <f>COUNTIFS($A$2:$A$379,A242,$B$2:$B$379,B243,$C$2:$C$379,C242)</f>
        <v>1</v>
      </c>
    </row>
    <row r="243" spans="1:31">
      <c r="A243" s="11" t="s">
        <v>68</v>
      </c>
      <c r="B243" s="5">
        <v>2019</v>
      </c>
      <c r="C243" s="5" t="s">
        <v>78</v>
      </c>
      <c r="D243" s="5">
        <v>143.5</v>
      </c>
      <c r="E243" s="5">
        <v>159.80000000000001</v>
      </c>
      <c r="F243" s="5">
        <v>144.69999999999999</v>
      </c>
      <c r="G243" s="5">
        <v>145.6</v>
      </c>
      <c r="H243" s="5">
        <v>121.1</v>
      </c>
      <c r="I243" s="5">
        <v>150.6</v>
      </c>
      <c r="J243" s="5">
        <v>207.2</v>
      </c>
      <c r="K243" s="5">
        <v>131.19999999999999</v>
      </c>
      <c r="L243" s="5">
        <v>114.8</v>
      </c>
      <c r="M243" s="5">
        <v>145.19999999999999</v>
      </c>
      <c r="N243" s="5">
        <v>130.19999999999999</v>
      </c>
      <c r="O243" s="5">
        <v>156.80000000000001</v>
      </c>
      <c r="P243" s="5">
        <v>151.9</v>
      </c>
      <c r="Q243" s="5">
        <v>169.3</v>
      </c>
      <c r="R243" s="5">
        <v>145.9</v>
      </c>
      <c r="S243" s="5">
        <v>132.4</v>
      </c>
      <c r="T243" s="5">
        <v>143.9</v>
      </c>
      <c r="U243" s="5">
        <v>153</v>
      </c>
      <c r="V243" s="5">
        <v>128.9</v>
      </c>
      <c r="W243" s="5">
        <v>138.69999999999999</v>
      </c>
      <c r="X243" s="5">
        <v>142.4</v>
      </c>
      <c r="Y243" s="5">
        <v>121.5</v>
      </c>
      <c r="Z243" s="5">
        <v>136.19999999999999</v>
      </c>
      <c r="AA243" s="5">
        <v>151.69999999999999</v>
      </c>
      <c r="AB243" s="5">
        <v>139.5</v>
      </c>
      <c r="AC243" s="5">
        <v>136</v>
      </c>
      <c r="AD243" s="12">
        <v>146</v>
      </c>
      <c r="AE243" s="26">
        <f>COUNTIFS($A$2:$A$379,A243,$B$2:$B$379,B244,$C$2:$C$379,C243)</f>
        <v>1</v>
      </c>
    </row>
    <row r="244" spans="1:31">
      <c r="A244" s="11" t="s">
        <v>69</v>
      </c>
      <c r="B244" s="5">
        <v>2019</v>
      </c>
      <c r="C244" s="5" t="s">
        <v>78</v>
      </c>
      <c r="D244" s="5">
        <v>141.80000000000001</v>
      </c>
      <c r="E244" s="5">
        <v>161</v>
      </c>
      <c r="F244" s="5">
        <v>142.6</v>
      </c>
      <c r="G244" s="5">
        <v>146.19999999999999</v>
      </c>
      <c r="H244" s="5">
        <v>123.9</v>
      </c>
      <c r="I244" s="5">
        <v>148</v>
      </c>
      <c r="J244" s="5">
        <v>188.4</v>
      </c>
      <c r="K244" s="5">
        <v>132.5</v>
      </c>
      <c r="L244" s="5">
        <v>114</v>
      </c>
      <c r="M244" s="5">
        <v>145.4</v>
      </c>
      <c r="N244" s="5">
        <v>135.1</v>
      </c>
      <c r="O244" s="5">
        <v>157.1</v>
      </c>
      <c r="P244" s="5">
        <v>149.6</v>
      </c>
      <c r="Q244" s="5">
        <v>167.1</v>
      </c>
      <c r="R244" s="5">
        <v>149.4</v>
      </c>
      <c r="S244" s="5">
        <v>140.80000000000001</v>
      </c>
      <c r="T244" s="5">
        <v>148.19999999999999</v>
      </c>
      <c r="U244" s="5">
        <v>153</v>
      </c>
      <c r="V244" s="5">
        <v>140.6</v>
      </c>
      <c r="W244" s="5">
        <v>145</v>
      </c>
      <c r="X244" s="5">
        <v>149.4</v>
      </c>
      <c r="Y244" s="5">
        <v>126.3</v>
      </c>
      <c r="Z244" s="5">
        <v>141.69999999999999</v>
      </c>
      <c r="AA244" s="5">
        <v>155.4</v>
      </c>
      <c r="AB244" s="5">
        <v>140</v>
      </c>
      <c r="AC244" s="5">
        <v>141</v>
      </c>
      <c r="AD244" s="12">
        <v>147.19999999999999</v>
      </c>
      <c r="AE244" s="26">
        <f>COUNTIFS($A$2:$A$379,A244,$B$2:$B$379,B245,$C$2:$C$379,C244)</f>
        <v>1</v>
      </c>
    </row>
    <row r="245" spans="1:31">
      <c r="A245" s="11" t="s">
        <v>65</v>
      </c>
      <c r="B245" s="5">
        <v>2019</v>
      </c>
      <c r="C245" s="5" t="s">
        <v>79</v>
      </c>
      <c r="D245" s="5">
        <v>141.80000000000001</v>
      </c>
      <c r="E245" s="5">
        <v>163.69999999999999</v>
      </c>
      <c r="F245" s="5">
        <v>143.80000000000001</v>
      </c>
      <c r="G245" s="5">
        <v>147.1</v>
      </c>
      <c r="H245" s="5">
        <v>126</v>
      </c>
      <c r="I245" s="5">
        <v>146.19999999999999</v>
      </c>
      <c r="J245" s="5">
        <v>191.4</v>
      </c>
      <c r="K245" s="5">
        <v>136.19999999999999</v>
      </c>
      <c r="L245" s="5">
        <v>113.8</v>
      </c>
      <c r="M245" s="5">
        <v>147.30000000000001</v>
      </c>
      <c r="N245" s="5">
        <v>138.69999999999999</v>
      </c>
      <c r="O245" s="5">
        <v>157.69999999999999</v>
      </c>
      <c r="P245" s="5">
        <v>150.9</v>
      </c>
      <c r="Q245" s="5">
        <v>167.2</v>
      </c>
      <c r="R245" s="5">
        <v>152.30000000000001</v>
      </c>
      <c r="S245" s="5">
        <v>147</v>
      </c>
      <c r="T245" s="5">
        <v>151.5</v>
      </c>
      <c r="U245" s="5" t="s">
        <v>67</v>
      </c>
      <c r="V245" s="5">
        <v>148.4</v>
      </c>
      <c r="W245" s="5">
        <v>150.9</v>
      </c>
      <c r="X245" s="5">
        <v>154.30000000000001</v>
      </c>
      <c r="Y245" s="5">
        <v>132.1</v>
      </c>
      <c r="Z245" s="5">
        <v>149.1</v>
      </c>
      <c r="AA245" s="5">
        <v>160.80000000000001</v>
      </c>
      <c r="AB245" s="5">
        <v>140.6</v>
      </c>
      <c r="AC245" s="5">
        <v>146.1</v>
      </c>
      <c r="AD245" s="12">
        <v>149.9</v>
      </c>
      <c r="AE245" s="26">
        <f>COUNTIFS($A$2:$A$379,A245,$B$2:$B$379,B246,$C$2:$C$379,C245)</f>
        <v>1</v>
      </c>
    </row>
    <row r="246" spans="1:31">
      <c r="A246" s="11" t="s">
        <v>68</v>
      </c>
      <c r="B246" s="5">
        <v>2019</v>
      </c>
      <c r="C246" s="5" t="s">
        <v>79</v>
      </c>
      <c r="D246" s="5">
        <v>144.1</v>
      </c>
      <c r="E246" s="5">
        <v>162.4</v>
      </c>
      <c r="F246" s="5">
        <v>148.4</v>
      </c>
      <c r="G246" s="5">
        <v>145.9</v>
      </c>
      <c r="H246" s="5">
        <v>121.5</v>
      </c>
      <c r="I246" s="5">
        <v>148.80000000000001</v>
      </c>
      <c r="J246" s="5">
        <v>215.7</v>
      </c>
      <c r="K246" s="5">
        <v>134.6</v>
      </c>
      <c r="L246" s="5">
        <v>115</v>
      </c>
      <c r="M246" s="5">
        <v>146.30000000000001</v>
      </c>
      <c r="N246" s="5">
        <v>130.5</v>
      </c>
      <c r="O246" s="5">
        <v>157.19999999999999</v>
      </c>
      <c r="P246" s="5">
        <v>153.6</v>
      </c>
      <c r="Q246" s="5">
        <v>169.9</v>
      </c>
      <c r="R246" s="5">
        <v>146.30000000000001</v>
      </c>
      <c r="S246" s="5">
        <v>132.6</v>
      </c>
      <c r="T246" s="5">
        <v>144.19999999999999</v>
      </c>
      <c r="U246" s="5">
        <v>153.5</v>
      </c>
      <c r="V246" s="5">
        <v>132.19999999999999</v>
      </c>
      <c r="W246" s="5">
        <v>139.1</v>
      </c>
      <c r="X246" s="5">
        <v>142.80000000000001</v>
      </c>
      <c r="Y246" s="5">
        <v>121.7</v>
      </c>
      <c r="Z246" s="5">
        <v>136.69999999999999</v>
      </c>
      <c r="AA246" s="5">
        <v>151.80000000000001</v>
      </c>
      <c r="AB246" s="5">
        <v>139.80000000000001</v>
      </c>
      <c r="AC246" s="5">
        <v>136.30000000000001</v>
      </c>
      <c r="AD246" s="12">
        <v>147</v>
      </c>
      <c r="AE246" s="26">
        <f>COUNTIFS($A$2:$A$379,A246,$B$2:$B$379,B247,$C$2:$C$379,C246)</f>
        <v>1</v>
      </c>
    </row>
    <row r="247" spans="1:31">
      <c r="A247" s="11" t="s">
        <v>69</v>
      </c>
      <c r="B247" s="5">
        <v>2019</v>
      </c>
      <c r="C247" s="5" t="s">
        <v>79</v>
      </c>
      <c r="D247" s="5">
        <v>142.5</v>
      </c>
      <c r="E247" s="5">
        <v>163.19999999999999</v>
      </c>
      <c r="F247" s="5">
        <v>145.6</v>
      </c>
      <c r="G247" s="5">
        <v>146.69999999999999</v>
      </c>
      <c r="H247" s="5">
        <v>124.3</v>
      </c>
      <c r="I247" s="5">
        <v>147.4</v>
      </c>
      <c r="J247" s="5">
        <v>199.6</v>
      </c>
      <c r="K247" s="5">
        <v>135.69999999999999</v>
      </c>
      <c r="L247" s="5">
        <v>114.2</v>
      </c>
      <c r="M247" s="5">
        <v>147</v>
      </c>
      <c r="N247" s="5">
        <v>135.30000000000001</v>
      </c>
      <c r="O247" s="5">
        <v>157.5</v>
      </c>
      <c r="P247" s="5">
        <v>151.9</v>
      </c>
      <c r="Q247" s="5">
        <v>167.9</v>
      </c>
      <c r="R247" s="5">
        <v>149.9</v>
      </c>
      <c r="S247" s="5">
        <v>141</v>
      </c>
      <c r="T247" s="5">
        <v>148.6</v>
      </c>
      <c r="U247" s="5">
        <v>153.5</v>
      </c>
      <c r="V247" s="5">
        <v>142.30000000000001</v>
      </c>
      <c r="W247" s="5">
        <v>145.30000000000001</v>
      </c>
      <c r="X247" s="5">
        <v>149.9</v>
      </c>
      <c r="Y247" s="5">
        <v>126.6</v>
      </c>
      <c r="Z247" s="5">
        <v>142.1</v>
      </c>
      <c r="AA247" s="5">
        <v>155.5</v>
      </c>
      <c r="AB247" s="5">
        <v>140.30000000000001</v>
      </c>
      <c r="AC247" s="5">
        <v>141.30000000000001</v>
      </c>
      <c r="AD247" s="12">
        <v>148.6</v>
      </c>
      <c r="AE247" s="26">
        <f>COUNTIFS($A$2:$A$379,A247,$B$2:$B$379,B248,$C$2:$C$379,C247)</f>
        <v>1</v>
      </c>
    </row>
    <row r="248" spans="1:31">
      <c r="A248" s="11" t="s">
        <v>65</v>
      </c>
      <c r="B248" s="5">
        <v>2019</v>
      </c>
      <c r="C248" s="5" t="s">
        <v>80</v>
      </c>
      <c r="D248" s="5">
        <v>142.80000000000001</v>
      </c>
      <c r="E248" s="5">
        <v>165.3</v>
      </c>
      <c r="F248" s="5">
        <v>149.5</v>
      </c>
      <c r="G248" s="5">
        <v>148.69999999999999</v>
      </c>
      <c r="H248" s="5">
        <v>127.5</v>
      </c>
      <c r="I248" s="5">
        <v>144.30000000000001</v>
      </c>
      <c r="J248" s="5">
        <v>209.5</v>
      </c>
      <c r="K248" s="5">
        <v>138.80000000000001</v>
      </c>
      <c r="L248" s="5">
        <v>113.6</v>
      </c>
      <c r="M248" s="5">
        <v>149.1</v>
      </c>
      <c r="N248" s="5">
        <v>139.30000000000001</v>
      </c>
      <c r="O248" s="5">
        <v>158.30000000000001</v>
      </c>
      <c r="P248" s="5">
        <v>154.30000000000001</v>
      </c>
      <c r="Q248" s="5">
        <v>167.8</v>
      </c>
      <c r="R248" s="5">
        <v>152.6</v>
      </c>
      <c r="S248" s="5">
        <v>147.30000000000001</v>
      </c>
      <c r="T248" s="5">
        <v>151.9</v>
      </c>
      <c r="U248" s="5" t="s">
        <v>67</v>
      </c>
      <c r="V248" s="5">
        <v>149.9</v>
      </c>
      <c r="W248" s="5">
        <v>151.19999999999999</v>
      </c>
      <c r="X248" s="5">
        <v>154.80000000000001</v>
      </c>
      <c r="Y248" s="5">
        <v>135</v>
      </c>
      <c r="Z248" s="5">
        <v>149.5</v>
      </c>
      <c r="AA248" s="5">
        <v>161.1</v>
      </c>
      <c r="AB248" s="5">
        <v>140.6</v>
      </c>
      <c r="AC248" s="5">
        <v>147.1</v>
      </c>
      <c r="AD248" s="12">
        <v>152.30000000000001</v>
      </c>
      <c r="AE248" s="26">
        <f>COUNTIFS($A$2:$A$379,A248,$B$2:$B$379,B249,$C$2:$C$379,C248)</f>
        <v>1</v>
      </c>
    </row>
    <row r="249" spans="1:31">
      <c r="A249" s="11" t="s">
        <v>68</v>
      </c>
      <c r="B249" s="5">
        <v>2019</v>
      </c>
      <c r="C249" s="5" t="s">
        <v>80</v>
      </c>
      <c r="D249" s="5">
        <v>144.9</v>
      </c>
      <c r="E249" s="5">
        <v>164.5</v>
      </c>
      <c r="F249" s="5">
        <v>153.69999999999999</v>
      </c>
      <c r="G249" s="5">
        <v>147.5</v>
      </c>
      <c r="H249" s="5">
        <v>122.7</v>
      </c>
      <c r="I249" s="5">
        <v>147.19999999999999</v>
      </c>
      <c r="J249" s="5">
        <v>231.5</v>
      </c>
      <c r="K249" s="5">
        <v>137.19999999999999</v>
      </c>
      <c r="L249" s="5">
        <v>114.7</v>
      </c>
      <c r="M249" s="5">
        <v>148</v>
      </c>
      <c r="N249" s="5">
        <v>130.80000000000001</v>
      </c>
      <c r="O249" s="5">
        <v>157.69999999999999</v>
      </c>
      <c r="P249" s="5">
        <v>156.30000000000001</v>
      </c>
      <c r="Q249" s="5">
        <v>170.4</v>
      </c>
      <c r="R249" s="5">
        <v>146.80000000000001</v>
      </c>
      <c r="S249" s="5">
        <v>132.80000000000001</v>
      </c>
      <c r="T249" s="5">
        <v>144.6</v>
      </c>
      <c r="U249" s="5">
        <v>152.80000000000001</v>
      </c>
      <c r="V249" s="5">
        <v>133.6</v>
      </c>
      <c r="W249" s="5">
        <v>139.80000000000001</v>
      </c>
      <c r="X249" s="5">
        <v>143.19999999999999</v>
      </c>
      <c r="Y249" s="5">
        <v>125.2</v>
      </c>
      <c r="Z249" s="5">
        <v>136.80000000000001</v>
      </c>
      <c r="AA249" s="5">
        <v>151.9</v>
      </c>
      <c r="AB249" s="5">
        <v>140.19999999999999</v>
      </c>
      <c r="AC249" s="5">
        <v>137.69999999999999</v>
      </c>
      <c r="AD249" s="12">
        <v>148.30000000000001</v>
      </c>
      <c r="AE249" s="26">
        <f>COUNTIFS($A$2:$A$379,A249,$B$2:$B$379,B250,$C$2:$C$379,C249)</f>
        <v>1</v>
      </c>
    </row>
    <row r="250" spans="1:31">
      <c r="A250" s="11" t="s">
        <v>69</v>
      </c>
      <c r="B250" s="5">
        <v>2019</v>
      </c>
      <c r="C250" s="5" t="s">
        <v>80</v>
      </c>
      <c r="D250" s="5">
        <v>143.5</v>
      </c>
      <c r="E250" s="5">
        <v>165</v>
      </c>
      <c r="F250" s="5">
        <v>151.1</v>
      </c>
      <c r="G250" s="5">
        <v>148.30000000000001</v>
      </c>
      <c r="H250" s="5">
        <v>125.7</v>
      </c>
      <c r="I250" s="5">
        <v>145.69999999999999</v>
      </c>
      <c r="J250" s="5">
        <v>217</v>
      </c>
      <c r="K250" s="5">
        <v>138.30000000000001</v>
      </c>
      <c r="L250" s="5">
        <v>114</v>
      </c>
      <c r="M250" s="5">
        <v>148.69999999999999</v>
      </c>
      <c r="N250" s="5">
        <v>135.80000000000001</v>
      </c>
      <c r="O250" s="5">
        <v>158</v>
      </c>
      <c r="P250" s="5">
        <v>155</v>
      </c>
      <c r="Q250" s="5">
        <v>168.5</v>
      </c>
      <c r="R250" s="5">
        <v>150.30000000000001</v>
      </c>
      <c r="S250" s="5">
        <v>141.30000000000001</v>
      </c>
      <c r="T250" s="5">
        <v>149</v>
      </c>
      <c r="U250" s="5">
        <v>152.80000000000001</v>
      </c>
      <c r="V250" s="5">
        <v>143.69999999999999</v>
      </c>
      <c r="W250" s="5">
        <v>145.80000000000001</v>
      </c>
      <c r="X250" s="5">
        <v>150.4</v>
      </c>
      <c r="Y250" s="5">
        <v>129.80000000000001</v>
      </c>
      <c r="Z250" s="5">
        <v>142.30000000000001</v>
      </c>
      <c r="AA250" s="5">
        <v>155.69999999999999</v>
      </c>
      <c r="AB250" s="5">
        <v>140.4</v>
      </c>
      <c r="AC250" s="5">
        <v>142.5</v>
      </c>
      <c r="AD250" s="12">
        <v>150.4</v>
      </c>
      <c r="AE250" s="26">
        <f>COUNTIFS($A$2:$A$379,A250,$B$2:$B$379,B251,$C$2:$C$379,C250)</f>
        <v>1</v>
      </c>
    </row>
    <row r="251" spans="1:31">
      <c r="A251" s="11" t="s">
        <v>65</v>
      </c>
      <c r="B251" s="5">
        <v>2020</v>
      </c>
      <c r="C251" s="5" t="s">
        <v>66</v>
      </c>
      <c r="D251" s="5">
        <v>143.69999999999999</v>
      </c>
      <c r="E251" s="5">
        <v>167.3</v>
      </c>
      <c r="F251" s="5">
        <v>153.5</v>
      </c>
      <c r="G251" s="5">
        <v>150.5</v>
      </c>
      <c r="H251" s="5">
        <v>132</v>
      </c>
      <c r="I251" s="5">
        <v>142.19999999999999</v>
      </c>
      <c r="J251" s="5">
        <v>191.5</v>
      </c>
      <c r="K251" s="5">
        <v>141.1</v>
      </c>
      <c r="L251" s="5">
        <v>113.8</v>
      </c>
      <c r="M251" s="5">
        <v>151.6</v>
      </c>
      <c r="N251" s="5">
        <v>139.69999999999999</v>
      </c>
      <c r="O251" s="5">
        <v>158.69999999999999</v>
      </c>
      <c r="P251" s="5">
        <v>153</v>
      </c>
      <c r="Q251" s="5">
        <v>168.6</v>
      </c>
      <c r="R251" s="5">
        <v>152.80000000000001</v>
      </c>
      <c r="S251" s="5">
        <v>147.4</v>
      </c>
      <c r="T251" s="5">
        <v>152.1</v>
      </c>
      <c r="U251" s="5" t="s">
        <v>67</v>
      </c>
      <c r="V251" s="5">
        <v>150.4</v>
      </c>
      <c r="W251" s="5">
        <v>151.69999999999999</v>
      </c>
      <c r="X251" s="5">
        <v>155.69999999999999</v>
      </c>
      <c r="Y251" s="5">
        <v>136.30000000000001</v>
      </c>
      <c r="Z251" s="5">
        <v>150.1</v>
      </c>
      <c r="AA251" s="5">
        <v>161.69999999999999</v>
      </c>
      <c r="AB251" s="5">
        <v>142.5</v>
      </c>
      <c r="AC251" s="5">
        <v>148.1</v>
      </c>
      <c r="AD251" s="12">
        <v>151.9</v>
      </c>
      <c r="AE251" s="26">
        <f>COUNTIFS($A$2:$A$379,A251,$B$2:$B$379,B252,$C$2:$C$379,C251)</f>
        <v>1</v>
      </c>
    </row>
    <row r="252" spans="1:31">
      <c r="A252" s="11" t="s">
        <v>68</v>
      </c>
      <c r="B252" s="5">
        <v>2020</v>
      </c>
      <c r="C252" s="5" t="s">
        <v>66</v>
      </c>
      <c r="D252" s="5">
        <v>145.6</v>
      </c>
      <c r="E252" s="5">
        <v>167.6</v>
      </c>
      <c r="F252" s="5">
        <v>157</v>
      </c>
      <c r="G252" s="5">
        <v>149.30000000000001</v>
      </c>
      <c r="H252" s="5">
        <v>126.3</v>
      </c>
      <c r="I252" s="5">
        <v>144.4</v>
      </c>
      <c r="J252" s="5">
        <v>207.8</v>
      </c>
      <c r="K252" s="5">
        <v>139.1</v>
      </c>
      <c r="L252" s="5">
        <v>114.8</v>
      </c>
      <c r="M252" s="5">
        <v>149.5</v>
      </c>
      <c r="N252" s="5">
        <v>131.1</v>
      </c>
      <c r="O252" s="5">
        <v>158.5</v>
      </c>
      <c r="P252" s="5">
        <v>154.4</v>
      </c>
      <c r="Q252" s="5">
        <v>170.8</v>
      </c>
      <c r="R252" s="5">
        <v>147</v>
      </c>
      <c r="S252" s="5">
        <v>133.19999999999999</v>
      </c>
      <c r="T252" s="5">
        <v>144.9</v>
      </c>
      <c r="U252" s="5">
        <v>153.9</v>
      </c>
      <c r="V252" s="5">
        <v>135.1</v>
      </c>
      <c r="W252" s="5">
        <v>140.1</v>
      </c>
      <c r="X252" s="5">
        <v>143.80000000000001</v>
      </c>
      <c r="Y252" s="5">
        <v>126.1</v>
      </c>
      <c r="Z252" s="5">
        <v>137.19999999999999</v>
      </c>
      <c r="AA252" s="5">
        <v>152.1</v>
      </c>
      <c r="AB252" s="5">
        <v>142.1</v>
      </c>
      <c r="AC252" s="5">
        <v>138.4</v>
      </c>
      <c r="AD252" s="12">
        <v>148.19999999999999</v>
      </c>
      <c r="AE252" s="26">
        <f>COUNTIFS($A$2:$A$379,A252,$B$2:$B$379,B253,$C$2:$C$379,C252)</f>
        <v>1</v>
      </c>
    </row>
    <row r="253" spans="1:31">
      <c r="A253" s="11" t="s">
        <v>69</v>
      </c>
      <c r="B253" s="5">
        <v>2020</v>
      </c>
      <c r="C253" s="5" t="s">
        <v>66</v>
      </c>
      <c r="D253" s="5">
        <v>144.30000000000001</v>
      </c>
      <c r="E253" s="5">
        <v>167.4</v>
      </c>
      <c r="F253" s="5">
        <v>154.9</v>
      </c>
      <c r="G253" s="5">
        <v>150.1</v>
      </c>
      <c r="H253" s="5">
        <v>129.9</v>
      </c>
      <c r="I253" s="5">
        <v>143.19999999999999</v>
      </c>
      <c r="J253" s="5">
        <v>197</v>
      </c>
      <c r="K253" s="5">
        <v>140.4</v>
      </c>
      <c r="L253" s="5">
        <v>114.1</v>
      </c>
      <c r="M253" s="5">
        <v>150.9</v>
      </c>
      <c r="N253" s="5">
        <v>136.1</v>
      </c>
      <c r="O253" s="5">
        <v>158.6</v>
      </c>
      <c r="P253" s="5">
        <v>153.5</v>
      </c>
      <c r="Q253" s="5">
        <v>169.2</v>
      </c>
      <c r="R253" s="5">
        <v>150.5</v>
      </c>
      <c r="S253" s="5">
        <v>141.5</v>
      </c>
      <c r="T253" s="5">
        <v>149.19999999999999</v>
      </c>
      <c r="U253" s="5">
        <v>153.9</v>
      </c>
      <c r="V253" s="5">
        <v>144.6</v>
      </c>
      <c r="W253" s="5">
        <v>146.19999999999999</v>
      </c>
      <c r="X253" s="5">
        <v>151.19999999999999</v>
      </c>
      <c r="Y253" s="5">
        <v>130.9</v>
      </c>
      <c r="Z253" s="5">
        <v>142.80000000000001</v>
      </c>
      <c r="AA253" s="5">
        <v>156.1</v>
      </c>
      <c r="AB253" s="5">
        <v>142.30000000000001</v>
      </c>
      <c r="AC253" s="5">
        <v>143.4</v>
      </c>
      <c r="AD253" s="12">
        <v>150.19999999999999</v>
      </c>
      <c r="AE253" s="26">
        <f>COUNTIFS($A$2:$A$379,A253,$B$2:$B$379,B254,$C$2:$C$379,C253)</f>
        <v>1</v>
      </c>
    </row>
    <row r="254" spans="1:31">
      <c r="A254" s="11" t="s">
        <v>65</v>
      </c>
      <c r="B254" s="5">
        <v>2020</v>
      </c>
      <c r="C254" s="5" t="s">
        <v>70</v>
      </c>
      <c r="D254" s="5">
        <v>144.19999999999999</v>
      </c>
      <c r="E254" s="5">
        <v>167.5</v>
      </c>
      <c r="F254" s="5">
        <v>150.9</v>
      </c>
      <c r="G254" s="5">
        <v>150.9</v>
      </c>
      <c r="H254" s="5">
        <v>133.69999999999999</v>
      </c>
      <c r="I254" s="5">
        <v>140.69999999999999</v>
      </c>
      <c r="J254" s="5">
        <v>165.1</v>
      </c>
      <c r="K254" s="5">
        <v>141.80000000000001</v>
      </c>
      <c r="L254" s="5">
        <v>113.1</v>
      </c>
      <c r="M254" s="5">
        <v>152.80000000000001</v>
      </c>
      <c r="N254" s="5">
        <v>140.1</v>
      </c>
      <c r="O254" s="5">
        <v>159.19999999999999</v>
      </c>
      <c r="P254" s="5">
        <v>149.80000000000001</v>
      </c>
      <c r="Q254" s="5">
        <v>169.4</v>
      </c>
      <c r="R254" s="5">
        <v>153</v>
      </c>
      <c r="S254" s="5">
        <v>147.5</v>
      </c>
      <c r="T254" s="5">
        <v>152.30000000000001</v>
      </c>
      <c r="U254" s="5" t="s">
        <v>67</v>
      </c>
      <c r="V254" s="5">
        <v>152.30000000000001</v>
      </c>
      <c r="W254" s="5">
        <v>151.80000000000001</v>
      </c>
      <c r="X254" s="5">
        <v>156.19999999999999</v>
      </c>
      <c r="Y254" s="5">
        <v>136</v>
      </c>
      <c r="Z254" s="5">
        <v>150.4</v>
      </c>
      <c r="AA254" s="5">
        <v>161.9</v>
      </c>
      <c r="AB254" s="5">
        <v>143.4</v>
      </c>
      <c r="AC254" s="5">
        <v>148.4</v>
      </c>
      <c r="AD254" s="12">
        <v>150.4</v>
      </c>
      <c r="AE254" s="26">
        <f>COUNTIFS($A$2:$A$379,A254,$B$2:$B$379,B255,$C$2:$C$379,C254)</f>
        <v>1</v>
      </c>
    </row>
    <row r="255" spans="1:31">
      <c r="A255" s="11" t="s">
        <v>68</v>
      </c>
      <c r="B255" s="5">
        <v>2020</v>
      </c>
      <c r="C255" s="5" t="s">
        <v>70</v>
      </c>
      <c r="D255" s="5">
        <v>146.19999999999999</v>
      </c>
      <c r="E255" s="5">
        <v>167.6</v>
      </c>
      <c r="F255" s="5">
        <v>153.1</v>
      </c>
      <c r="G255" s="5">
        <v>150.69999999999999</v>
      </c>
      <c r="H255" s="5">
        <v>127.4</v>
      </c>
      <c r="I255" s="5">
        <v>143.1</v>
      </c>
      <c r="J255" s="5">
        <v>181.7</v>
      </c>
      <c r="K255" s="5">
        <v>139.6</v>
      </c>
      <c r="L255" s="5">
        <v>114.6</v>
      </c>
      <c r="M255" s="5">
        <v>150.4</v>
      </c>
      <c r="N255" s="5">
        <v>131.5</v>
      </c>
      <c r="O255" s="5">
        <v>159</v>
      </c>
      <c r="P255" s="5">
        <v>151.69999999999999</v>
      </c>
      <c r="Q255" s="5">
        <v>172</v>
      </c>
      <c r="R255" s="5">
        <v>147.30000000000001</v>
      </c>
      <c r="S255" s="5">
        <v>133.5</v>
      </c>
      <c r="T255" s="5">
        <v>145.19999999999999</v>
      </c>
      <c r="U255" s="5">
        <v>154.80000000000001</v>
      </c>
      <c r="V255" s="5">
        <v>138.9</v>
      </c>
      <c r="W255" s="5">
        <v>140.4</v>
      </c>
      <c r="X255" s="5">
        <v>144.4</v>
      </c>
      <c r="Y255" s="5">
        <v>125.2</v>
      </c>
      <c r="Z255" s="5">
        <v>137.69999999999999</v>
      </c>
      <c r="AA255" s="5">
        <v>152.19999999999999</v>
      </c>
      <c r="AB255" s="5">
        <v>143.5</v>
      </c>
      <c r="AC255" s="5">
        <v>138.4</v>
      </c>
      <c r="AD255" s="12">
        <v>147.69999999999999</v>
      </c>
      <c r="AE255" s="26">
        <f>COUNTIFS($A$2:$A$379,A255,$B$2:$B$379,B256,$C$2:$C$379,C255)</f>
        <v>1</v>
      </c>
    </row>
    <row r="256" spans="1:31">
      <c r="A256" s="11" t="s">
        <v>69</v>
      </c>
      <c r="B256" s="5">
        <v>2020</v>
      </c>
      <c r="C256" s="5" t="s">
        <v>70</v>
      </c>
      <c r="D256" s="5">
        <v>144.80000000000001</v>
      </c>
      <c r="E256" s="5">
        <v>167.5</v>
      </c>
      <c r="F256" s="5">
        <v>151.80000000000001</v>
      </c>
      <c r="G256" s="5">
        <v>150.80000000000001</v>
      </c>
      <c r="H256" s="5">
        <v>131.4</v>
      </c>
      <c r="I256" s="5">
        <v>141.80000000000001</v>
      </c>
      <c r="J256" s="5">
        <v>170.7</v>
      </c>
      <c r="K256" s="5">
        <v>141.1</v>
      </c>
      <c r="L256" s="5">
        <v>113.6</v>
      </c>
      <c r="M256" s="5">
        <v>152</v>
      </c>
      <c r="N256" s="5">
        <v>136.5</v>
      </c>
      <c r="O256" s="5">
        <v>159.1</v>
      </c>
      <c r="P256" s="5">
        <v>150.5</v>
      </c>
      <c r="Q256" s="5">
        <v>170.1</v>
      </c>
      <c r="R256" s="5">
        <v>150.80000000000001</v>
      </c>
      <c r="S256" s="5">
        <v>141.69999999999999</v>
      </c>
      <c r="T256" s="5">
        <v>149.5</v>
      </c>
      <c r="U256" s="5">
        <v>154.80000000000001</v>
      </c>
      <c r="V256" s="5">
        <v>147.19999999999999</v>
      </c>
      <c r="W256" s="5">
        <v>146.4</v>
      </c>
      <c r="X256" s="5">
        <v>151.69999999999999</v>
      </c>
      <c r="Y256" s="5">
        <v>130.30000000000001</v>
      </c>
      <c r="Z256" s="5">
        <v>143.19999999999999</v>
      </c>
      <c r="AA256" s="5">
        <v>156.19999999999999</v>
      </c>
      <c r="AB256" s="5">
        <v>143.4</v>
      </c>
      <c r="AC256" s="5">
        <v>143.6</v>
      </c>
      <c r="AD256" s="12">
        <v>149.1</v>
      </c>
      <c r="AE256" s="26">
        <f>COUNTIFS($A$2:$A$379,A256,$B$2:$B$379,B257,$C$2:$C$379,C256)</f>
        <v>1</v>
      </c>
    </row>
    <row r="257" spans="1:31">
      <c r="A257" s="11" t="s">
        <v>65</v>
      </c>
      <c r="B257" s="5">
        <v>2020</v>
      </c>
      <c r="C257" s="5" t="s">
        <v>71</v>
      </c>
      <c r="D257" s="5">
        <v>144.4</v>
      </c>
      <c r="E257" s="5">
        <v>166.8</v>
      </c>
      <c r="F257" s="5">
        <v>147.6</v>
      </c>
      <c r="G257" s="5">
        <v>151.69999999999999</v>
      </c>
      <c r="H257" s="5">
        <v>133.30000000000001</v>
      </c>
      <c r="I257" s="5">
        <v>141.80000000000001</v>
      </c>
      <c r="J257" s="5">
        <v>152.30000000000001</v>
      </c>
      <c r="K257" s="5">
        <v>141.80000000000001</v>
      </c>
      <c r="L257" s="5">
        <v>112.6</v>
      </c>
      <c r="M257" s="5">
        <v>154</v>
      </c>
      <c r="N257" s="5">
        <v>140.1</v>
      </c>
      <c r="O257" s="5">
        <v>160</v>
      </c>
      <c r="P257" s="5">
        <v>148.19999999999999</v>
      </c>
      <c r="Q257" s="5">
        <v>170.5</v>
      </c>
      <c r="R257" s="5">
        <v>153.4</v>
      </c>
      <c r="S257" s="5">
        <v>147.6</v>
      </c>
      <c r="T257" s="5">
        <v>152.5</v>
      </c>
      <c r="U257" s="5" t="s">
        <v>67</v>
      </c>
      <c r="V257" s="5">
        <v>153.4</v>
      </c>
      <c r="W257" s="5">
        <v>151.5</v>
      </c>
      <c r="X257" s="5">
        <v>156.69999999999999</v>
      </c>
      <c r="Y257" s="5">
        <v>135.80000000000001</v>
      </c>
      <c r="Z257" s="5">
        <v>151.19999999999999</v>
      </c>
      <c r="AA257" s="5">
        <v>161.19999999999999</v>
      </c>
      <c r="AB257" s="5">
        <v>145.1</v>
      </c>
      <c r="AC257" s="5">
        <v>148.6</v>
      </c>
      <c r="AD257" s="12">
        <v>149.80000000000001</v>
      </c>
      <c r="AE257" s="26">
        <f>COUNTIFS($A$2:$A$379,A257,$B$2:$B$379,B258,$C$2:$C$379,C257)</f>
        <v>1</v>
      </c>
    </row>
    <row r="258" spans="1:31">
      <c r="A258" s="11" t="s">
        <v>68</v>
      </c>
      <c r="B258" s="5">
        <v>2020</v>
      </c>
      <c r="C258" s="5" t="s">
        <v>71</v>
      </c>
      <c r="D258" s="5">
        <v>146.5</v>
      </c>
      <c r="E258" s="5">
        <v>167.5</v>
      </c>
      <c r="F258" s="5">
        <v>148.9</v>
      </c>
      <c r="G258" s="5">
        <v>151.1</v>
      </c>
      <c r="H258" s="5">
        <v>127.5</v>
      </c>
      <c r="I258" s="5">
        <v>143.30000000000001</v>
      </c>
      <c r="J258" s="5">
        <v>167</v>
      </c>
      <c r="K258" s="5">
        <v>139.69999999999999</v>
      </c>
      <c r="L258" s="5">
        <v>114.4</v>
      </c>
      <c r="M258" s="5">
        <v>151.5</v>
      </c>
      <c r="N258" s="5">
        <v>131.9</v>
      </c>
      <c r="O258" s="5">
        <v>159.1</v>
      </c>
      <c r="P258" s="5">
        <v>150.1</v>
      </c>
      <c r="Q258" s="5">
        <v>173.3</v>
      </c>
      <c r="R258" s="5">
        <v>147.69999999999999</v>
      </c>
      <c r="S258" s="5">
        <v>133.80000000000001</v>
      </c>
      <c r="T258" s="5">
        <v>145.6</v>
      </c>
      <c r="U258" s="5">
        <v>154.5</v>
      </c>
      <c r="V258" s="5">
        <v>141.4</v>
      </c>
      <c r="W258" s="5">
        <v>140.80000000000001</v>
      </c>
      <c r="X258" s="5">
        <v>145</v>
      </c>
      <c r="Y258" s="5">
        <v>124.6</v>
      </c>
      <c r="Z258" s="5">
        <v>137.9</v>
      </c>
      <c r="AA258" s="5">
        <v>152.5</v>
      </c>
      <c r="AB258" s="5">
        <v>145.30000000000001</v>
      </c>
      <c r="AC258" s="5">
        <v>138.69999999999999</v>
      </c>
      <c r="AD258" s="12">
        <v>147.30000000000001</v>
      </c>
      <c r="AE258" s="26">
        <f>COUNTIFS($A$2:$A$379,A258,$B$2:$B$379,B259,$C$2:$C$379,C258)</f>
        <v>1</v>
      </c>
    </row>
    <row r="259" spans="1:31">
      <c r="A259" s="11" t="s">
        <v>69</v>
      </c>
      <c r="B259" s="5">
        <v>2020</v>
      </c>
      <c r="C259" s="5" t="s">
        <v>71</v>
      </c>
      <c r="D259" s="5">
        <v>145.1</v>
      </c>
      <c r="E259" s="5">
        <v>167</v>
      </c>
      <c r="F259" s="5">
        <v>148.1</v>
      </c>
      <c r="G259" s="5">
        <v>151.5</v>
      </c>
      <c r="H259" s="5">
        <v>131.19999999999999</v>
      </c>
      <c r="I259" s="5">
        <v>142.5</v>
      </c>
      <c r="J259" s="5">
        <v>157.30000000000001</v>
      </c>
      <c r="K259" s="5">
        <v>141.1</v>
      </c>
      <c r="L259" s="5">
        <v>113.2</v>
      </c>
      <c r="M259" s="5">
        <v>153.19999999999999</v>
      </c>
      <c r="N259" s="5">
        <v>136.69999999999999</v>
      </c>
      <c r="O259" s="5">
        <v>159.6</v>
      </c>
      <c r="P259" s="5">
        <v>148.9</v>
      </c>
      <c r="Q259" s="5">
        <v>171.2</v>
      </c>
      <c r="R259" s="5">
        <v>151.19999999999999</v>
      </c>
      <c r="S259" s="5">
        <v>141.9</v>
      </c>
      <c r="T259" s="5">
        <v>149.80000000000001</v>
      </c>
      <c r="U259" s="5">
        <v>154.5</v>
      </c>
      <c r="V259" s="5">
        <v>148.9</v>
      </c>
      <c r="W259" s="5">
        <v>146.4</v>
      </c>
      <c r="X259" s="5">
        <v>152.30000000000001</v>
      </c>
      <c r="Y259" s="5">
        <v>129.9</v>
      </c>
      <c r="Z259" s="5">
        <v>143.69999999999999</v>
      </c>
      <c r="AA259" s="5">
        <v>156.1</v>
      </c>
      <c r="AB259" s="5">
        <v>145.19999999999999</v>
      </c>
      <c r="AC259" s="5">
        <v>143.80000000000001</v>
      </c>
      <c r="AD259" s="12">
        <v>148.6</v>
      </c>
      <c r="AE259" s="26">
        <f>COUNTIFS($A$2:$A$379,A259,$B$2:$B$379,B260,$C$2:$C$379,C259)</f>
        <v>1</v>
      </c>
    </row>
    <row r="260" spans="1:31">
      <c r="A260" s="11" t="s">
        <v>65</v>
      </c>
      <c r="B260" s="5">
        <v>2020</v>
      </c>
      <c r="C260" s="5" t="s">
        <v>72</v>
      </c>
      <c r="D260" s="5">
        <v>147.19999999999999</v>
      </c>
      <c r="E260" s="30">
        <f>E257+((E266-E257)/3)</f>
        <v>174.63333333333335</v>
      </c>
      <c r="F260" s="5">
        <v>146.9</v>
      </c>
      <c r="G260" s="5">
        <v>155.6</v>
      </c>
      <c r="H260" s="5">
        <v>137.1</v>
      </c>
      <c r="I260" s="5">
        <v>147.30000000000001</v>
      </c>
      <c r="J260" s="5">
        <v>162.69999999999999</v>
      </c>
      <c r="K260" s="5">
        <v>150.19999999999999</v>
      </c>
      <c r="L260" s="5">
        <v>119.8</v>
      </c>
      <c r="M260" s="5">
        <v>158.69999999999999</v>
      </c>
      <c r="N260" s="5">
        <v>139.19999999999999</v>
      </c>
      <c r="O260" s="5">
        <f>O257+((O266-O257)/3)</f>
        <v>160.6</v>
      </c>
      <c r="P260" s="5">
        <v>150.1</v>
      </c>
      <c r="Q260" s="30">
        <f>Q257+((Q266-Q257)/3)</f>
        <v>174.46666666666667</v>
      </c>
      <c r="R260" s="30">
        <f>R257+((R266-R257)/3)</f>
        <v>153.83333333333334</v>
      </c>
      <c r="S260" s="5">
        <f>S257+((S266-S257)/3)</f>
        <v>148.4</v>
      </c>
      <c r="T260" s="30">
        <f>T257+((T266-T257)/3)</f>
        <v>153.03333333333333</v>
      </c>
      <c r="U260" s="5" t="s">
        <v>67</v>
      </c>
      <c r="V260" s="5">
        <v>148.4</v>
      </c>
      <c r="W260" s="30">
        <f>W257+((W266-W257)/3)</f>
        <v>151.56666666666666</v>
      </c>
      <c r="X260" s="5">
        <v>154.30000000000001</v>
      </c>
      <c r="Y260" s="30">
        <f>Y257+((Y266-Y257)/3)</f>
        <v>137.66666666666669</v>
      </c>
      <c r="Z260" s="30">
        <f>Z257+((Z266-Z257)/3)</f>
        <v>151.86666666666665</v>
      </c>
      <c r="AA260" s="5">
        <f>AA257+((AA266-AA257)/3)</f>
        <v>161.4</v>
      </c>
      <c r="AB260" s="30">
        <f>AB257+((AB266-AB257)/3)</f>
        <v>147.13333333333333</v>
      </c>
      <c r="AC260" s="30">
        <f>AC257+((AC266-AC257)/3)</f>
        <v>149.63333333333333</v>
      </c>
      <c r="AD260" s="31">
        <f>AD257+((AD266-AD257)/3)</f>
        <v>150.76666666666668</v>
      </c>
      <c r="AE260" s="26">
        <f>COUNTIFS($A$2:$A$379,A260,$B$2:$B$379,B261,$C$2:$C$379,C260)</f>
        <v>1</v>
      </c>
    </row>
    <row r="261" spans="1:31">
      <c r="A261" s="11" t="s">
        <v>68</v>
      </c>
      <c r="B261" s="5">
        <v>2020</v>
      </c>
      <c r="C261" s="5" t="s">
        <v>72</v>
      </c>
      <c r="D261" s="5">
        <v>151.80000000000001</v>
      </c>
      <c r="E261" s="30">
        <f>E258+((E267-E258)/3)</f>
        <v>177.33333333333334</v>
      </c>
      <c r="F261" s="5">
        <v>151.9</v>
      </c>
      <c r="G261" s="5">
        <v>155.5</v>
      </c>
      <c r="H261" s="5">
        <v>131.6</v>
      </c>
      <c r="I261" s="5">
        <v>152.9</v>
      </c>
      <c r="J261" s="5">
        <v>180</v>
      </c>
      <c r="K261" s="5">
        <v>150.80000000000001</v>
      </c>
      <c r="L261" s="5">
        <v>121.2</v>
      </c>
      <c r="M261" s="5">
        <v>154</v>
      </c>
      <c r="N261" s="5">
        <v>133.5</v>
      </c>
      <c r="O261" s="30">
        <f>O258+((O267-O258)/3)</f>
        <v>159.96666666666667</v>
      </c>
      <c r="P261" s="5">
        <v>153.5</v>
      </c>
      <c r="Q261" s="30">
        <f>Q258+((Q267-Q258)/3)</f>
        <v>177.76666666666668</v>
      </c>
      <c r="R261" s="30">
        <f>R258+((R267-R258)/3)</f>
        <v>148.16666666666666</v>
      </c>
      <c r="S261" s="30">
        <f t="shared" ref="S261:S262" si="0">S258+((S267-S258)/3)</f>
        <v>134.73333333333335</v>
      </c>
      <c r="T261" s="30">
        <f t="shared" ref="T261:T262" si="1">T258+((T267-T258)/3)</f>
        <v>146.13333333333333</v>
      </c>
      <c r="U261" s="5">
        <v>155.6</v>
      </c>
      <c r="V261" s="5">
        <v>137.1</v>
      </c>
      <c r="W261" s="30">
        <f t="shared" ref="W261:W262" si="2">W258+((W267-W258)/3)</f>
        <v>140.66666666666669</v>
      </c>
      <c r="X261" s="5">
        <v>144.80000000000001</v>
      </c>
      <c r="Y261" s="30">
        <f t="shared" ref="Y261:Y262" si="3">Y258+((Y267-Y258)/3)</f>
        <v>126.16666666666667</v>
      </c>
      <c r="Z261" s="30">
        <f t="shared" ref="Z261:Z262" si="4">Z258+((Z267-Z258)/3)</f>
        <v>140.1</v>
      </c>
      <c r="AA261" s="5">
        <f t="shared" ref="AA261:AA262" si="5">AA258+((AA267-AA258)/3)</f>
        <v>152.5</v>
      </c>
      <c r="AB261" s="30">
        <f t="shared" ref="AB261:AB262" si="6">AB258+((AB267-AB258)/3)</f>
        <v>147.6</v>
      </c>
      <c r="AC261" s="30">
        <f t="shared" ref="AC261:AC262" si="7">AC258+((AC267-AC258)/3)</f>
        <v>139.79999999999998</v>
      </c>
      <c r="AD261" s="31">
        <f t="shared" ref="AD261:AD262" si="8">AD258+((AD267-AD258)/3)</f>
        <v>148.46666666666667</v>
      </c>
      <c r="AE261" s="26">
        <f>COUNTIFS($A$2:$A$379,A261,$B$2:$B$379,B262,$C$2:$C$379,C261)</f>
        <v>1</v>
      </c>
    </row>
    <row r="262" spans="1:31">
      <c r="A262" s="11" t="s">
        <v>69</v>
      </c>
      <c r="B262" s="5">
        <v>2020</v>
      </c>
      <c r="C262" s="5" t="s">
        <v>72</v>
      </c>
      <c r="D262" s="5">
        <v>148.69999999999999</v>
      </c>
      <c r="E262" s="30">
        <f>E259+((E268-E259)/3)</f>
        <v>175.56666666666666</v>
      </c>
      <c r="F262" s="5">
        <v>148.80000000000001</v>
      </c>
      <c r="G262" s="5">
        <v>155.6</v>
      </c>
      <c r="H262" s="5">
        <v>135.1</v>
      </c>
      <c r="I262" s="5">
        <v>149.9</v>
      </c>
      <c r="J262" s="5">
        <v>168.6</v>
      </c>
      <c r="K262" s="5">
        <v>150.4</v>
      </c>
      <c r="L262" s="5">
        <v>120.3</v>
      </c>
      <c r="M262" s="5">
        <v>157.1</v>
      </c>
      <c r="N262" s="5">
        <v>136.80000000000001</v>
      </c>
      <c r="O262" s="30">
        <f>O259+((O268-O259)/3)</f>
        <v>160.33333333333334</v>
      </c>
      <c r="P262" s="5">
        <v>151.4</v>
      </c>
      <c r="Q262" s="5">
        <f>Q259+((Q268-Q259)/3)</f>
        <v>175.29999999999998</v>
      </c>
      <c r="R262" s="30">
        <f>R259+((R268-R259)/3)</f>
        <v>151.63333333333333</v>
      </c>
      <c r="S262" s="30">
        <f t="shared" si="0"/>
        <v>142.73333333333335</v>
      </c>
      <c r="T262" s="30">
        <f t="shared" si="1"/>
        <v>150.33333333333334</v>
      </c>
      <c r="U262" s="5">
        <v>155.6</v>
      </c>
      <c r="V262" s="5">
        <v>144.1</v>
      </c>
      <c r="W262" s="30">
        <f t="shared" si="2"/>
        <v>146.4</v>
      </c>
      <c r="X262" s="5">
        <v>150.69999999999999</v>
      </c>
      <c r="Y262" s="30">
        <f t="shared" si="3"/>
        <v>131.6</v>
      </c>
      <c r="Z262" s="30">
        <f t="shared" si="4"/>
        <v>145.23333333333332</v>
      </c>
      <c r="AA262" s="5">
        <f t="shared" si="5"/>
        <v>156.19999999999999</v>
      </c>
      <c r="AB262" s="30">
        <f t="shared" si="6"/>
        <v>147.33333333333331</v>
      </c>
      <c r="AC262" s="30">
        <f t="shared" si="7"/>
        <v>144.86666666666667</v>
      </c>
      <c r="AD262" s="31">
        <f t="shared" si="8"/>
        <v>149.66666666666666</v>
      </c>
      <c r="AE262" s="26">
        <f>COUNTIFS($A$2:$A$379,A262,$B$2:$B$379,B263,$C$2:$C$379,C262)</f>
        <v>1</v>
      </c>
    </row>
    <row r="263" spans="1:31">
      <c r="A263" s="11" t="s">
        <v>65</v>
      </c>
      <c r="B263" s="5">
        <v>2020</v>
      </c>
      <c r="C263" s="5" t="s">
        <v>73</v>
      </c>
      <c r="D263" s="5">
        <f>AVERAGE(D260,D266)</f>
        <v>147.69999999999999</v>
      </c>
      <c r="E263" s="30">
        <f>E257+2*((E266-E257)/3)</f>
        <v>182.46666666666667</v>
      </c>
      <c r="F263" s="30">
        <f>AVERAGE(F260,F266)</f>
        <v>148.15</v>
      </c>
      <c r="G263" s="30">
        <f>AVERAGE(G260,G266)</f>
        <v>154.44999999999999</v>
      </c>
      <c r="H263" s="30">
        <f>AVERAGE(H260,H266)</f>
        <v>137.64999999999998</v>
      </c>
      <c r="I263" s="30">
        <f>AVERAGE(I260,I266)</f>
        <v>145.25</v>
      </c>
      <c r="J263" s="30">
        <f>AVERAGE(J260,J266)</f>
        <v>155.80000000000001</v>
      </c>
      <c r="K263" s="30">
        <f>AVERAGE(K260,K266)</f>
        <v>150.25</v>
      </c>
      <c r="L263" s="5">
        <f>AVERAGE(L260,L266)</f>
        <v>116.5</v>
      </c>
      <c r="M263" s="30">
        <f>AVERAGE(M260,M266)</f>
        <v>159.25</v>
      </c>
      <c r="N263" s="30">
        <f>AVERAGE(N260,N266)</f>
        <v>140.64999999999998</v>
      </c>
      <c r="O263" s="5">
        <f>O257+2*((O266-O257)/3)</f>
        <v>161.20000000000002</v>
      </c>
      <c r="P263" s="5">
        <f>AVERAGE(P260,P266)</f>
        <v>151.19999999999999</v>
      </c>
      <c r="Q263" s="30">
        <f>Q257+2*((Q266-Q257)/3)</f>
        <v>178.43333333333334</v>
      </c>
      <c r="R263" s="30">
        <f>R257+2*((R266-R257)/3)</f>
        <v>154.26666666666665</v>
      </c>
      <c r="S263" s="5">
        <f>S257+2*((S266-S257)/3)</f>
        <v>149.19999999999999</v>
      </c>
      <c r="T263" s="30">
        <f>T257+2*((T266-T257)/3)</f>
        <v>153.56666666666666</v>
      </c>
      <c r="U263" s="5" t="s">
        <v>67</v>
      </c>
      <c r="V263" s="30">
        <f>AVERAGE(V260,V266)</f>
        <v>146.65</v>
      </c>
      <c r="W263" s="30">
        <f>W257+2*((W266-W257)/3)</f>
        <v>151.63333333333333</v>
      </c>
      <c r="X263" s="30">
        <f>AVERAGE(X260,X266)</f>
        <v>156.25</v>
      </c>
      <c r="Y263" s="30">
        <f>Y257+2*((Y266-Y257)/3)</f>
        <v>139.53333333333333</v>
      </c>
      <c r="Z263" s="30">
        <f>Z257+2*((Z266-Z257)/3)</f>
        <v>152.53333333333333</v>
      </c>
      <c r="AA263" s="5">
        <f>AA257+2*((AA266-AA257)/3)</f>
        <v>161.6</v>
      </c>
      <c r="AB263" s="30">
        <f>AB257+2*((AB266-AB257)/3)</f>
        <v>149.16666666666666</v>
      </c>
      <c r="AC263" s="30">
        <f>AC257+2*((AC266-AC257)/3)</f>
        <v>150.66666666666666</v>
      </c>
      <c r="AD263" s="31">
        <f>AD257+2*((AD266-AD257)/3)</f>
        <v>151.73333333333332</v>
      </c>
      <c r="AE263" s="26">
        <f>COUNTIFS($A$2:$A$379,A263,$B$2:$B$379,B264,$C$2:$C$379,C263)</f>
        <v>1</v>
      </c>
    </row>
    <row r="264" spans="1:31">
      <c r="A264" s="11" t="s">
        <v>68</v>
      </c>
      <c r="B264" s="5">
        <v>2020</v>
      </c>
      <c r="C264" s="5" t="s">
        <v>73</v>
      </c>
      <c r="D264" s="5">
        <f>AVERAGE(D261,D267)</f>
        <v>152.25</v>
      </c>
      <c r="E264" s="30">
        <f>E258+2*((E267-E258)/3)</f>
        <v>187.16666666666666</v>
      </c>
      <c r="F264" s="30">
        <f>AVERAGE(F261,F267)</f>
        <v>153.25</v>
      </c>
      <c r="G264" s="30">
        <f>AVERAGE(G261,G267)</f>
        <v>154.44999999999999</v>
      </c>
      <c r="H264" s="30">
        <f>AVERAGE(H261,H267)</f>
        <v>132.25</v>
      </c>
      <c r="I264" s="30">
        <f>AVERAGE(I261,I267)</f>
        <v>152.35000000000002</v>
      </c>
      <c r="J264" s="30">
        <f>AVERAGE(J261,J267)</f>
        <v>175.6</v>
      </c>
      <c r="K264" s="30">
        <f>AVERAGE(K261,K267)</f>
        <v>151.4</v>
      </c>
      <c r="L264" s="30">
        <f>AVERAGE(L261,L267)</f>
        <v>118.75</v>
      </c>
      <c r="M264" s="5">
        <f>AVERAGE(M261,M267)</f>
        <v>156.4</v>
      </c>
      <c r="N264" s="5">
        <f>AVERAGE(N262,N267)</f>
        <v>136.19999999999999</v>
      </c>
      <c r="O264" s="30">
        <f>O258+2*((O267-O258)/3)</f>
        <v>160.83333333333331</v>
      </c>
      <c r="P264" s="30">
        <f>AVERAGE(P261,P267)</f>
        <v>155.25</v>
      </c>
      <c r="Q264" s="30">
        <f>Q258+2*((Q267-Q258)/3)</f>
        <v>182.23333333333332</v>
      </c>
      <c r="R264" s="30">
        <f t="shared" ref="R264:R265" si="9">R258+2*((R267-R258)/3)</f>
        <v>148.63333333333333</v>
      </c>
      <c r="S264" s="30">
        <f t="shared" ref="S264:S265" si="10">S258+2*((S267-S258)/3)</f>
        <v>135.66666666666666</v>
      </c>
      <c r="T264" s="30">
        <f t="shared" ref="T264:T265" si="11">T258+2*((T267-T258)/3)</f>
        <v>146.66666666666666</v>
      </c>
      <c r="U264" s="5">
        <f>U261+((U267-U261)/3)</f>
        <v>155.29999999999998</v>
      </c>
      <c r="V264" s="5">
        <f t="shared" ref="V264:V265" si="12">AVERAGE(V261,V267)</f>
        <v>137.1</v>
      </c>
      <c r="W264" s="30">
        <f t="shared" ref="W264:W265" si="13">W258+2*((W267-W258)/3)</f>
        <v>140.53333333333333</v>
      </c>
      <c r="X264" s="30">
        <f t="shared" ref="X264:X265" si="14">AVERAGE(X261,X267)</f>
        <v>146.44999999999999</v>
      </c>
      <c r="Y264" s="30">
        <f t="shared" ref="Y264:Y265" si="15">Y258+2*((Y267-Y258)/3)</f>
        <v>127.73333333333333</v>
      </c>
      <c r="Z264" s="30">
        <f t="shared" ref="Z264:Z265" si="16">Z258+2*((Z267-Z258)/3)</f>
        <v>142.30000000000001</v>
      </c>
      <c r="AA264" s="5">
        <f t="shared" ref="AA264:AA265" si="17">AA258+2*((AA267-AA258)/3)</f>
        <v>152.5</v>
      </c>
      <c r="AB264" s="30">
        <f t="shared" ref="AB264:AB265" si="18">AB258+2*((AB267-AB258)/3)</f>
        <v>149.9</v>
      </c>
      <c r="AC264" s="30">
        <f t="shared" ref="AC264:AC265" si="19">AC258+2*((AC267-AC258)/3)</f>
        <v>140.9</v>
      </c>
      <c r="AD264" s="31">
        <f t="shared" ref="AD264:AD265" si="20">AD258+2*((AD267-AD258)/3)</f>
        <v>149.63333333333335</v>
      </c>
      <c r="AE264" s="26">
        <f>COUNTIFS($A$2:$A$379,A264,$B$2:$B$379,B265,$C$2:$C$379,C264)</f>
        <v>1</v>
      </c>
    </row>
    <row r="265" spans="1:31">
      <c r="A265" s="11" t="s">
        <v>69</v>
      </c>
      <c r="B265" s="5">
        <v>2020</v>
      </c>
      <c r="C265" s="5" t="s">
        <v>73</v>
      </c>
      <c r="D265" s="5">
        <f>AVERAGE(D262,D268)</f>
        <v>149.14999999999998</v>
      </c>
      <c r="E265" s="30">
        <f>E259+2*((E268-E259)/3)</f>
        <v>184.13333333333333</v>
      </c>
      <c r="F265" s="5">
        <f>AVERAGE(F262,F268)</f>
        <v>150.10000000000002</v>
      </c>
      <c r="G265" s="30">
        <f>AVERAGE(G262,G268)</f>
        <v>154.44999999999999</v>
      </c>
      <c r="H265" s="5">
        <f>AVERAGE(H262,H268)</f>
        <v>135.69999999999999</v>
      </c>
      <c r="I265" s="30">
        <f>AVERAGE(I262,I268)</f>
        <v>148.55000000000001</v>
      </c>
      <c r="J265" s="30">
        <f>AVERAGE(J262,J268)</f>
        <v>162.55000000000001</v>
      </c>
      <c r="K265" s="30">
        <f>AVERAGE(K262,K268)</f>
        <v>150.65</v>
      </c>
      <c r="L265" s="30">
        <f>AVERAGE(L262,L268)</f>
        <v>117.25</v>
      </c>
      <c r="M265" s="5">
        <f>AVERAGE(M262,M268)</f>
        <v>158.30000000000001</v>
      </c>
      <c r="N265" s="5">
        <f>AVERAGE(N262,N268)</f>
        <v>138.10000000000002</v>
      </c>
      <c r="O265" s="30">
        <f>O259+2*((O268-O259)/3)</f>
        <v>161.06666666666666</v>
      </c>
      <c r="P265" s="5">
        <f>AVERAGE(P262,P268)</f>
        <v>152.69999999999999</v>
      </c>
      <c r="Q265" s="5">
        <f>Q259+2*((Q268-Q259)/3)</f>
        <v>179.4</v>
      </c>
      <c r="R265" s="30">
        <f t="shared" si="9"/>
        <v>152.06666666666666</v>
      </c>
      <c r="S265" s="30">
        <f t="shared" si="10"/>
        <v>143.56666666666666</v>
      </c>
      <c r="T265" s="30">
        <f t="shared" si="11"/>
        <v>150.86666666666667</v>
      </c>
      <c r="U265" s="5">
        <f>U262+((U268-U262)/3)</f>
        <v>155.29999999999998</v>
      </c>
      <c r="V265" s="5">
        <f t="shared" si="12"/>
        <v>143</v>
      </c>
      <c r="W265" s="30">
        <f t="shared" si="13"/>
        <v>146.4</v>
      </c>
      <c r="X265" s="30">
        <f t="shared" si="14"/>
        <v>152.55000000000001</v>
      </c>
      <c r="Y265" s="30">
        <f t="shared" si="15"/>
        <v>133.30000000000001</v>
      </c>
      <c r="Z265" s="30">
        <f t="shared" si="16"/>
        <v>146.76666666666668</v>
      </c>
      <c r="AA265" s="5">
        <f t="shared" si="17"/>
        <v>156.30000000000001</v>
      </c>
      <c r="AB265" s="30">
        <f t="shared" si="18"/>
        <v>149.46666666666667</v>
      </c>
      <c r="AC265" s="30">
        <f t="shared" si="19"/>
        <v>145.93333333333334</v>
      </c>
      <c r="AD265" s="31">
        <f t="shared" si="20"/>
        <v>150.73333333333335</v>
      </c>
      <c r="AE265" s="26">
        <f>COUNTIFS($A$2:$A$379,A265,$B$2:$B$379,B266,$C$2:$C$379,C265)</f>
        <v>1</v>
      </c>
    </row>
    <row r="266" spans="1:31">
      <c r="A266" s="11" t="s">
        <v>65</v>
      </c>
      <c r="B266" s="5">
        <v>2020</v>
      </c>
      <c r="C266" s="5" t="s">
        <v>74</v>
      </c>
      <c r="D266" s="5">
        <v>148.19999999999999</v>
      </c>
      <c r="E266" s="5">
        <v>190.3</v>
      </c>
      <c r="F266" s="5">
        <v>149.4</v>
      </c>
      <c r="G266" s="5">
        <v>153.30000000000001</v>
      </c>
      <c r="H266" s="5">
        <v>138.19999999999999</v>
      </c>
      <c r="I266" s="5">
        <v>143.19999999999999</v>
      </c>
      <c r="J266" s="5">
        <v>148.9</v>
      </c>
      <c r="K266" s="5">
        <v>150.30000000000001</v>
      </c>
      <c r="L266" s="5">
        <v>113.2</v>
      </c>
      <c r="M266" s="5">
        <v>159.80000000000001</v>
      </c>
      <c r="N266" s="5">
        <v>142.1</v>
      </c>
      <c r="O266" s="5">
        <v>161.80000000000001</v>
      </c>
      <c r="P266" s="5">
        <v>152.30000000000001</v>
      </c>
      <c r="Q266" s="5">
        <v>182.4</v>
      </c>
      <c r="R266" s="5">
        <v>154.69999999999999</v>
      </c>
      <c r="S266" s="5">
        <v>150</v>
      </c>
      <c r="T266" s="5">
        <v>154.1</v>
      </c>
      <c r="U266" s="5" t="s">
        <v>67</v>
      </c>
      <c r="V266" s="5">
        <v>144.9</v>
      </c>
      <c r="W266" s="5">
        <v>151.69999999999999</v>
      </c>
      <c r="X266" s="5">
        <v>158.19999999999999</v>
      </c>
      <c r="Y266" s="5">
        <v>141.4</v>
      </c>
      <c r="Z266" s="5">
        <v>153.19999999999999</v>
      </c>
      <c r="AA266" s="5">
        <v>161.80000000000001</v>
      </c>
      <c r="AB266" s="5">
        <v>151.19999999999999</v>
      </c>
      <c r="AC266" s="5">
        <v>151.69999999999999</v>
      </c>
      <c r="AD266" s="12">
        <v>152.69999999999999</v>
      </c>
      <c r="AE266" s="26">
        <f>COUNTIFS($A$2:$A$379,A266,$B$2:$B$379,B267,$C$2:$C$379,C266)</f>
        <v>1</v>
      </c>
    </row>
    <row r="267" spans="1:31">
      <c r="A267" s="11" t="s">
        <v>68</v>
      </c>
      <c r="B267" s="5">
        <v>2020</v>
      </c>
      <c r="C267" s="5" t="s">
        <v>74</v>
      </c>
      <c r="D267" s="5">
        <v>152.69999999999999</v>
      </c>
      <c r="E267" s="5">
        <v>197</v>
      </c>
      <c r="F267" s="5">
        <v>154.6</v>
      </c>
      <c r="G267" s="5">
        <v>153.4</v>
      </c>
      <c r="H267" s="5">
        <v>132.9</v>
      </c>
      <c r="I267" s="5">
        <v>151.80000000000001</v>
      </c>
      <c r="J267" s="5">
        <v>171.2</v>
      </c>
      <c r="K267" s="5">
        <v>152</v>
      </c>
      <c r="L267" s="5">
        <v>116.3</v>
      </c>
      <c r="M267" s="5">
        <v>158.80000000000001</v>
      </c>
      <c r="N267" s="5">
        <v>135.6</v>
      </c>
      <c r="O267" s="5">
        <v>161.69999999999999</v>
      </c>
      <c r="P267" s="5">
        <v>157</v>
      </c>
      <c r="Q267" s="5">
        <v>186.7</v>
      </c>
      <c r="R267" s="5">
        <v>149.1</v>
      </c>
      <c r="S267" s="5">
        <v>136.6</v>
      </c>
      <c r="T267" s="5">
        <v>147.19999999999999</v>
      </c>
      <c r="U267" s="5">
        <v>154.69999999999999</v>
      </c>
      <c r="V267" s="5">
        <v>137.1</v>
      </c>
      <c r="W267" s="5">
        <v>140.4</v>
      </c>
      <c r="X267" s="5">
        <v>148.1</v>
      </c>
      <c r="Y267" s="5">
        <v>129.30000000000001</v>
      </c>
      <c r="Z267" s="5">
        <v>144.5</v>
      </c>
      <c r="AA267" s="5">
        <v>152.5</v>
      </c>
      <c r="AB267" s="5">
        <v>152.19999999999999</v>
      </c>
      <c r="AC267" s="5">
        <v>142</v>
      </c>
      <c r="AD267" s="12">
        <v>150.80000000000001</v>
      </c>
      <c r="AE267" s="26">
        <f>COUNTIFS($A$2:$A$379,A267,$B$2:$B$379,B268,$C$2:$C$379,C267)</f>
        <v>1</v>
      </c>
    </row>
    <row r="268" spans="1:31">
      <c r="A268" s="11" t="s">
        <v>69</v>
      </c>
      <c r="B268" s="5">
        <v>2020</v>
      </c>
      <c r="C268" s="5" t="s">
        <v>74</v>
      </c>
      <c r="D268" s="5">
        <v>149.6</v>
      </c>
      <c r="E268" s="5">
        <v>192.7</v>
      </c>
      <c r="F268" s="5">
        <v>151.4</v>
      </c>
      <c r="G268" s="5">
        <v>153.30000000000001</v>
      </c>
      <c r="H268" s="5">
        <v>136.30000000000001</v>
      </c>
      <c r="I268" s="5">
        <v>147.19999999999999</v>
      </c>
      <c r="J268" s="5">
        <v>156.5</v>
      </c>
      <c r="K268" s="5">
        <v>150.9</v>
      </c>
      <c r="L268" s="5">
        <v>114.2</v>
      </c>
      <c r="M268" s="5">
        <v>159.5</v>
      </c>
      <c r="N268" s="5">
        <v>139.4</v>
      </c>
      <c r="O268" s="5">
        <v>161.80000000000001</v>
      </c>
      <c r="P268" s="5">
        <v>154</v>
      </c>
      <c r="Q268" s="5">
        <v>183.5</v>
      </c>
      <c r="R268" s="5">
        <v>152.5</v>
      </c>
      <c r="S268" s="5">
        <v>144.4</v>
      </c>
      <c r="T268" s="5">
        <v>151.4</v>
      </c>
      <c r="U268" s="5">
        <v>154.69999999999999</v>
      </c>
      <c r="V268" s="5">
        <v>141.9</v>
      </c>
      <c r="W268" s="5">
        <v>146.4</v>
      </c>
      <c r="X268" s="5">
        <v>154.4</v>
      </c>
      <c r="Y268" s="5">
        <v>135</v>
      </c>
      <c r="Z268" s="5">
        <v>148.30000000000001</v>
      </c>
      <c r="AA268" s="5">
        <v>156.4</v>
      </c>
      <c r="AB268" s="5">
        <v>151.6</v>
      </c>
      <c r="AC268" s="5">
        <v>147</v>
      </c>
      <c r="AD268" s="12">
        <v>151.80000000000001</v>
      </c>
      <c r="AE268" s="26">
        <f>COUNTIFS($A$2:$A$379,A268,$B$2:$B$379,B269,$C$2:$C$379,C268)</f>
        <v>1</v>
      </c>
    </row>
    <row r="269" spans="1:31">
      <c r="A269" s="11" t="s">
        <v>65</v>
      </c>
      <c r="B269" s="5">
        <v>2020</v>
      </c>
      <c r="C269" s="5" t="s">
        <v>75</v>
      </c>
      <c r="D269" s="5">
        <v>148.19999999999999</v>
      </c>
      <c r="E269" s="5">
        <v>190.3</v>
      </c>
      <c r="F269" s="5">
        <v>149.4</v>
      </c>
      <c r="G269" s="5">
        <v>153.30000000000001</v>
      </c>
      <c r="H269" s="5">
        <v>138.19999999999999</v>
      </c>
      <c r="I269" s="5">
        <v>143.19999999999999</v>
      </c>
      <c r="J269" s="5">
        <v>148.9</v>
      </c>
      <c r="K269" s="5">
        <v>150.30000000000001</v>
      </c>
      <c r="L269" s="5">
        <v>113.2</v>
      </c>
      <c r="M269" s="5">
        <v>159.80000000000001</v>
      </c>
      <c r="N269" s="5">
        <v>142.1</v>
      </c>
      <c r="O269" s="5">
        <v>161.80000000000001</v>
      </c>
      <c r="P269" s="5">
        <v>152.30000000000001</v>
      </c>
      <c r="Q269" s="5">
        <v>182.4</v>
      </c>
      <c r="R269" s="5">
        <v>154.69999999999999</v>
      </c>
      <c r="S269" s="5">
        <v>150</v>
      </c>
      <c r="T269" s="5">
        <v>154.1</v>
      </c>
      <c r="U269" s="5" t="s">
        <v>67</v>
      </c>
      <c r="V269" s="5">
        <v>144.9</v>
      </c>
      <c r="W269" s="5">
        <v>151.69999999999999</v>
      </c>
      <c r="X269" s="5">
        <v>158.19999999999999</v>
      </c>
      <c r="Y269" s="5">
        <v>141.4</v>
      </c>
      <c r="Z269" s="5">
        <v>153.19999999999999</v>
      </c>
      <c r="AA269" s="5">
        <v>161.80000000000001</v>
      </c>
      <c r="AB269" s="5">
        <v>151.19999999999999</v>
      </c>
      <c r="AC269" s="5">
        <v>151.69999999999999</v>
      </c>
      <c r="AD269" s="12">
        <v>152.69999999999999</v>
      </c>
      <c r="AE269" s="26">
        <f>COUNTIFS($A$2:$A$379,A269,$B$2:$B$379,B270,$C$2:$C$379,C269)</f>
        <v>1</v>
      </c>
    </row>
    <row r="270" spans="1:31">
      <c r="A270" s="11" t="s">
        <v>68</v>
      </c>
      <c r="B270" s="5">
        <v>2020</v>
      </c>
      <c r="C270" s="5" t="s">
        <v>75</v>
      </c>
      <c r="D270" s="5">
        <v>152.69999999999999</v>
      </c>
      <c r="E270" s="5">
        <v>197</v>
      </c>
      <c r="F270" s="5">
        <v>154.6</v>
      </c>
      <c r="G270" s="5">
        <v>153.4</v>
      </c>
      <c r="H270" s="5">
        <v>132.9</v>
      </c>
      <c r="I270" s="5">
        <v>151.80000000000001</v>
      </c>
      <c r="J270" s="5">
        <v>171.2</v>
      </c>
      <c r="K270" s="5">
        <v>152</v>
      </c>
      <c r="L270" s="5">
        <v>116.3</v>
      </c>
      <c r="M270" s="5">
        <v>158.80000000000001</v>
      </c>
      <c r="N270" s="5">
        <v>135.6</v>
      </c>
      <c r="O270" s="5">
        <v>161.69999999999999</v>
      </c>
      <c r="P270" s="5">
        <v>157</v>
      </c>
      <c r="Q270" s="5">
        <v>186.7</v>
      </c>
      <c r="R270" s="5">
        <v>149.1</v>
      </c>
      <c r="S270" s="5">
        <v>136.6</v>
      </c>
      <c r="T270" s="5">
        <v>147.19999999999999</v>
      </c>
      <c r="U270" s="5">
        <v>154.69999999999999</v>
      </c>
      <c r="V270" s="5">
        <v>137.1</v>
      </c>
      <c r="W270" s="5">
        <v>140.4</v>
      </c>
      <c r="X270" s="5">
        <v>148.1</v>
      </c>
      <c r="Y270" s="5">
        <v>129.30000000000001</v>
      </c>
      <c r="Z270" s="5">
        <v>144.5</v>
      </c>
      <c r="AA270" s="5">
        <v>152.5</v>
      </c>
      <c r="AB270" s="5">
        <v>152.19999999999999</v>
      </c>
      <c r="AC270" s="5">
        <v>142</v>
      </c>
      <c r="AD270" s="12">
        <v>150.80000000000001</v>
      </c>
      <c r="AE270" s="26">
        <f>COUNTIFS($A$2:$A$379,A270,$B$2:$B$379,B271,$C$2:$C$379,C270)</f>
        <v>1</v>
      </c>
    </row>
    <row r="271" spans="1:31">
      <c r="A271" s="11" t="s">
        <v>69</v>
      </c>
      <c r="B271" s="5">
        <v>2020</v>
      </c>
      <c r="C271" s="5" t="s">
        <v>75</v>
      </c>
      <c r="D271" s="5">
        <v>149.6</v>
      </c>
      <c r="E271" s="5">
        <v>192.7</v>
      </c>
      <c r="F271" s="5">
        <v>151.4</v>
      </c>
      <c r="G271" s="5">
        <v>153.30000000000001</v>
      </c>
      <c r="H271" s="5">
        <v>136.30000000000001</v>
      </c>
      <c r="I271" s="5">
        <v>147.19999999999999</v>
      </c>
      <c r="J271" s="5">
        <v>156.5</v>
      </c>
      <c r="K271" s="5">
        <v>150.9</v>
      </c>
      <c r="L271" s="5">
        <v>114.2</v>
      </c>
      <c r="M271" s="5">
        <v>159.5</v>
      </c>
      <c r="N271" s="5">
        <v>139.4</v>
      </c>
      <c r="O271" s="5">
        <v>161.80000000000001</v>
      </c>
      <c r="P271" s="5">
        <v>154</v>
      </c>
      <c r="Q271" s="5">
        <v>183.5</v>
      </c>
      <c r="R271" s="5">
        <v>152.5</v>
      </c>
      <c r="S271" s="5">
        <v>144.4</v>
      </c>
      <c r="T271" s="5">
        <v>151.4</v>
      </c>
      <c r="U271" s="5">
        <v>154.69999999999999</v>
      </c>
      <c r="V271" s="5">
        <v>141.9</v>
      </c>
      <c r="W271" s="5">
        <v>146.4</v>
      </c>
      <c r="X271" s="5">
        <v>154.4</v>
      </c>
      <c r="Y271" s="5">
        <v>135</v>
      </c>
      <c r="Z271" s="5">
        <v>148.30000000000001</v>
      </c>
      <c r="AA271" s="5">
        <v>156.4</v>
      </c>
      <c r="AB271" s="5">
        <v>151.6</v>
      </c>
      <c r="AC271" s="5">
        <v>147</v>
      </c>
      <c r="AD271" s="12">
        <v>151.80000000000001</v>
      </c>
      <c r="AE271" s="26">
        <f>COUNTIFS($A$2:$A$379,A271,$B$2:$B$379,B272,$C$2:$C$379,C271)</f>
        <v>1</v>
      </c>
    </row>
    <row r="272" spans="1:31">
      <c r="A272" s="11" t="s">
        <v>65</v>
      </c>
      <c r="B272" s="5">
        <v>2020</v>
      </c>
      <c r="C272" s="5" t="s">
        <v>76</v>
      </c>
      <c r="D272" s="5">
        <v>147.6</v>
      </c>
      <c r="E272" s="5">
        <v>187.2</v>
      </c>
      <c r="F272" s="5">
        <v>148.4</v>
      </c>
      <c r="G272" s="5">
        <v>153.30000000000001</v>
      </c>
      <c r="H272" s="5">
        <v>139.80000000000001</v>
      </c>
      <c r="I272" s="5">
        <v>146.9</v>
      </c>
      <c r="J272" s="5">
        <v>171</v>
      </c>
      <c r="K272" s="5">
        <v>149.9</v>
      </c>
      <c r="L272" s="5">
        <v>114.2</v>
      </c>
      <c r="M272" s="5">
        <v>160</v>
      </c>
      <c r="N272" s="5">
        <v>143.5</v>
      </c>
      <c r="O272" s="5">
        <v>161.5</v>
      </c>
      <c r="P272" s="5">
        <v>155.30000000000001</v>
      </c>
      <c r="Q272" s="5">
        <v>180.9</v>
      </c>
      <c r="R272" s="5">
        <v>155.1</v>
      </c>
      <c r="S272" s="5">
        <v>149.30000000000001</v>
      </c>
      <c r="T272" s="5">
        <v>154.30000000000001</v>
      </c>
      <c r="U272" s="5" t="s">
        <v>67</v>
      </c>
      <c r="V272" s="5">
        <v>145.80000000000001</v>
      </c>
      <c r="W272" s="5">
        <v>151.9</v>
      </c>
      <c r="X272" s="5">
        <v>158.80000000000001</v>
      </c>
      <c r="Y272" s="5">
        <v>143.6</v>
      </c>
      <c r="Z272" s="5">
        <v>152.19999999999999</v>
      </c>
      <c r="AA272" s="5">
        <v>162.69999999999999</v>
      </c>
      <c r="AB272" s="5">
        <v>153.6</v>
      </c>
      <c r="AC272" s="5">
        <v>153</v>
      </c>
      <c r="AD272" s="12">
        <v>154.69999999999999</v>
      </c>
      <c r="AE272" s="26">
        <f>COUNTIFS($A$2:$A$379,A272,$B$2:$B$379,B273,$C$2:$C$379,C272)</f>
        <v>1</v>
      </c>
    </row>
    <row r="273" spans="1:31">
      <c r="A273" s="11" t="s">
        <v>68</v>
      </c>
      <c r="B273" s="5">
        <v>2020</v>
      </c>
      <c r="C273" s="5" t="s">
        <v>76</v>
      </c>
      <c r="D273" s="5">
        <v>151.6</v>
      </c>
      <c r="E273" s="5">
        <v>197.8</v>
      </c>
      <c r="F273" s="5">
        <v>154.5</v>
      </c>
      <c r="G273" s="5">
        <v>153.4</v>
      </c>
      <c r="H273" s="5">
        <v>133.4</v>
      </c>
      <c r="I273" s="5">
        <v>154.5</v>
      </c>
      <c r="J273" s="5">
        <v>191.9</v>
      </c>
      <c r="K273" s="5">
        <v>151.30000000000001</v>
      </c>
      <c r="L273" s="5">
        <v>116.8</v>
      </c>
      <c r="M273" s="5">
        <v>160</v>
      </c>
      <c r="N273" s="5">
        <v>136.5</v>
      </c>
      <c r="O273" s="5">
        <v>163.30000000000001</v>
      </c>
      <c r="P273" s="5">
        <v>159.9</v>
      </c>
      <c r="Q273" s="5">
        <v>187.2</v>
      </c>
      <c r="R273" s="5">
        <v>150</v>
      </c>
      <c r="S273" s="5">
        <v>135.19999999999999</v>
      </c>
      <c r="T273" s="5">
        <v>147.80000000000001</v>
      </c>
      <c r="U273" s="5">
        <v>155.5</v>
      </c>
      <c r="V273" s="5">
        <v>138.30000000000001</v>
      </c>
      <c r="W273" s="5">
        <v>144.5</v>
      </c>
      <c r="X273" s="5">
        <v>148.69999999999999</v>
      </c>
      <c r="Y273" s="5">
        <v>133.9</v>
      </c>
      <c r="Z273" s="5">
        <v>141.19999999999999</v>
      </c>
      <c r="AA273" s="5">
        <v>155.5</v>
      </c>
      <c r="AB273" s="5">
        <v>155.19999999999999</v>
      </c>
      <c r="AC273" s="5">
        <v>144.80000000000001</v>
      </c>
      <c r="AD273" s="12">
        <v>152.9</v>
      </c>
      <c r="AE273" s="26">
        <f>COUNTIFS($A$2:$A$379,A273,$B$2:$B$379,B274,$C$2:$C$379,C273)</f>
        <v>1</v>
      </c>
    </row>
    <row r="274" spans="1:31">
      <c r="A274" s="11" t="s">
        <v>69</v>
      </c>
      <c r="B274" s="5">
        <v>2020</v>
      </c>
      <c r="C274" s="5" t="s">
        <v>76</v>
      </c>
      <c r="D274" s="5">
        <v>148.9</v>
      </c>
      <c r="E274" s="5">
        <v>190.9</v>
      </c>
      <c r="F274" s="5">
        <v>150.80000000000001</v>
      </c>
      <c r="G274" s="5">
        <v>153.30000000000001</v>
      </c>
      <c r="H274" s="5">
        <v>137.4</v>
      </c>
      <c r="I274" s="5">
        <v>150.4</v>
      </c>
      <c r="J274" s="5">
        <v>178.1</v>
      </c>
      <c r="K274" s="5">
        <v>150.4</v>
      </c>
      <c r="L274" s="5">
        <v>115.1</v>
      </c>
      <c r="M274" s="5">
        <v>160</v>
      </c>
      <c r="N274" s="5">
        <v>140.6</v>
      </c>
      <c r="O274" s="5">
        <v>162.30000000000001</v>
      </c>
      <c r="P274" s="5">
        <v>157</v>
      </c>
      <c r="Q274" s="5">
        <v>182.6</v>
      </c>
      <c r="R274" s="5">
        <v>153.1</v>
      </c>
      <c r="S274" s="5">
        <v>143.4</v>
      </c>
      <c r="T274" s="5">
        <v>151.69999999999999</v>
      </c>
      <c r="U274" s="5">
        <v>155.5</v>
      </c>
      <c r="V274" s="5">
        <v>143</v>
      </c>
      <c r="W274" s="5">
        <v>148.4</v>
      </c>
      <c r="X274" s="5">
        <v>155</v>
      </c>
      <c r="Y274" s="5">
        <v>138.5</v>
      </c>
      <c r="Z274" s="5">
        <v>146</v>
      </c>
      <c r="AA274" s="5">
        <v>158.5</v>
      </c>
      <c r="AB274" s="5">
        <v>154.30000000000001</v>
      </c>
      <c r="AC274" s="5">
        <v>149</v>
      </c>
      <c r="AD274" s="12">
        <v>153.9</v>
      </c>
      <c r="AE274" s="26">
        <f>COUNTIFS($A$2:$A$379,A274,$B$2:$B$379,B275,$C$2:$C$379,C274)</f>
        <v>1</v>
      </c>
    </row>
    <row r="275" spans="1:31">
      <c r="A275" s="11" t="s">
        <v>65</v>
      </c>
      <c r="B275" s="5">
        <v>2020</v>
      </c>
      <c r="C275" s="5" t="s">
        <v>77</v>
      </c>
      <c r="D275" s="5">
        <v>146.9</v>
      </c>
      <c r="E275" s="5">
        <v>183.9</v>
      </c>
      <c r="F275" s="5">
        <v>149.5</v>
      </c>
      <c r="G275" s="5">
        <v>153.4</v>
      </c>
      <c r="H275" s="5">
        <v>140.4</v>
      </c>
      <c r="I275" s="5">
        <v>147</v>
      </c>
      <c r="J275" s="5">
        <v>178.8</v>
      </c>
      <c r="K275" s="5">
        <v>149.30000000000001</v>
      </c>
      <c r="L275" s="5">
        <v>115.1</v>
      </c>
      <c r="M275" s="5">
        <v>160</v>
      </c>
      <c r="N275" s="5">
        <v>145.4</v>
      </c>
      <c r="O275" s="5">
        <v>161.6</v>
      </c>
      <c r="P275" s="5">
        <v>156.1</v>
      </c>
      <c r="Q275" s="5">
        <v>182.9</v>
      </c>
      <c r="R275" s="5">
        <v>155.4</v>
      </c>
      <c r="S275" s="5">
        <v>149.9</v>
      </c>
      <c r="T275" s="5">
        <v>154.6</v>
      </c>
      <c r="U275" s="5" t="s">
        <v>67</v>
      </c>
      <c r="V275" s="5">
        <v>146.4</v>
      </c>
      <c r="W275" s="5">
        <v>151.6</v>
      </c>
      <c r="X275" s="5">
        <v>159.1</v>
      </c>
      <c r="Y275" s="5">
        <v>144.6</v>
      </c>
      <c r="Z275" s="5">
        <v>152.80000000000001</v>
      </c>
      <c r="AA275" s="5">
        <v>161.1</v>
      </c>
      <c r="AB275" s="5">
        <v>157.4</v>
      </c>
      <c r="AC275" s="5">
        <v>153.69999999999999</v>
      </c>
      <c r="AD275" s="12">
        <v>155.4</v>
      </c>
      <c r="AE275" s="26">
        <f>COUNTIFS($A$2:$A$379,A275,$B$2:$B$379,B276,$C$2:$C$379,C275)</f>
        <v>1</v>
      </c>
    </row>
    <row r="276" spans="1:31">
      <c r="A276" s="11" t="s">
        <v>68</v>
      </c>
      <c r="B276" s="5">
        <v>2020</v>
      </c>
      <c r="C276" s="5" t="s">
        <v>77</v>
      </c>
      <c r="D276" s="5">
        <v>151.5</v>
      </c>
      <c r="E276" s="5">
        <v>193.1</v>
      </c>
      <c r="F276" s="5">
        <v>157.30000000000001</v>
      </c>
      <c r="G276" s="5">
        <v>153.9</v>
      </c>
      <c r="H276" s="5">
        <v>134.4</v>
      </c>
      <c r="I276" s="5">
        <v>155.4</v>
      </c>
      <c r="J276" s="5">
        <v>202</v>
      </c>
      <c r="K276" s="5">
        <v>150.80000000000001</v>
      </c>
      <c r="L276" s="5">
        <v>118.9</v>
      </c>
      <c r="M276" s="5">
        <v>160.9</v>
      </c>
      <c r="N276" s="5">
        <v>137.69999999999999</v>
      </c>
      <c r="O276" s="5">
        <v>164.4</v>
      </c>
      <c r="P276" s="5">
        <v>161.30000000000001</v>
      </c>
      <c r="Q276" s="5">
        <v>188.7</v>
      </c>
      <c r="R276" s="5">
        <v>150.19999999999999</v>
      </c>
      <c r="S276" s="5">
        <v>136.30000000000001</v>
      </c>
      <c r="T276" s="5">
        <v>148.1</v>
      </c>
      <c r="U276" s="5">
        <v>156.30000000000001</v>
      </c>
      <c r="V276" s="5">
        <v>137.19999999999999</v>
      </c>
      <c r="W276" s="5">
        <v>145.4</v>
      </c>
      <c r="X276" s="5">
        <v>150</v>
      </c>
      <c r="Y276" s="5">
        <v>135.1</v>
      </c>
      <c r="Z276" s="5">
        <v>141.80000000000001</v>
      </c>
      <c r="AA276" s="5">
        <v>154.9</v>
      </c>
      <c r="AB276" s="5">
        <v>159.80000000000001</v>
      </c>
      <c r="AC276" s="5">
        <v>146</v>
      </c>
      <c r="AD276" s="12">
        <v>154</v>
      </c>
      <c r="AE276" s="26">
        <f>COUNTIFS($A$2:$A$379,A276,$B$2:$B$379,B277,$C$2:$C$379,C276)</f>
        <v>1</v>
      </c>
    </row>
    <row r="277" spans="1:31">
      <c r="A277" s="11" t="s">
        <v>69</v>
      </c>
      <c r="B277" s="5">
        <v>2020</v>
      </c>
      <c r="C277" s="5" t="s">
        <v>77</v>
      </c>
      <c r="D277" s="5">
        <v>148.4</v>
      </c>
      <c r="E277" s="5">
        <v>187.1</v>
      </c>
      <c r="F277" s="5">
        <v>152.5</v>
      </c>
      <c r="G277" s="5">
        <v>153.6</v>
      </c>
      <c r="H277" s="5">
        <v>138.19999999999999</v>
      </c>
      <c r="I277" s="5">
        <v>150.9</v>
      </c>
      <c r="J277" s="5">
        <v>186.7</v>
      </c>
      <c r="K277" s="5">
        <v>149.80000000000001</v>
      </c>
      <c r="L277" s="5">
        <v>116.4</v>
      </c>
      <c r="M277" s="5">
        <v>160.30000000000001</v>
      </c>
      <c r="N277" s="5">
        <v>142.19999999999999</v>
      </c>
      <c r="O277" s="5">
        <v>162.9</v>
      </c>
      <c r="P277" s="5">
        <v>158</v>
      </c>
      <c r="Q277" s="5">
        <v>184.4</v>
      </c>
      <c r="R277" s="5">
        <v>153.4</v>
      </c>
      <c r="S277" s="5">
        <v>144.30000000000001</v>
      </c>
      <c r="T277" s="5">
        <v>152</v>
      </c>
      <c r="U277" s="5">
        <v>156.30000000000001</v>
      </c>
      <c r="V277" s="5">
        <v>142.9</v>
      </c>
      <c r="W277" s="5">
        <v>148.69999999999999</v>
      </c>
      <c r="X277" s="5">
        <v>155.6</v>
      </c>
      <c r="Y277" s="5">
        <v>139.6</v>
      </c>
      <c r="Z277" s="5">
        <v>146.6</v>
      </c>
      <c r="AA277" s="5">
        <v>157.5</v>
      </c>
      <c r="AB277" s="5">
        <v>158.4</v>
      </c>
      <c r="AC277" s="5">
        <v>150</v>
      </c>
      <c r="AD277" s="12">
        <v>154.69999999999999</v>
      </c>
      <c r="AE277" s="26">
        <f>COUNTIFS($A$2:$A$379,A277,$B$2:$B$379,B278,$C$2:$C$379,C277)</f>
        <v>1</v>
      </c>
    </row>
    <row r="278" spans="1:31">
      <c r="A278" s="11" t="s">
        <v>65</v>
      </c>
      <c r="B278" s="5">
        <v>2020</v>
      </c>
      <c r="C278" s="5" t="s">
        <v>78</v>
      </c>
      <c r="D278" s="5">
        <v>146</v>
      </c>
      <c r="E278" s="5">
        <v>186.3</v>
      </c>
      <c r="F278" s="5">
        <v>159.19999999999999</v>
      </c>
      <c r="G278" s="5">
        <v>153.6</v>
      </c>
      <c r="H278" s="5">
        <v>142.6</v>
      </c>
      <c r="I278" s="5">
        <v>147.19999999999999</v>
      </c>
      <c r="J278" s="5">
        <v>200.6</v>
      </c>
      <c r="K278" s="5">
        <v>150.30000000000001</v>
      </c>
      <c r="L278" s="5">
        <v>115.3</v>
      </c>
      <c r="M278" s="5">
        <v>160.9</v>
      </c>
      <c r="N278" s="5">
        <v>147.4</v>
      </c>
      <c r="O278" s="5">
        <v>161.9</v>
      </c>
      <c r="P278" s="5">
        <v>159.6</v>
      </c>
      <c r="Q278" s="5">
        <v>182.7</v>
      </c>
      <c r="R278" s="5">
        <v>155.69999999999999</v>
      </c>
      <c r="S278" s="5">
        <v>150.6</v>
      </c>
      <c r="T278" s="5">
        <v>155</v>
      </c>
      <c r="U278" s="5" t="s">
        <v>67</v>
      </c>
      <c r="V278" s="5">
        <v>146.80000000000001</v>
      </c>
      <c r="W278" s="5">
        <v>152</v>
      </c>
      <c r="X278" s="5">
        <v>159.5</v>
      </c>
      <c r="Y278" s="5">
        <v>146.4</v>
      </c>
      <c r="Z278" s="5">
        <v>152.4</v>
      </c>
      <c r="AA278" s="5">
        <v>162.5</v>
      </c>
      <c r="AB278" s="5">
        <v>156.19999999999999</v>
      </c>
      <c r="AC278" s="5">
        <v>154.30000000000001</v>
      </c>
      <c r="AD278" s="12">
        <v>157.5</v>
      </c>
      <c r="AE278" s="26">
        <f>COUNTIFS($A$2:$A$379,A278,$B$2:$B$379,B279,$C$2:$C$379,C278)</f>
        <v>1</v>
      </c>
    </row>
    <row r="279" spans="1:31">
      <c r="A279" s="11" t="s">
        <v>68</v>
      </c>
      <c r="B279" s="5">
        <v>2020</v>
      </c>
      <c r="C279" s="5" t="s">
        <v>78</v>
      </c>
      <c r="D279" s="5">
        <v>150.6</v>
      </c>
      <c r="E279" s="5">
        <v>193.7</v>
      </c>
      <c r="F279" s="5">
        <v>164.8</v>
      </c>
      <c r="G279" s="5">
        <v>153.69999999999999</v>
      </c>
      <c r="H279" s="5">
        <v>135.69999999999999</v>
      </c>
      <c r="I279" s="5">
        <v>155.69999999999999</v>
      </c>
      <c r="J279" s="5">
        <v>226</v>
      </c>
      <c r="K279" s="5">
        <v>152.19999999999999</v>
      </c>
      <c r="L279" s="5">
        <v>118.1</v>
      </c>
      <c r="M279" s="5">
        <v>161.30000000000001</v>
      </c>
      <c r="N279" s="5">
        <v>139.19999999999999</v>
      </c>
      <c r="O279" s="5">
        <v>164.8</v>
      </c>
      <c r="P279" s="5">
        <v>164.4</v>
      </c>
      <c r="Q279" s="5">
        <v>188.7</v>
      </c>
      <c r="R279" s="5">
        <v>150.5</v>
      </c>
      <c r="S279" s="5">
        <v>136.1</v>
      </c>
      <c r="T279" s="5">
        <v>148.30000000000001</v>
      </c>
      <c r="U279" s="5">
        <v>156.5</v>
      </c>
      <c r="V279" s="5">
        <v>137.1</v>
      </c>
      <c r="W279" s="5">
        <v>145.1</v>
      </c>
      <c r="X279" s="5">
        <v>151</v>
      </c>
      <c r="Y279" s="5">
        <v>135.4</v>
      </c>
      <c r="Z279" s="5">
        <v>142</v>
      </c>
      <c r="AA279" s="5">
        <v>155.69999999999999</v>
      </c>
      <c r="AB279" s="5">
        <v>158.1</v>
      </c>
      <c r="AC279" s="5">
        <v>146.19999999999999</v>
      </c>
      <c r="AD279" s="12">
        <v>155.19999999999999</v>
      </c>
      <c r="AE279" s="26">
        <f>COUNTIFS($A$2:$A$379,A279,$B$2:$B$379,B280,$C$2:$C$379,C279)</f>
        <v>1</v>
      </c>
    </row>
    <row r="280" spans="1:31">
      <c r="A280" s="11" t="s">
        <v>69</v>
      </c>
      <c r="B280" s="5">
        <v>2020</v>
      </c>
      <c r="C280" s="5" t="s">
        <v>78</v>
      </c>
      <c r="D280" s="5">
        <v>147.5</v>
      </c>
      <c r="E280" s="5">
        <v>188.9</v>
      </c>
      <c r="F280" s="5">
        <v>161.4</v>
      </c>
      <c r="G280" s="5">
        <v>153.6</v>
      </c>
      <c r="H280" s="5">
        <v>140.1</v>
      </c>
      <c r="I280" s="5">
        <v>151.19999999999999</v>
      </c>
      <c r="J280" s="5">
        <v>209.2</v>
      </c>
      <c r="K280" s="5">
        <v>150.9</v>
      </c>
      <c r="L280" s="5">
        <v>116.2</v>
      </c>
      <c r="M280" s="5">
        <v>161</v>
      </c>
      <c r="N280" s="5">
        <v>144</v>
      </c>
      <c r="O280" s="5">
        <v>163.19999999999999</v>
      </c>
      <c r="P280" s="5">
        <v>161.4</v>
      </c>
      <c r="Q280" s="5">
        <v>184.3</v>
      </c>
      <c r="R280" s="5">
        <v>153.69999999999999</v>
      </c>
      <c r="S280" s="5">
        <v>144.6</v>
      </c>
      <c r="T280" s="5">
        <v>152.30000000000001</v>
      </c>
      <c r="U280" s="5">
        <v>156.5</v>
      </c>
      <c r="V280" s="5">
        <v>143.1</v>
      </c>
      <c r="W280" s="5">
        <v>148.69999999999999</v>
      </c>
      <c r="X280" s="5">
        <v>156.30000000000001</v>
      </c>
      <c r="Y280" s="5">
        <v>140.6</v>
      </c>
      <c r="Z280" s="5">
        <v>146.5</v>
      </c>
      <c r="AA280" s="5">
        <v>158.5</v>
      </c>
      <c r="AB280" s="5">
        <v>157</v>
      </c>
      <c r="AC280" s="5">
        <v>150.4</v>
      </c>
      <c r="AD280" s="12">
        <v>156.4</v>
      </c>
      <c r="AE280" s="26">
        <f>COUNTIFS($A$2:$A$379,A280,$B$2:$B$379,B281,$C$2:$C$379,C280)</f>
        <v>1</v>
      </c>
    </row>
    <row r="281" spans="1:31">
      <c r="A281" s="11" t="s">
        <v>65</v>
      </c>
      <c r="B281" s="5">
        <v>2020</v>
      </c>
      <c r="C281" s="5" t="s">
        <v>79</v>
      </c>
      <c r="D281" s="5">
        <v>145.4</v>
      </c>
      <c r="E281" s="5">
        <v>188.6</v>
      </c>
      <c r="F281" s="5">
        <v>171.6</v>
      </c>
      <c r="G281" s="5">
        <v>153.80000000000001</v>
      </c>
      <c r="H281" s="5">
        <v>145.4</v>
      </c>
      <c r="I281" s="5">
        <v>146.5</v>
      </c>
      <c r="J281" s="5">
        <v>222.2</v>
      </c>
      <c r="K281" s="5">
        <v>155.9</v>
      </c>
      <c r="L281" s="5">
        <v>114.9</v>
      </c>
      <c r="M281" s="5">
        <v>162</v>
      </c>
      <c r="N281" s="5">
        <v>150</v>
      </c>
      <c r="O281" s="5">
        <v>162.69999999999999</v>
      </c>
      <c r="P281" s="5">
        <v>163.4</v>
      </c>
      <c r="Q281" s="5">
        <v>183.4</v>
      </c>
      <c r="R281" s="5">
        <v>156.30000000000001</v>
      </c>
      <c r="S281" s="5">
        <v>151</v>
      </c>
      <c r="T281" s="5">
        <v>155.5</v>
      </c>
      <c r="U281" s="5" t="s">
        <v>67</v>
      </c>
      <c r="V281" s="5">
        <v>147.5</v>
      </c>
      <c r="W281" s="5">
        <v>152.80000000000001</v>
      </c>
      <c r="X281" s="5">
        <v>160.4</v>
      </c>
      <c r="Y281" s="5">
        <v>146.1</v>
      </c>
      <c r="Z281" s="5">
        <v>153.6</v>
      </c>
      <c r="AA281" s="5">
        <v>161.6</v>
      </c>
      <c r="AB281" s="5">
        <v>156.19999999999999</v>
      </c>
      <c r="AC281" s="5">
        <v>154.5</v>
      </c>
      <c r="AD281" s="12">
        <v>159.80000000000001</v>
      </c>
      <c r="AE281" s="26">
        <f>COUNTIFS($A$2:$A$379,A281,$B$2:$B$379,B282,$C$2:$C$379,C281)</f>
        <v>1</v>
      </c>
    </row>
    <row r="282" spans="1:31">
      <c r="A282" s="11" t="s">
        <v>68</v>
      </c>
      <c r="B282" s="5">
        <v>2020</v>
      </c>
      <c r="C282" s="5" t="s">
        <v>79</v>
      </c>
      <c r="D282" s="5">
        <v>149.69999999999999</v>
      </c>
      <c r="E282" s="5">
        <v>195.5</v>
      </c>
      <c r="F282" s="5">
        <v>176.9</v>
      </c>
      <c r="G282" s="5">
        <v>153.9</v>
      </c>
      <c r="H282" s="5">
        <v>138</v>
      </c>
      <c r="I282" s="5">
        <v>150.5</v>
      </c>
      <c r="J282" s="5">
        <v>245.3</v>
      </c>
      <c r="K282" s="5">
        <v>158.69999999999999</v>
      </c>
      <c r="L282" s="5">
        <v>117.2</v>
      </c>
      <c r="M282" s="5">
        <v>161.4</v>
      </c>
      <c r="N282" s="5">
        <v>141.5</v>
      </c>
      <c r="O282" s="5">
        <v>165.1</v>
      </c>
      <c r="P282" s="5">
        <v>167</v>
      </c>
      <c r="Q282" s="5">
        <v>188.8</v>
      </c>
      <c r="R282" s="5">
        <v>151.1</v>
      </c>
      <c r="S282" s="5">
        <v>136.4</v>
      </c>
      <c r="T282" s="5">
        <v>148.80000000000001</v>
      </c>
      <c r="U282" s="5">
        <v>158</v>
      </c>
      <c r="V282" s="5">
        <v>137.30000000000001</v>
      </c>
      <c r="W282" s="5">
        <v>145.1</v>
      </c>
      <c r="X282" s="5">
        <v>152</v>
      </c>
      <c r="Y282" s="5">
        <v>135.19999999999999</v>
      </c>
      <c r="Z282" s="5">
        <v>144.4</v>
      </c>
      <c r="AA282" s="5">
        <v>156.4</v>
      </c>
      <c r="AB282" s="5">
        <v>157.9</v>
      </c>
      <c r="AC282" s="5">
        <v>146.6</v>
      </c>
      <c r="AD282" s="12">
        <v>156.69999999999999</v>
      </c>
      <c r="AE282" s="26">
        <f>COUNTIFS($A$2:$A$379,A282,$B$2:$B$379,B283,$C$2:$C$379,C282)</f>
        <v>1</v>
      </c>
    </row>
    <row r="283" spans="1:31">
      <c r="A283" s="11" t="s">
        <v>69</v>
      </c>
      <c r="B283" s="5">
        <v>2020</v>
      </c>
      <c r="C283" s="5" t="s">
        <v>79</v>
      </c>
      <c r="D283" s="5">
        <v>146.80000000000001</v>
      </c>
      <c r="E283" s="5">
        <v>191</v>
      </c>
      <c r="F283" s="5">
        <v>173.6</v>
      </c>
      <c r="G283" s="5">
        <v>153.80000000000001</v>
      </c>
      <c r="H283" s="5">
        <v>142.69999999999999</v>
      </c>
      <c r="I283" s="5">
        <v>148.4</v>
      </c>
      <c r="J283" s="5">
        <v>230</v>
      </c>
      <c r="K283" s="5">
        <v>156.80000000000001</v>
      </c>
      <c r="L283" s="5">
        <v>115.7</v>
      </c>
      <c r="M283" s="5">
        <v>161.80000000000001</v>
      </c>
      <c r="N283" s="5">
        <v>146.5</v>
      </c>
      <c r="O283" s="5">
        <v>163.80000000000001</v>
      </c>
      <c r="P283" s="5">
        <v>164.7</v>
      </c>
      <c r="Q283" s="5">
        <v>184.8</v>
      </c>
      <c r="R283" s="5">
        <v>154.30000000000001</v>
      </c>
      <c r="S283" s="5">
        <v>144.9</v>
      </c>
      <c r="T283" s="5">
        <v>152.80000000000001</v>
      </c>
      <c r="U283" s="5">
        <v>158</v>
      </c>
      <c r="V283" s="5">
        <v>143.6</v>
      </c>
      <c r="W283" s="5">
        <v>149.19999999999999</v>
      </c>
      <c r="X283" s="5">
        <v>157.19999999999999</v>
      </c>
      <c r="Y283" s="5">
        <v>140.4</v>
      </c>
      <c r="Z283" s="5">
        <v>148.4</v>
      </c>
      <c r="AA283" s="5">
        <v>158.6</v>
      </c>
      <c r="AB283" s="5">
        <v>156.9</v>
      </c>
      <c r="AC283" s="5">
        <v>150.69999999999999</v>
      </c>
      <c r="AD283" s="12">
        <v>158.4</v>
      </c>
      <c r="AE283" s="26">
        <f>COUNTIFS($A$2:$A$379,A283,$B$2:$B$379,B284,$C$2:$C$379,C283)</f>
        <v>1</v>
      </c>
    </row>
    <row r="284" spans="1:31">
      <c r="A284" s="11" t="s">
        <v>65</v>
      </c>
      <c r="B284" s="5">
        <v>2020</v>
      </c>
      <c r="C284" s="5" t="s">
        <v>80</v>
      </c>
      <c r="D284" s="5">
        <v>144.6</v>
      </c>
      <c r="E284" s="5">
        <v>188.5</v>
      </c>
      <c r="F284" s="5">
        <v>173.4</v>
      </c>
      <c r="G284" s="5">
        <v>154</v>
      </c>
      <c r="H284" s="5">
        <v>150</v>
      </c>
      <c r="I284" s="5">
        <v>145.9</v>
      </c>
      <c r="J284" s="5">
        <v>225.2</v>
      </c>
      <c r="K284" s="5">
        <v>159.5</v>
      </c>
      <c r="L284" s="5">
        <v>114.4</v>
      </c>
      <c r="M284" s="5">
        <v>163.5</v>
      </c>
      <c r="N284" s="5">
        <v>153.4</v>
      </c>
      <c r="O284" s="5">
        <v>163.6</v>
      </c>
      <c r="P284" s="5">
        <v>164.5</v>
      </c>
      <c r="Q284" s="5">
        <v>183.6</v>
      </c>
      <c r="R284" s="5">
        <v>157</v>
      </c>
      <c r="S284" s="5">
        <v>151.6</v>
      </c>
      <c r="T284" s="5">
        <v>156.30000000000001</v>
      </c>
      <c r="U284" s="5" t="s">
        <v>67</v>
      </c>
      <c r="V284" s="5">
        <v>148.69999999999999</v>
      </c>
      <c r="W284" s="5">
        <v>153.4</v>
      </c>
      <c r="X284" s="5">
        <v>161.6</v>
      </c>
      <c r="Y284" s="5">
        <v>146.4</v>
      </c>
      <c r="Z284" s="5">
        <v>153.9</v>
      </c>
      <c r="AA284" s="5">
        <v>162.9</v>
      </c>
      <c r="AB284" s="5">
        <v>156.6</v>
      </c>
      <c r="AC284" s="5">
        <v>155.19999999999999</v>
      </c>
      <c r="AD284" s="12">
        <v>160.69999999999999</v>
      </c>
      <c r="AE284" s="26">
        <f>COUNTIFS($A$2:$A$379,A284,$B$2:$B$379,B285,$C$2:$C$379,C284)</f>
        <v>1</v>
      </c>
    </row>
    <row r="285" spans="1:31">
      <c r="A285" s="11" t="s">
        <v>68</v>
      </c>
      <c r="B285" s="5">
        <v>2020</v>
      </c>
      <c r="C285" s="5" t="s">
        <v>80</v>
      </c>
      <c r="D285" s="5">
        <v>149</v>
      </c>
      <c r="E285" s="5">
        <v>195.7</v>
      </c>
      <c r="F285" s="5">
        <v>178.3</v>
      </c>
      <c r="G285" s="5">
        <v>154.19999999999999</v>
      </c>
      <c r="H285" s="5">
        <v>140.69999999999999</v>
      </c>
      <c r="I285" s="5">
        <v>149.69999999999999</v>
      </c>
      <c r="J285" s="5">
        <v>240.9</v>
      </c>
      <c r="K285" s="5">
        <v>161.5</v>
      </c>
      <c r="L285" s="5">
        <v>117.1</v>
      </c>
      <c r="M285" s="5">
        <v>161.9</v>
      </c>
      <c r="N285" s="5">
        <v>143.30000000000001</v>
      </c>
      <c r="O285" s="5">
        <v>166.1</v>
      </c>
      <c r="P285" s="5">
        <v>167</v>
      </c>
      <c r="Q285" s="5">
        <v>190.2</v>
      </c>
      <c r="R285" s="5">
        <v>151.9</v>
      </c>
      <c r="S285" s="5">
        <v>136.69999999999999</v>
      </c>
      <c r="T285" s="5">
        <v>149.6</v>
      </c>
      <c r="U285" s="5">
        <v>158.4</v>
      </c>
      <c r="V285" s="5">
        <v>137.9</v>
      </c>
      <c r="W285" s="5">
        <v>145.5</v>
      </c>
      <c r="X285" s="5">
        <v>152.9</v>
      </c>
      <c r="Y285" s="5">
        <v>135.5</v>
      </c>
      <c r="Z285" s="5">
        <v>144.30000000000001</v>
      </c>
      <c r="AA285" s="5">
        <v>156.9</v>
      </c>
      <c r="AB285" s="5">
        <v>157.9</v>
      </c>
      <c r="AC285" s="5">
        <v>146.9</v>
      </c>
      <c r="AD285" s="12">
        <v>156.9</v>
      </c>
      <c r="AE285" s="26">
        <f>COUNTIFS($A$2:$A$379,A285,$B$2:$B$379,B286,$C$2:$C$379,C285)</f>
        <v>1</v>
      </c>
    </row>
    <row r="286" spans="1:31">
      <c r="A286" s="11" t="s">
        <v>69</v>
      </c>
      <c r="B286" s="5">
        <v>2020</v>
      </c>
      <c r="C286" s="5" t="s">
        <v>80</v>
      </c>
      <c r="D286" s="5">
        <v>146</v>
      </c>
      <c r="E286" s="5">
        <v>191</v>
      </c>
      <c r="F286" s="5">
        <v>175.3</v>
      </c>
      <c r="G286" s="5">
        <v>154.1</v>
      </c>
      <c r="H286" s="5">
        <v>146.6</v>
      </c>
      <c r="I286" s="5">
        <v>147.69999999999999</v>
      </c>
      <c r="J286" s="5">
        <v>230.5</v>
      </c>
      <c r="K286" s="5">
        <v>160.19999999999999</v>
      </c>
      <c r="L286" s="5">
        <v>115.3</v>
      </c>
      <c r="M286" s="5">
        <v>163</v>
      </c>
      <c r="N286" s="5">
        <v>149.19999999999999</v>
      </c>
      <c r="O286" s="5">
        <v>164.8</v>
      </c>
      <c r="P286" s="5">
        <v>165.4</v>
      </c>
      <c r="Q286" s="5">
        <v>185.4</v>
      </c>
      <c r="R286" s="5">
        <v>155</v>
      </c>
      <c r="S286" s="5">
        <v>145.4</v>
      </c>
      <c r="T286" s="5">
        <v>153.6</v>
      </c>
      <c r="U286" s="5">
        <v>158.4</v>
      </c>
      <c r="V286" s="5">
        <v>144.6</v>
      </c>
      <c r="W286" s="5">
        <v>149.69999999999999</v>
      </c>
      <c r="X286" s="5">
        <v>158.30000000000001</v>
      </c>
      <c r="Y286" s="5">
        <v>140.69999999999999</v>
      </c>
      <c r="Z286" s="5">
        <v>148.5</v>
      </c>
      <c r="AA286" s="5">
        <v>159.4</v>
      </c>
      <c r="AB286" s="5">
        <v>157.1</v>
      </c>
      <c r="AC286" s="5">
        <v>151.19999999999999</v>
      </c>
      <c r="AD286" s="12">
        <v>158.9</v>
      </c>
      <c r="AE286" s="26">
        <f>COUNTIFS($A$2:$A$379,A286,$B$2:$B$379,B287,$C$2:$C$379,C286)</f>
        <v>1</v>
      </c>
    </row>
    <row r="287" spans="1:31">
      <c r="A287" s="11" t="s">
        <v>65</v>
      </c>
      <c r="B287" s="5">
        <v>2021</v>
      </c>
      <c r="C287" s="5" t="s">
        <v>66</v>
      </c>
      <c r="D287" s="5">
        <v>143.4</v>
      </c>
      <c r="E287" s="5">
        <v>187.5</v>
      </c>
      <c r="F287" s="5">
        <v>173.4</v>
      </c>
      <c r="G287" s="5">
        <v>154</v>
      </c>
      <c r="H287" s="5">
        <v>154.80000000000001</v>
      </c>
      <c r="I287" s="5">
        <v>147</v>
      </c>
      <c r="J287" s="5">
        <v>187.8</v>
      </c>
      <c r="K287" s="5">
        <v>159.5</v>
      </c>
      <c r="L287" s="5">
        <v>113.8</v>
      </c>
      <c r="M287" s="5">
        <v>164.5</v>
      </c>
      <c r="N287" s="5">
        <v>156.1</v>
      </c>
      <c r="O287" s="5">
        <v>164.3</v>
      </c>
      <c r="P287" s="5">
        <v>159.6</v>
      </c>
      <c r="Q287" s="5">
        <v>184.6</v>
      </c>
      <c r="R287" s="5">
        <v>157.5</v>
      </c>
      <c r="S287" s="5">
        <v>152.4</v>
      </c>
      <c r="T287" s="5">
        <v>156.80000000000001</v>
      </c>
      <c r="U287" s="5" t="s">
        <v>67</v>
      </c>
      <c r="V287" s="5">
        <v>150.9</v>
      </c>
      <c r="W287" s="5">
        <v>153.9</v>
      </c>
      <c r="X287" s="5">
        <v>162.5</v>
      </c>
      <c r="Y287" s="5">
        <v>147.5</v>
      </c>
      <c r="Z287" s="5">
        <v>155.1</v>
      </c>
      <c r="AA287" s="5">
        <v>163.5</v>
      </c>
      <c r="AB287" s="5">
        <v>156.19999999999999</v>
      </c>
      <c r="AC287" s="5">
        <v>155.9</v>
      </c>
      <c r="AD287" s="12">
        <v>158.5</v>
      </c>
      <c r="AE287" s="26">
        <f>COUNTIFS($A$2:$A$379,A287,$B$2:$B$379,B288,$C$2:$C$379,C287)</f>
        <v>1</v>
      </c>
    </row>
    <row r="288" spans="1:31">
      <c r="A288" s="11" t="s">
        <v>68</v>
      </c>
      <c r="B288" s="5">
        <v>2021</v>
      </c>
      <c r="C288" s="5" t="s">
        <v>66</v>
      </c>
      <c r="D288" s="5">
        <v>148</v>
      </c>
      <c r="E288" s="5">
        <v>194.8</v>
      </c>
      <c r="F288" s="5">
        <v>178.4</v>
      </c>
      <c r="G288" s="5">
        <v>154.4</v>
      </c>
      <c r="H288" s="5">
        <v>144.1</v>
      </c>
      <c r="I288" s="5">
        <v>152.6</v>
      </c>
      <c r="J288" s="5">
        <v>206.8</v>
      </c>
      <c r="K288" s="5">
        <v>162.1</v>
      </c>
      <c r="L288" s="5">
        <v>116.3</v>
      </c>
      <c r="M288" s="5">
        <v>163</v>
      </c>
      <c r="N288" s="5">
        <v>145.9</v>
      </c>
      <c r="O288" s="5">
        <v>167.2</v>
      </c>
      <c r="P288" s="5">
        <v>163.4</v>
      </c>
      <c r="Q288" s="5">
        <v>191.8</v>
      </c>
      <c r="R288" s="5">
        <v>152.5</v>
      </c>
      <c r="S288" s="5">
        <v>137.30000000000001</v>
      </c>
      <c r="T288" s="5">
        <v>150.19999999999999</v>
      </c>
      <c r="U288" s="5">
        <v>157.69999999999999</v>
      </c>
      <c r="V288" s="5">
        <v>142.9</v>
      </c>
      <c r="W288" s="5">
        <v>145.69999999999999</v>
      </c>
      <c r="X288" s="5">
        <v>154.1</v>
      </c>
      <c r="Y288" s="5">
        <v>136.9</v>
      </c>
      <c r="Z288" s="5">
        <v>145.4</v>
      </c>
      <c r="AA288" s="5">
        <v>156.1</v>
      </c>
      <c r="AB288" s="5">
        <v>157.69999999999999</v>
      </c>
      <c r="AC288" s="5">
        <v>147.6</v>
      </c>
      <c r="AD288" s="12">
        <v>156</v>
      </c>
      <c r="AE288" s="26">
        <f>COUNTIFS($A$2:$A$379,A288,$B$2:$B$379,B289,$C$2:$C$379,C288)</f>
        <v>1</v>
      </c>
    </row>
    <row r="289" spans="1:31">
      <c r="A289" s="11" t="s">
        <v>69</v>
      </c>
      <c r="B289" s="5">
        <v>2021</v>
      </c>
      <c r="C289" s="5" t="s">
        <v>66</v>
      </c>
      <c r="D289" s="5">
        <v>144.9</v>
      </c>
      <c r="E289" s="5">
        <v>190.1</v>
      </c>
      <c r="F289" s="5">
        <v>175.3</v>
      </c>
      <c r="G289" s="5">
        <v>154.1</v>
      </c>
      <c r="H289" s="5">
        <v>150.9</v>
      </c>
      <c r="I289" s="5">
        <v>149.6</v>
      </c>
      <c r="J289" s="5">
        <v>194.2</v>
      </c>
      <c r="K289" s="5">
        <v>160.4</v>
      </c>
      <c r="L289" s="5">
        <v>114.6</v>
      </c>
      <c r="M289" s="5">
        <v>164</v>
      </c>
      <c r="N289" s="5">
        <v>151.80000000000001</v>
      </c>
      <c r="O289" s="5">
        <v>165.6</v>
      </c>
      <c r="P289" s="5">
        <v>161</v>
      </c>
      <c r="Q289" s="5">
        <v>186.5</v>
      </c>
      <c r="R289" s="5">
        <v>155.5</v>
      </c>
      <c r="S289" s="5">
        <v>146.1</v>
      </c>
      <c r="T289" s="5">
        <v>154.19999999999999</v>
      </c>
      <c r="U289" s="5">
        <v>157.69999999999999</v>
      </c>
      <c r="V289" s="5">
        <v>147.9</v>
      </c>
      <c r="W289" s="5">
        <v>150</v>
      </c>
      <c r="X289" s="5">
        <v>159.30000000000001</v>
      </c>
      <c r="Y289" s="5">
        <v>141.9</v>
      </c>
      <c r="Z289" s="5">
        <v>149.6</v>
      </c>
      <c r="AA289" s="5">
        <v>159.19999999999999</v>
      </c>
      <c r="AB289" s="5">
        <v>156.80000000000001</v>
      </c>
      <c r="AC289" s="5">
        <v>151.9</v>
      </c>
      <c r="AD289" s="12">
        <v>157.30000000000001</v>
      </c>
      <c r="AE289" s="26">
        <f>COUNTIFS($A$2:$A$379,A289,$B$2:$B$379,B290,$C$2:$C$379,C289)</f>
        <v>1</v>
      </c>
    </row>
    <row r="290" spans="1:31">
      <c r="A290" s="11" t="s">
        <v>65</v>
      </c>
      <c r="B290" s="5">
        <v>2021</v>
      </c>
      <c r="C290" s="5" t="s">
        <v>70</v>
      </c>
      <c r="D290" s="5">
        <v>142.80000000000001</v>
      </c>
      <c r="E290" s="5">
        <v>184</v>
      </c>
      <c r="F290" s="5">
        <v>168</v>
      </c>
      <c r="G290" s="5">
        <v>154.4</v>
      </c>
      <c r="H290" s="5">
        <v>163</v>
      </c>
      <c r="I290" s="5">
        <v>147.80000000000001</v>
      </c>
      <c r="J290" s="5">
        <v>149.69999999999999</v>
      </c>
      <c r="K290" s="5">
        <v>158.30000000000001</v>
      </c>
      <c r="L290" s="5">
        <v>111.8</v>
      </c>
      <c r="M290" s="5">
        <v>165</v>
      </c>
      <c r="N290" s="5">
        <v>160</v>
      </c>
      <c r="O290" s="5">
        <v>165.8</v>
      </c>
      <c r="P290" s="5">
        <v>154.69999999999999</v>
      </c>
      <c r="Q290" s="5">
        <v>186.5</v>
      </c>
      <c r="R290" s="5">
        <v>159.1</v>
      </c>
      <c r="S290" s="5">
        <v>153.9</v>
      </c>
      <c r="T290" s="5">
        <v>158.4</v>
      </c>
      <c r="U290" s="5" t="s">
        <v>67</v>
      </c>
      <c r="V290" s="5">
        <v>154.4</v>
      </c>
      <c r="W290" s="5">
        <v>154.80000000000001</v>
      </c>
      <c r="X290" s="5">
        <v>164.3</v>
      </c>
      <c r="Y290" s="5">
        <v>150.19999999999999</v>
      </c>
      <c r="Z290" s="5">
        <v>157</v>
      </c>
      <c r="AA290" s="5">
        <v>163.6</v>
      </c>
      <c r="AB290" s="5">
        <v>155.19999999999999</v>
      </c>
      <c r="AC290" s="5">
        <v>157.19999999999999</v>
      </c>
      <c r="AD290" s="12">
        <v>156.69999999999999</v>
      </c>
      <c r="AE290" s="26">
        <f>COUNTIFS($A$2:$A$379,A290,$B$2:$B$379,B291,$C$2:$C$379,C290)</f>
        <v>1</v>
      </c>
    </row>
    <row r="291" spans="1:31">
      <c r="A291" s="11" t="s">
        <v>68</v>
      </c>
      <c r="B291" s="5">
        <v>2021</v>
      </c>
      <c r="C291" s="5" t="s">
        <v>70</v>
      </c>
      <c r="D291" s="5">
        <v>147.6</v>
      </c>
      <c r="E291" s="5">
        <v>191.2</v>
      </c>
      <c r="F291" s="5">
        <v>169.9</v>
      </c>
      <c r="G291" s="5">
        <v>155.1</v>
      </c>
      <c r="H291" s="5">
        <v>151.4</v>
      </c>
      <c r="I291" s="5">
        <v>154</v>
      </c>
      <c r="J291" s="5">
        <v>180.2</v>
      </c>
      <c r="K291" s="5">
        <v>159.80000000000001</v>
      </c>
      <c r="L291" s="5">
        <v>114.9</v>
      </c>
      <c r="M291" s="5">
        <v>162.5</v>
      </c>
      <c r="N291" s="5">
        <v>149.19999999999999</v>
      </c>
      <c r="O291" s="5">
        <v>169.4</v>
      </c>
      <c r="P291" s="5">
        <v>160.80000000000001</v>
      </c>
      <c r="Q291" s="5">
        <v>193.3</v>
      </c>
      <c r="R291" s="5">
        <v>154.19999999999999</v>
      </c>
      <c r="S291" s="5">
        <v>138.19999999999999</v>
      </c>
      <c r="T291" s="5">
        <v>151.80000000000001</v>
      </c>
      <c r="U291" s="5">
        <v>159.80000000000001</v>
      </c>
      <c r="V291" s="5">
        <v>149.1</v>
      </c>
      <c r="W291" s="5">
        <v>146.5</v>
      </c>
      <c r="X291" s="5">
        <v>156.30000000000001</v>
      </c>
      <c r="Y291" s="5">
        <v>140.5</v>
      </c>
      <c r="Z291" s="5">
        <v>147.30000000000001</v>
      </c>
      <c r="AA291" s="5">
        <v>156.6</v>
      </c>
      <c r="AB291" s="5">
        <v>156.69999999999999</v>
      </c>
      <c r="AC291" s="5">
        <v>149.30000000000001</v>
      </c>
      <c r="AD291" s="12">
        <v>156.5</v>
      </c>
      <c r="AE291" s="26">
        <f>COUNTIFS($A$2:$A$379,A291,$B$2:$B$379,B292,$C$2:$C$379,C291)</f>
        <v>1</v>
      </c>
    </row>
    <row r="292" spans="1:31">
      <c r="A292" s="11" t="s">
        <v>69</v>
      </c>
      <c r="B292" s="5">
        <v>2021</v>
      </c>
      <c r="C292" s="5" t="s">
        <v>70</v>
      </c>
      <c r="D292" s="5">
        <v>144.30000000000001</v>
      </c>
      <c r="E292" s="5">
        <v>186.5</v>
      </c>
      <c r="F292" s="5">
        <v>168.7</v>
      </c>
      <c r="G292" s="5">
        <v>154.69999999999999</v>
      </c>
      <c r="H292" s="5">
        <v>158.69999999999999</v>
      </c>
      <c r="I292" s="5">
        <v>150.69999999999999</v>
      </c>
      <c r="J292" s="5">
        <v>160</v>
      </c>
      <c r="K292" s="5">
        <v>158.80000000000001</v>
      </c>
      <c r="L292" s="5">
        <v>112.8</v>
      </c>
      <c r="M292" s="5">
        <v>164.2</v>
      </c>
      <c r="N292" s="5">
        <v>155.5</v>
      </c>
      <c r="O292" s="5">
        <v>167.5</v>
      </c>
      <c r="P292" s="5">
        <v>156.9</v>
      </c>
      <c r="Q292" s="5">
        <v>188.3</v>
      </c>
      <c r="R292" s="5">
        <v>157.19999999999999</v>
      </c>
      <c r="S292" s="5">
        <v>147.4</v>
      </c>
      <c r="T292" s="5">
        <v>155.80000000000001</v>
      </c>
      <c r="U292" s="5">
        <v>159.80000000000001</v>
      </c>
      <c r="V292" s="5">
        <v>152.4</v>
      </c>
      <c r="W292" s="5">
        <v>150.9</v>
      </c>
      <c r="X292" s="5">
        <v>161.30000000000001</v>
      </c>
      <c r="Y292" s="5">
        <v>145.1</v>
      </c>
      <c r="Z292" s="5">
        <v>151.5</v>
      </c>
      <c r="AA292" s="5">
        <v>159.5</v>
      </c>
      <c r="AB292" s="5">
        <v>155.80000000000001</v>
      </c>
      <c r="AC292" s="5">
        <v>153.4</v>
      </c>
      <c r="AD292" s="12">
        <v>156.6</v>
      </c>
      <c r="AE292" s="26">
        <f>COUNTIFS($A$2:$A$379,A292,$B$2:$B$379,B293,$C$2:$C$379,C292)</f>
        <v>1</v>
      </c>
    </row>
    <row r="293" spans="1:31">
      <c r="A293" s="11" t="s">
        <v>65</v>
      </c>
      <c r="B293" s="5">
        <v>2021</v>
      </c>
      <c r="C293" s="5" t="s">
        <v>71</v>
      </c>
      <c r="D293" s="5">
        <v>142.5</v>
      </c>
      <c r="E293" s="5">
        <v>189.4</v>
      </c>
      <c r="F293" s="5">
        <v>163.19999999999999</v>
      </c>
      <c r="G293" s="5">
        <v>154.5</v>
      </c>
      <c r="H293" s="5">
        <v>168.2</v>
      </c>
      <c r="I293" s="5">
        <v>150.5</v>
      </c>
      <c r="J293" s="5">
        <v>141</v>
      </c>
      <c r="K293" s="5">
        <v>159.19999999999999</v>
      </c>
      <c r="L293" s="5">
        <v>111.7</v>
      </c>
      <c r="M293" s="5">
        <v>164</v>
      </c>
      <c r="N293" s="5">
        <v>160.6</v>
      </c>
      <c r="O293" s="5">
        <v>166.4</v>
      </c>
      <c r="P293" s="5">
        <v>154.5</v>
      </c>
      <c r="Q293" s="5">
        <v>186.1</v>
      </c>
      <c r="R293" s="5">
        <v>159.6</v>
      </c>
      <c r="S293" s="5">
        <v>154.4</v>
      </c>
      <c r="T293" s="5">
        <v>158.9</v>
      </c>
      <c r="U293" s="7" t="s">
        <v>82</v>
      </c>
      <c r="V293" s="5">
        <v>156</v>
      </c>
      <c r="W293" s="5">
        <v>154.80000000000001</v>
      </c>
      <c r="X293" s="5">
        <v>164.6</v>
      </c>
      <c r="Y293" s="5">
        <v>151.30000000000001</v>
      </c>
      <c r="Z293" s="5">
        <v>157.80000000000001</v>
      </c>
      <c r="AA293" s="5">
        <v>163.80000000000001</v>
      </c>
      <c r="AB293" s="5">
        <v>153.1</v>
      </c>
      <c r="AC293" s="5">
        <v>157.30000000000001</v>
      </c>
      <c r="AD293" s="12">
        <v>156.69999999999999</v>
      </c>
      <c r="AE293" s="26">
        <f>COUNTIFS($A$2:$A$379,A293,$B$2:$B$379,B294,$C$2:$C$379,C293)</f>
        <v>1</v>
      </c>
    </row>
    <row r="294" spans="1:31">
      <c r="A294" s="11" t="s">
        <v>68</v>
      </c>
      <c r="B294" s="5">
        <v>2021</v>
      </c>
      <c r="C294" s="5" t="s">
        <v>71</v>
      </c>
      <c r="D294" s="5">
        <v>147.5</v>
      </c>
      <c r="E294" s="5">
        <v>197.5</v>
      </c>
      <c r="F294" s="5">
        <v>164.7</v>
      </c>
      <c r="G294" s="5">
        <v>155.6</v>
      </c>
      <c r="H294" s="5">
        <v>156.4</v>
      </c>
      <c r="I294" s="5">
        <v>157.30000000000001</v>
      </c>
      <c r="J294" s="5">
        <v>166.1</v>
      </c>
      <c r="K294" s="5">
        <v>161.1</v>
      </c>
      <c r="L294" s="5">
        <v>114.3</v>
      </c>
      <c r="M294" s="5">
        <v>162.6</v>
      </c>
      <c r="N294" s="5">
        <v>150.69999999999999</v>
      </c>
      <c r="O294" s="5">
        <v>170.3</v>
      </c>
      <c r="P294" s="5">
        <v>160.4</v>
      </c>
      <c r="Q294" s="5">
        <v>193.5</v>
      </c>
      <c r="R294" s="5">
        <v>155.1</v>
      </c>
      <c r="S294" s="5">
        <v>138.69999999999999</v>
      </c>
      <c r="T294" s="5">
        <v>152.6</v>
      </c>
      <c r="U294" s="5">
        <v>159.9</v>
      </c>
      <c r="V294" s="5">
        <v>154.80000000000001</v>
      </c>
      <c r="W294" s="5">
        <v>147.19999999999999</v>
      </c>
      <c r="X294" s="5">
        <v>156.9</v>
      </c>
      <c r="Y294" s="5">
        <v>141.69999999999999</v>
      </c>
      <c r="Z294" s="5">
        <v>148.6</v>
      </c>
      <c r="AA294" s="5">
        <v>157.6</v>
      </c>
      <c r="AB294" s="5">
        <v>154.9</v>
      </c>
      <c r="AC294" s="5">
        <v>150</v>
      </c>
      <c r="AD294" s="12">
        <v>156.9</v>
      </c>
      <c r="AE294" s="26">
        <f>COUNTIFS($A$2:$A$379,A294,$B$2:$B$379,B295,$C$2:$C$379,C294)</f>
        <v>1</v>
      </c>
    </row>
    <row r="295" spans="1:31">
      <c r="A295" s="11" t="s">
        <v>69</v>
      </c>
      <c r="B295" s="5">
        <v>2021</v>
      </c>
      <c r="C295" s="5" t="s">
        <v>71</v>
      </c>
      <c r="D295" s="5">
        <v>144.1</v>
      </c>
      <c r="E295" s="5">
        <v>192.2</v>
      </c>
      <c r="F295" s="5">
        <v>163.80000000000001</v>
      </c>
      <c r="G295" s="5">
        <v>154.9</v>
      </c>
      <c r="H295" s="5">
        <v>163.9</v>
      </c>
      <c r="I295" s="5">
        <v>153.69999999999999</v>
      </c>
      <c r="J295" s="5">
        <v>149.5</v>
      </c>
      <c r="K295" s="5">
        <v>159.80000000000001</v>
      </c>
      <c r="L295" s="5">
        <v>112.6</v>
      </c>
      <c r="M295" s="5">
        <v>163.5</v>
      </c>
      <c r="N295" s="5">
        <v>156.5</v>
      </c>
      <c r="O295" s="5">
        <v>168.2</v>
      </c>
      <c r="P295" s="5">
        <v>156.69999999999999</v>
      </c>
      <c r="Q295" s="5">
        <v>188.1</v>
      </c>
      <c r="R295" s="5">
        <v>157.80000000000001</v>
      </c>
      <c r="S295" s="5">
        <v>147.9</v>
      </c>
      <c r="T295" s="5">
        <v>156.4</v>
      </c>
      <c r="U295" s="5">
        <v>159.9</v>
      </c>
      <c r="V295" s="5">
        <v>155.5</v>
      </c>
      <c r="W295" s="5">
        <v>151.19999999999999</v>
      </c>
      <c r="X295" s="5">
        <v>161.69999999999999</v>
      </c>
      <c r="Y295" s="5">
        <v>146.19999999999999</v>
      </c>
      <c r="Z295" s="5">
        <v>152.6</v>
      </c>
      <c r="AA295" s="5">
        <v>160.19999999999999</v>
      </c>
      <c r="AB295" s="5">
        <v>153.80000000000001</v>
      </c>
      <c r="AC295" s="5">
        <v>153.80000000000001</v>
      </c>
      <c r="AD295" s="12">
        <v>156.80000000000001</v>
      </c>
      <c r="AE295" s="26">
        <f>COUNTIFS($A$2:$A$379,A295,$B$2:$B$379,B296,$C$2:$C$379,C295)</f>
        <v>1</v>
      </c>
    </row>
    <row r="296" spans="1:31">
      <c r="A296" s="11" t="s">
        <v>65</v>
      </c>
      <c r="B296" s="5">
        <v>2021</v>
      </c>
      <c r="C296" s="5" t="s">
        <v>72</v>
      </c>
      <c r="D296" s="5">
        <v>142.69999999999999</v>
      </c>
      <c r="E296" s="5">
        <v>195.5</v>
      </c>
      <c r="F296" s="5">
        <v>163.4</v>
      </c>
      <c r="G296" s="5">
        <v>155</v>
      </c>
      <c r="H296" s="5">
        <v>175.2</v>
      </c>
      <c r="I296" s="5">
        <v>160.6</v>
      </c>
      <c r="J296" s="5">
        <v>135.1</v>
      </c>
      <c r="K296" s="5">
        <v>161.1</v>
      </c>
      <c r="L296" s="5">
        <v>112.2</v>
      </c>
      <c r="M296" s="5">
        <v>164.4</v>
      </c>
      <c r="N296" s="5">
        <v>161.9</v>
      </c>
      <c r="O296" s="5">
        <v>166.8</v>
      </c>
      <c r="P296" s="5">
        <v>155.6</v>
      </c>
      <c r="Q296" s="5">
        <v>186.8</v>
      </c>
      <c r="R296" s="5">
        <v>160.69999999999999</v>
      </c>
      <c r="S296" s="5">
        <v>155.1</v>
      </c>
      <c r="T296" s="5">
        <v>159.9</v>
      </c>
      <c r="U296" s="7" t="s">
        <v>82</v>
      </c>
      <c r="V296" s="5">
        <v>156</v>
      </c>
      <c r="W296" s="5">
        <v>155.5</v>
      </c>
      <c r="X296" s="5">
        <v>165.3</v>
      </c>
      <c r="Y296" s="5">
        <v>151.69999999999999</v>
      </c>
      <c r="Z296" s="5">
        <v>158.6</v>
      </c>
      <c r="AA296" s="5">
        <v>164.1</v>
      </c>
      <c r="AB296" s="5">
        <v>154.6</v>
      </c>
      <c r="AC296" s="5">
        <v>158</v>
      </c>
      <c r="AD296" s="12">
        <v>157.6</v>
      </c>
      <c r="AE296" s="26">
        <f>COUNTIFS($A$2:$A$379,A296,$B$2:$B$379,B297,$C$2:$C$379,C296)</f>
        <v>1</v>
      </c>
    </row>
    <row r="297" spans="1:31">
      <c r="A297" s="11" t="s">
        <v>68</v>
      </c>
      <c r="B297" s="5">
        <v>2021</v>
      </c>
      <c r="C297" s="5" t="s">
        <v>72</v>
      </c>
      <c r="D297" s="5">
        <v>147.6</v>
      </c>
      <c r="E297" s="5">
        <v>202.5</v>
      </c>
      <c r="F297" s="5">
        <v>166.4</v>
      </c>
      <c r="G297" s="5">
        <v>156</v>
      </c>
      <c r="H297" s="5">
        <v>161.4</v>
      </c>
      <c r="I297" s="5">
        <v>168.8</v>
      </c>
      <c r="J297" s="5">
        <v>161.6</v>
      </c>
      <c r="K297" s="5">
        <v>162.80000000000001</v>
      </c>
      <c r="L297" s="5">
        <v>114.8</v>
      </c>
      <c r="M297" s="5">
        <v>162.80000000000001</v>
      </c>
      <c r="N297" s="5">
        <v>151.5</v>
      </c>
      <c r="O297" s="5">
        <v>171.4</v>
      </c>
      <c r="P297" s="5">
        <v>162</v>
      </c>
      <c r="Q297" s="5">
        <v>194.4</v>
      </c>
      <c r="R297" s="5">
        <v>155.9</v>
      </c>
      <c r="S297" s="5">
        <v>139.30000000000001</v>
      </c>
      <c r="T297" s="5">
        <v>153.4</v>
      </c>
      <c r="U297" s="5">
        <v>161.4</v>
      </c>
      <c r="V297" s="5">
        <v>154.9</v>
      </c>
      <c r="W297" s="5">
        <v>147.6</v>
      </c>
      <c r="X297" s="5">
        <v>157.5</v>
      </c>
      <c r="Y297" s="5">
        <v>142.1</v>
      </c>
      <c r="Z297" s="5">
        <v>149.1</v>
      </c>
      <c r="AA297" s="5">
        <v>157.6</v>
      </c>
      <c r="AB297" s="5">
        <v>156.6</v>
      </c>
      <c r="AC297" s="5">
        <v>150.5</v>
      </c>
      <c r="AD297" s="12">
        <v>158</v>
      </c>
      <c r="AE297" s="26">
        <f>COUNTIFS($A$2:$A$379,A297,$B$2:$B$379,B298,$C$2:$C$379,C297)</f>
        <v>1</v>
      </c>
    </row>
    <row r="298" spans="1:31">
      <c r="A298" s="11" t="s">
        <v>69</v>
      </c>
      <c r="B298" s="5">
        <v>2021</v>
      </c>
      <c r="C298" s="5" t="s">
        <v>72</v>
      </c>
      <c r="D298" s="5">
        <v>144.30000000000001</v>
      </c>
      <c r="E298" s="5">
        <v>198</v>
      </c>
      <c r="F298" s="5">
        <v>164.6</v>
      </c>
      <c r="G298" s="5">
        <v>155.4</v>
      </c>
      <c r="H298" s="5">
        <v>170.1</v>
      </c>
      <c r="I298" s="5">
        <v>164.4</v>
      </c>
      <c r="J298" s="5">
        <v>144.1</v>
      </c>
      <c r="K298" s="5">
        <v>161.69999999999999</v>
      </c>
      <c r="L298" s="5">
        <v>113.1</v>
      </c>
      <c r="M298" s="5">
        <v>163.9</v>
      </c>
      <c r="N298" s="5">
        <v>157.6</v>
      </c>
      <c r="O298" s="5">
        <v>168.9</v>
      </c>
      <c r="P298" s="5">
        <v>158</v>
      </c>
      <c r="Q298" s="5">
        <v>188.8</v>
      </c>
      <c r="R298" s="5">
        <v>158.80000000000001</v>
      </c>
      <c r="S298" s="5">
        <v>148.5</v>
      </c>
      <c r="T298" s="5">
        <v>157.30000000000001</v>
      </c>
      <c r="U298" s="5">
        <v>161.4</v>
      </c>
      <c r="V298" s="5">
        <v>155.6</v>
      </c>
      <c r="W298" s="5">
        <v>151.80000000000001</v>
      </c>
      <c r="X298" s="5">
        <v>162.30000000000001</v>
      </c>
      <c r="Y298" s="5">
        <v>146.6</v>
      </c>
      <c r="Z298" s="5">
        <v>153.19999999999999</v>
      </c>
      <c r="AA298" s="5">
        <v>160.30000000000001</v>
      </c>
      <c r="AB298" s="5">
        <v>155.4</v>
      </c>
      <c r="AC298" s="5">
        <v>154.4</v>
      </c>
      <c r="AD298" s="12">
        <v>157.80000000000001</v>
      </c>
      <c r="AE298" s="26">
        <f>COUNTIFS($A$2:$A$379,A298,$B$2:$B$379,B299,$C$2:$C$379,C298)</f>
        <v>1</v>
      </c>
    </row>
    <row r="299" spans="1:31">
      <c r="A299" s="11" t="s">
        <v>65</v>
      </c>
      <c r="B299" s="5">
        <v>2021</v>
      </c>
      <c r="C299" s="5" t="s">
        <v>73</v>
      </c>
      <c r="D299" s="5">
        <v>145.1</v>
      </c>
      <c r="E299" s="5">
        <v>198.5</v>
      </c>
      <c r="F299" s="5">
        <v>168.6</v>
      </c>
      <c r="G299" s="5">
        <v>155.80000000000001</v>
      </c>
      <c r="H299" s="5">
        <v>184.4</v>
      </c>
      <c r="I299" s="5">
        <v>162.30000000000001</v>
      </c>
      <c r="J299" s="5">
        <v>138.4</v>
      </c>
      <c r="K299" s="5">
        <v>165.1</v>
      </c>
      <c r="L299" s="5">
        <v>114.3</v>
      </c>
      <c r="M299" s="5">
        <v>169.7</v>
      </c>
      <c r="N299" s="5">
        <v>164.6</v>
      </c>
      <c r="O299" s="5">
        <v>169.8</v>
      </c>
      <c r="P299" s="5">
        <v>158.69999999999999</v>
      </c>
      <c r="Q299" s="5">
        <v>189.6</v>
      </c>
      <c r="R299" s="5">
        <v>165.3</v>
      </c>
      <c r="S299" s="5">
        <v>160.6</v>
      </c>
      <c r="T299" s="5">
        <v>164.5</v>
      </c>
      <c r="U299" s="5" t="s">
        <v>67</v>
      </c>
      <c r="V299" s="5">
        <v>161.69999999999999</v>
      </c>
      <c r="W299" s="5">
        <v>158.80000000000001</v>
      </c>
      <c r="X299" s="5">
        <v>169.1</v>
      </c>
      <c r="Y299" s="5">
        <v>153.19999999999999</v>
      </c>
      <c r="Z299" s="5">
        <v>160</v>
      </c>
      <c r="AA299" s="5">
        <v>167.6</v>
      </c>
      <c r="AB299" s="5">
        <v>159.30000000000001</v>
      </c>
      <c r="AC299" s="5">
        <v>161.1</v>
      </c>
      <c r="AD299" s="12">
        <v>161.1</v>
      </c>
      <c r="AE299" s="26">
        <f>COUNTIFS($A$2:$A$379,A299,$B$2:$B$379,B300,$C$2:$C$379,C299)</f>
        <v>1</v>
      </c>
    </row>
    <row r="300" spans="1:31">
      <c r="A300" s="11" t="s">
        <v>68</v>
      </c>
      <c r="B300" s="5">
        <v>2021</v>
      </c>
      <c r="C300" s="5" t="s">
        <v>73</v>
      </c>
      <c r="D300" s="5">
        <v>148.80000000000001</v>
      </c>
      <c r="E300" s="5">
        <v>204.3</v>
      </c>
      <c r="F300" s="5">
        <v>173</v>
      </c>
      <c r="G300" s="5">
        <v>156.5</v>
      </c>
      <c r="H300" s="5">
        <v>168.8</v>
      </c>
      <c r="I300" s="5">
        <v>172.5</v>
      </c>
      <c r="J300" s="5">
        <v>166.5</v>
      </c>
      <c r="K300" s="5">
        <v>165.9</v>
      </c>
      <c r="L300" s="5">
        <v>115.9</v>
      </c>
      <c r="M300" s="5">
        <v>165.2</v>
      </c>
      <c r="N300" s="5">
        <v>152</v>
      </c>
      <c r="O300" s="5">
        <v>171.1</v>
      </c>
      <c r="P300" s="5">
        <v>164.2</v>
      </c>
      <c r="Q300" s="5">
        <v>198.2</v>
      </c>
      <c r="R300" s="5">
        <v>156.5</v>
      </c>
      <c r="S300" s="5">
        <v>140.19999999999999</v>
      </c>
      <c r="T300" s="5">
        <v>154.1</v>
      </c>
      <c r="U300" s="5">
        <v>161.6</v>
      </c>
      <c r="V300" s="5">
        <v>155.5</v>
      </c>
      <c r="W300" s="5">
        <v>150.1</v>
      </c>
      <c r="X300" s="5">
        <v>160.4</v>
      </c>
      <c r="Y300" s="5">
        <v>145</v>
      </c>
      <c r="Z300" s="5">
        <v>152.6</v>
      </c>
      <c r="AA300" s="5">
        <v>156.6</v>
      </c>
      <c r="AB300" s="5">
        <v>157.5</v>
      </c>
      <c r="AC300" s="5">
        <v>152.30000000000001</v>
      </c>
      <c r="AD300" s="12">
        <v>159.5</v>
      </c>
      <c r="AE300" s="26">
        <f>COUNTIFS($A$2:$A$379,A300,$B$2:$B$379,B301,$C$2:$C$379,C300)</f>
        <v>1</v>
      </c>
    </row>
    <row r="301" spans="1:31">
      <c r="A301" s="11" t="s">
        <v>69</v>
      </c>
      <c r="B301" s="5">
        <v>2021</v>
      </c>
      <c r="C301" s="5" t="s">
        <v>73</v>
      </c>
      <c r="D301" s="5">
        <v>146.30000000000001</v>
      </c>
      <c r="E301" s="5">
        <v>200.5</v>
      </c>
      <c r="F301" s="5">
        <v>170.3</v>
      </c>
      <c r="G301" s="5">
        <v>156.1</v>
      </c>
      <c r="H301" s="5">
        <v>178.7</v>
      </c>
      <c r="I301" s="5">
        <v>167.1</v>
      </c>
      <c r="J301" s="5">
        <v>147.9</v>
      </c>
      <c r="K301" s="5">
        <v>165.4</v>
      </c>
      <c r="L301" s="5">
        <v>114.8</v>
      </c>
      <c r="M301" s="5">
        <v>168.2</v>
      </c>
      <c r="N301" s="5">
        <v>159.30000000000001</v>
      </c>
      <c r="O301" s="5">
        <v>170.4</v>
      </c>
      <c r="P301" s="5">
        <v>160.69999999999999</v>
      </c>
      <c r="Q301" s="5">
        <v>191.9</v>
      </c>
      <c r="R301" s="5">
        <v>161.80000000000001</v>
      </c>
      <c r="S301" s="5">
        <v>152.1</v>
      </c>
      <c r="T301" s="5">
        <v>160.4</v>
      </c>
      <c r="U301" s="5">
        <v>161.6</v>
      </c>
      <c r="V301" s="5">
        <v>159.4</v>
      </c>
      <c r="W301" s="5">
        <v>154.69999999999999</v>
      </c>
      <c r="X301" s="5">
        <v>165.8</v>
      </c>
      <c r="Y301" s="5">
        <v>148.9</v>
      </c>
      <c r="Z301" s="5">
        <v>155.80000000000001</v>
      </c>
      <c r="AA301" s="5">
        <v>161.19999999999999</v>
      </c>
      <c r="AB301" s="5">
        <v>158.6</v>
      </c>
      <c r="AC301" s="5">
        <v>156.80000000000001</v>
      </c>
      <c r="AD301" s="12">
        <v>160.4</v>
      </c>
      <c r="AE301" s="26">
        <f>COUNTIFS($A$2:$A$379,A301,$B$2:$B$379,B302,$C$2:$C$379,C301)</f>
        <v>1</v>
      </c>
    </row>
    <row r="302" spans="1:31">
      <c r="A302" s="11" t="s">
        <v>65</v>
      </c>
      <c r="B302" s="5">
        <v>2021</v>
      </c>
      <c r="C302" s="5" t="s">
        <v>74</v>
      </c>
      <c r="D302" s="5">
        <v>145.6</v>
      </c>
      <c r="E302" s="5">
        <v>200.1</v>
      </c>
      <c r="F302" s="5">
        <v>179.3</v>
      </c>
      <c r="G302" s="5">
        <v>156.1</v>
      </c>
      <c r="H302" s="5">
        <v>190.4</v>
      </c>
      <c r="I302" s="5">
        <v>158.6</v>
      </c>
      <c r="J302" s="5">
        <v>144.69999999999999</v>
      </c>
      <c r="K302" s="5">
        <v>165.5</v>
      </c>
      <c r="L302" s="5">
        <v>114.6</v>
      </c>
      <c r="M302" s="5">
        <v>170</v>
      </c>
      <c r="N302" s="5">
        <v>165.5</v>
      </c>
      <c r="O302" s="5">
        <v>171.7</v>
      </c>
      <c r="P302" s="5">
        <v>160.5</v>
      </c>
      <c r="Q302" s="5">
        <v>189.1</v>
      </c>
      <c r="R302" s="5">
        <v>165.3</v>
      </c>
      <c r="S302" s="5">
        <v>159.9</v>
      </c>
      <c r="T302" s="5">
        <v>164.6</v>
      </c>
      <c r="U302" s="5" t="s">
        <v>67</v>
      </c>
      <c r="V302" s="5">
        <v>162.1</v>
      </c>
      <c r="W302" s="5">
        <v>159.19999999999999</v>
      </c>
      <c r="X302" s="5">
        <v>169.7</v>
      </c>
      <c r="Y302" s="5">
        <v>154.19999999999999</v>
      </c>
      <c r="Z302" s="5">
        <v>160.4</v>
      </c>
      <c r="AA302" s="5">
        <v>166.8</v>
      </c>
      <c r="AB302" s="5">
        <v>159.4</v>
      </c>
      <c r="AC302" s="5">
        <v>161.5</v>
      </c>
      <c r="AD302" s="12">
        <v>162.1</v>
      </c>
      <c r="AE302" s="26">
        <f>COUNTIFS($A$2:$A$379,A302,$B$2:$B$379,B303,$C$2:$C$379,C302)</f>
        <v>1</v>
      </c>
    </row>
    <row r="303" spans="1:31">
      <c r="A303" s="11" t="s">
        <v>68</v>
      </c>
      <c r="B303" s="5">
        <v>2021</v>
      </c>
      <c r="C303" s="5" t="s">
        <v>74</v>
      </c>
      <c r="D303" s="5">
        <v>149.19999999999999</v>
      </c>
      <c r="E303" s="5">
        <v>205.5</v>
      </c>
      <c r="F303" s="5">
        <v>182.8</v>
      </c>
      <c r="G303" s="5">
        <v>156.5</v>
      </c>
      <c r="H303" s="5">
        <v>172.2</v>
      </c>
      <c r="I303" s="5">
        <v>171.5</v>
      </c>
      <c r="J303" s="5">
        <v>176.2</v>
      </c>
      <c r="K303" s="5">
        <v>166.9</v>
      </c>
      <c r="L303" s="5">
        <v>116.1</v>
      </c>
      <c r="M303" s="5">
        <v>165.5</v>
      </c>
      <c r="N303" s="5">
        <v>152.30000000000001</v>
      </c>
      <c r="O303" s="5">
        <v>173.3</v>
      </c>
      <c r="P303" s="5">
        <v>166.2</v>
      </c>
      <c r="Q303" s="5">
        <v>195.6</v>
      </c>
      <c r="R303" s="5">
        <v>157.30000000000001</v>
      </c>
      <c r="S303" s="5">
        <v>140.5</v>
      </c>
      <c r="T303" s="5">
        <v>154.80000000000001</v>
      </c>
      <c r="U303" s="5">
        <v>160.5</v>
      </c>
      <c r="V303" s="5">
        <v>156.1</v>
      </c>
      <c r="W303" s="5">
        <v>149.80000000000001</v>
      </c>
      <c r="X303" s="5">
        <v>160.80000000000001</v>
      </c>
      <c r="Y303" s="5">
        <v>147.5</v>
      </c>
      <c r="Z303" s="5">
        <v>150.69999999999999</v>
      </c>
      <c r="AA303" s="5">
        <v>158.1</v>
      </c>
      <c r="AB303" s="5">
        <v>158</v>
      </c>
      <c r="AC303" s="5">
        <v>153.4</v>
      </c>
      <c r="AD303" s="12">
        <v>160.4</v>
      </c>
      <c r="AE303" s="26">
        <f>COUNTIFS($A$2:$A$379,A303,$B$2:$B$379,B304,$C$2:$C$379,C303)</f>
        <v>1</v>
      </c>
    </row>
    <row r="304" spans="1:31">
      <c r="A304" s="11" t="s">
        <v>69</v>
      </c>
      <c r="B304" s="5">
        <v>2021</v>
      </c>
      <c r="C304" s="5" t="s">
        <v>74</v>
      </c>
      <c r="D304" s="5">
        <v>146.69999999999999</v>
      </c>
      <c r="E304" s="5">
        <v>202</v>
      </c>
      <c r="F304" s="5">
        <v>180.7</v>
      </c>
      <c r="G304" s="5">
        <v>156.19999999999999</v>
      </c>
      <c r="H304" s="5">
        <v>183.7</v>
      </c>
      <c r="I304" s="5">
        <v>164.6</v>
      </c>
      <c r="J304" s="5">
        <v>155.4</v>
      </c>
      <c r="K304" s="5">
        <v>166</v>
      </c>
      <c r="L304" s="5">
        <v>115.1</v>
      </c>
      <c r="M304" s="5">
        <v>168.5</v>
      </c>
      <c r="N304" s="5">
        <v>160</v>
      </c>
      <c r="O304" s="5">
        <v>172.4</v>
      </c>
      <c r="P304" s="5">
        <v>162.6</v>
      </c>
      <c r="Q304" s="5">
        <v>190.8</v>
      </c>
      <c r="R304" s="5">
        <v>162.19999999999999</v>
      </c>
      <c r="S304" s="5">
        <v>151.80000000000001</v>
      </c>
      <c r="T304" s="5">
        <v>160.69999999999999</v>
      </c>
      <c r="U304" s="5">
        <v>160.5</v>
      </c>
      <c r="V304" s="5">
        <v>159.80000000000001</v>
      </c>
      <c r="W304" s="5">
        <v>154.80000000000001</v>
      </c>
      <c r="X304" s="5">
        <v>166.3</v>
      </c>
      <c r="Y304" s="5">
        <v>150.69999999999999</v>
      </c>
      <c r="Z304" s="5">
        <v>154.9</v>
      </c>
      <c r="AA304" s="5">
        <v>161.69999999999999</v>
      </c>
      <c r="AB304" s="5">
        <v>158.80000000000001</v>
      </c>
      <c r="AC304" s="5">
        <v>157.6</v>
      </c>
      <c r="AD304" s="12">
        <v>161.30000000000001</v>
      </c>
      <c r="AE304" s="26">
        <f>COUNTIFS($A$2:$A$379,A304,$B$2:$B$379,B305,$C$2:$C$379,C304)</f>
        <v>1</v>
      </c>
    </row>
    <row r="305" spans="1:31">
      <c r="A305" s="11" t="s">
        <v>65</v>
      </c>
      <c r="B305" s="5">
        <v>2021</v>
      </c>
      <c r="C305" s="5" t="s">
        <v>75</v>
      </c>
      <c r="D305" s="5">
        <v>145.1</v>
      </c>
      <c r="E305" s="5">
        <v>204.5</v>
      </c>
      <c r="F305" s="5">
        <v>180.4</v>
      </c>
      <c r="G305" s="5">
        <v>157.1</v>
      </c>
      <c r="H305" s="5">
        <v>188.7</v>
      </c>
      <c r="I305" s="5">
        <v>157.69999999999999</v>
      </c>
      <c r="J305" s="5">
        <v>152.80000000000001</v>
      </c>
      <c r="K305" s="5">
        <v>163.6</v>
      </c>
      <c r="L305" s="5">
        <v>113.9</v>
      </c>
      <c r="M305" s="5">
        <v>169.7</v>
      </c>
      <c r="N305" s="5">
        <v>166.2</v>
      </c>
      <c r="O305" s="5">
        <v>171</v>
      </c>
      <c r="P305" s="5">
        <v>161.69999999999999</v>
      </c>
      <c r="Q305" s="5">
        <v>189.7</v>
      </c>
      <c r="R305" s="5">
        <v>166</v>
      </c>
      <c r="S305" s="5">
        <v>161.1</v>
      </c>
      <c r="T305" s="5">
        <v>165.3</v>
      </c>
      <c r="U305" s="5" t="s">
        <v>67</v>
      </c>
      <c r="V305" s="5">
        <v>162.5</v>
      </c>
      <c r="W305" s="5">
        <v>160.30000000000001</v>
      </c>
      <c r="X305" s="5">
        <v>170.4</v>
      </c>
      <c r="Y305" s="5">
        <v>157.1</v>
      </c>
      <c r="Z305" s="5">
        <v>160.69999999999999</v>
      </c>
      <c r="AA305" s="5">
        <v>167.2</v>
      </c>
      <c r="AB305" s="5">
        <v>160.4</v>
      </c>
      <c r="AC305" s="5">
        <v>162.80000000000001</v>
      </c>
      <c r="AD305" s="12">
        <v>163.19999999999999</v>
      </c>
      <c r="AE305" s="26">
        <f>COUNTIFS($A$2:$A$379,A305,$B$2:$B$379,B306,$C$2:$C$379,C305)</f>
        <v>1</v>
      </c>
    </row>
    <row r="306" spans="1:31">
      <c r="A306" s="11" t="s">
        <v>68</v>
      </c>
      <c r="B306" s="5">
        <v>2021</v>
      </c>
      <c r="C306" s="5" t="s">
        <v>75</v>
      </c>
      <c r="D306" s="5">
        <v>149.1</v>
      </c>
      <c r="E306" s="5">
        <v>210.9</v>
      </c>
      <c r="F306" s="5">
        <v>185</v>
      </c>
      <c r="G306" s="5">
        <v>158.19999999999999</v>
      </c>
      <c r="H306" s="5">
        <v>170.6</v>
      </c>
      <c r="I306" s="5">
        <v>170.9</v>
      </c>
      <c r="J306" s="5">
        <v>186.4</v>
      </c>
      <c r="K306" s="5">
        <v>164.7</v>
      </c>
      <c r="L306" s="5">
        <v>115.7</v>
      </c>
      <c r="M306" s="5">
        <v>165.5</v>
      </c>
      <c r="N306" s="5">
        <v>153.4</v>
      </c>
      <c r="O306" s="5">
        <v>173.5</v>
      </c>
      <c r="P306" s="5">
        <v>167.9</v>
      </c>
      <c r="Q306" s="5">
        <v>195.5</v>
      </c>
      <c r="R306" s="5">
        <v>157.9</v>
      </c>
      <c r="S306" s="5">
        <v>141.9</v>
      </c>
      <c r="T306" s="5">
        <v>155.5</v>
      </c>
      <c r="U306" s="5">
        <v>161.5</v>
      </c>
      <c r="V306" s="5">
        <v>157.69999999999999</v>
      </c>
      <c r="W306" s="5">
        <v>150.69999999999999</v>
      </c>
      <c r="X306" s="5">
        <v>161.5</v>
      </c>
      <c r="Y306" s="5">
        <v>149.5</v>
      </c>
      <c r="Z306" s="5">
        <v>151.19999999999999</v>
      </c>
      <c r="AA306" s="5">
        <v>160.30000000000001</v>
      </c>
      <c r="AB306" s="5">
        <v>159.6</v>
      </c>
      <c r="AC306" s="5">
        <v>155</v>
      </c>
      <c r="AD306" s="12">
        <v>161.80000000000001</v>
      </c>
      <c r="AE306" s="26">
        <f>COUNTIFS($A$2:$A$379,A306,$B$2:$B$379,B307,$C$2:$C$379,C306)</f>
        <v>1</v>
      </c>
    </row>
    <row r="307" spans="1:31">
      <c r="A307" s="11" t="s">
        <v>69</v>
      </c>
      <c r="B307" s="5">
        <v>2021</v>
      </c>
      <c r="C307" s="5" t="s">
        <v>75</v>
      </c>
      <c r="D307" s="5">
        <v>146.4</v>
      </c>
      <c r="E307" s="5">
        <v>206.8</v>
      </c>
      <c r="F307" s="5">
        <v>182.2</v>
      </c>
      <c r="G307" s="5">
        <v>157.5</v>
      </c>
      <c r="H307" s="5">
        <v>182.1</v>
      </c>
      <c r="I307" s="5">
        <v>163.9</v>
      </c>
      <c r="J307" s="5">
        <v>164.2</v>
      </c>
      <c r="K307" s="5">
        <v>164</v>
      </c>
      <c r="L307" s="5">
        <v>114.5</v>
      </c>
      <c r="M307" s="5">
        <v>168.3</v>
      </c>
      <c r="N307" s="5">
        <v>160.9</v>
      </c>
      <c r="O307" s="5">
        <v>172.2</v>
      </c>
      <c r="P307" s="5">
        <v>164</v>
      </c>
      <c r="Q307" s="5">
        <v>191.2</v>
      </c>
      <c r="R307" s="5">
        <v>162.80000000000001</v>
      </c>
      <c r="S307" s="5">
        <v>153.1</v>
      </c>
      <c r="T307" s="5">
        <v>161.4</v>
      </c>
      <c r="U307" s="5">
        <v>161.5</v>
      </c>
      <c r="V307" s="5">
        <v>160.69999999999999</v>
      </c>
      <c r="W307" s="5">
        <v>155.80000000000001</v>
      </c>
      <c r="X307" s="5">
        <v>167</v>
      </c>
      <c r="Y307" s="5">
        <v>153.1</v>
      </c>
      <c r="Z307" s="5">
        <v>155.30000000000001</v>
      </c>
      <c r="AA307" s="5">
        <v>163.19999999999999</v>
      </c>
      <c r="AB307" s="5">
        <v>160.1</v>
      </c>
      <c r="AC307" s="5">
        <v>159</v>
      </c>
      <c r="AD307" s="12">
        <v>162.5</v>
      </c>
      <c r="AE307" s="26">
        <f>COUNTIFS($A$2:$A$379,A307,$B$2:$B$379,B308,$C$2:$C$379,C307)</f>
        <v>1</v>
      </c>
    </row>
    <row r="308" spans="1:31">
      <c r="A308" s="11" t="s">
        <v>65</v>
      </c>
      <c r="B308" s="5">
        <v>2021</v>
      </c>
      <c r="C308" s="5" t="s">
        <v>76</v>
      </c>
      <c r="D308" s="5">
        <v>144.9</v>
      </c>
      <c r="E308" s="5">
        <v>202.3</v>
      </c>
      <c r="F308" s="5">
        <v>176.5</v>
      </c>
      <c r="G308" s="5">
        <v>157.5</v>
      </c>
      <c r="H308" s="5">
        <v>190.9</v>
      </c>
      <c r="I308" s="5">
        <v>155.69999999999999</v>
      </c>
      <c r="J308" s="5">
        <v>153.9</v>
      </c>
      <c r="K308" s="5">
        <v>162.80000000000001</v>
      </c>
      <c r="L308" s="5">
        <v>115.2</v>
      </c>
      <c r="M308" s="5">
        <v>169.8</v>
      </c>
      <c r="N308" s="5">
        <v>167.6</v>
      </c>
      <c r="O308" s="5">
        <v>171.9</v>
      </c>
      <c r="P308" s="5">
        <v>161.80000000000001</v>
      </c>
      <c r="Q308" s="5">
        <v>190.2</v>
      </c>
      <c r="R308" s="5">
        <v>167</v>
      </c>
      <c r="S308" s="5">
        <v>162.6</v>
      </c>
      <c r="T308" s="5">
        <v>166.3</v>
      </c>
      <c r="U308" s="5" t="s">
        <v>67</v>
      </c>
      <c r="V308" s="5">
        <v>163.1</v>
      </c>
      <c r="W308" s="5">
        <v>160.9</v>
      </c>
      <c r="X308" s="5">
        <v>171.1</v>
      </c>
      <c r="Y308" s="5">
        <v>157.69999999999999</v>
      </c>
      <c r="Z308" s="5">
        <v>161.1</v>
      </c>
      <c r="AA308" s="5">
        <v>167.5</v>
      </c>
      <c r="AB308" s="5">
        <v>160.30000000000001</v>
      </c>
      <c r="AC308" s="5">
        <v>163.30000000000001</v>
      </c>
      <c r="AD308" s="12">
        <v>163.6</v>
      </c>
      <c r="AE308" s="26">
        <f>COUNTIFS($A$2:$A$379,A308,$B$2:$B$379,B309,$C$2:$C$379,C308)</f>
        <v>1</v>
      </c>
    </row>
    <row r="309" spans="1:31">
      <c r="A309" s="11" t="s">
        <v>68</v>
      </c>
      <c r="B309" s="5">
        <v>2021</v>
      </c>
      <c r="C309" s="5" t="s">
        <v>76</v>
      </c>
      <c r="D309" s="5">
        <v>149.30000000000001</v>
      </c>
      <c r="E309" s="5">
        <v>207.4</v>
      </c>
      <c r="F309" s="5">
        <v>174.1</v>
      </c>
      <c r="G309" s="5">
        <v>159.19999999999999</v>
      </c>
      <c r="H309" s="5">
        <v>175</v>
      </c>
      <c r="I309" s="5">
        <v>161.30000000000001</v>
      </c>
      <c r="J309" s="5">
        <v>183.3</v>
      </c>
      <c r="K309" s="5">
        <v>164.5</v>
      </c>
      <c r="L309" s="5">
        <v>120.4</v>
      </c>
      <c r="M309" s="5">
        <v>166.2</v>
      </c>
      <c r="N309" s="5">
        <v>154.80000000000001</v>
      </c>
      <c r="O309" s="5">
        <v>175.1</v>
      </c>
      <c r="P309" s="5">
        <v>167.3</v>
      </c>
      <c r="Q309" s="5">
        <v>196.5</v>
      </c>
      <c r="R309" s="5">
        <v>159.80000000000001</v>
      </c>
      <c r="S309" s="5">
        <v>143.6</v>
      </c>
      <c r="T309" s="5">
        <v>157.30000000000001</v>
      </c>
      <c r="U309" s="5">
        <v>162.1</v>
      </c>
      <c r="V309" s="5">
        <v>160.69999999999999</v>
      </c>
      <c r="W309" s="5">
        <v>153.19999999999999</v>
      </c>
      <c r="X309" s="5">
        <v>162.80000000000001</v>
      </c>
      <c r="Y309" s="5">
        <v>150.4</v>
      </c>
      <c r="Z309" s="5">
        <v>153.69999999999999</v>
      </c>
      <c r="AA309" s="5">
        <v>160.4</v>
      </c>
      <c r="AB309" s="5">
        <v>159.6</v>
      </c>
      <c r="AC309" s="5">
        <v>156</v>
      </c>
      <c r="AD309" s="12">
        <v>162.30000000000001</v>
      </c>
      <c r="AE309" s="26">
        <f>COUNTIFS($A$2:$A$379,A309,$B$2:$B$379,B310,$C$2:$C$379,C309)</f>
        <v>1</v>
      </c>
    </row>
    <row r="310" spans="1:31">
      <c r="A310" s="11" t="s">
        <v>69</v>
      </c>
      <c r="B310" s="5">
        <v>2021</v>
      </c>
      <c r="C310" s="5" t="s">
        <v>76</v>
      </c>
      <c r="D310" s="5">
        <v>146.6</v>
      </c>
      <c r="E310" s="5">
        <v>204</v>
      </c>
      <c r="F310" s="5">
        <v>172.8</v>
      </c>
      <c r="G310" s="5">
        <v>158.4</v>
      </c>
      <c r="H310" s="5">
        <v>188</v>
      </c>
      <c r="I310" s="5">
        <v>156.80000000000001</v>
      </c>
      <c r="J310" s="5">
        <v>162.19999999999999</v>
      </c>
      <c r="K310" s="5">
        <v>164.1</v>
      </c>
      <c r="L310" s="5">
        <v>119.7</v>
      </c>
      <c r="M310" s="5">
        <v>168.8</v>
      </c>
      <c r="N310" s="5">
        <v>162.69999999999999</v>
      </c>
      <c r="O310" s="5">
        <v>173.9</v>
      </c>
      <c r="P310" s="5">
        <v>164</v>
      </c>
      <c r="Q310" s="5">
        <v>192.1</v>
      </c>
      <c r="R310" s="5">
        <v>164.5</v>
      </c>
      <c r="S310" s="5">
        <v>155.30000000000001</v>
      </c>
      <c r="T310" s="5">
        <v>163.19999999999999</v>
      </c>
      <c r="U310" s="5">
        <v>162.1</v>
      </c>
      <c r="V310" s="5">
        <v>162.6</v>
      </c>
      <c r="W310" s="5">
        <v>157.5</v>
      </c>
      <c r="X310" s="5">
        <v>168.4</v>
      </c>
      <c r="Y310" s="5">
        <v>154</v>
      </c>
      <c r="Z310" s="5">
        <v>157.6</v>
      </c>
      <c r="AA310" s="5">
        <v>163.80000000000001</v>
      </c>
      <c r="AB310" s="5">
        <v>160</v>
      </c>
      <c r="AC310" s="5">
        <v>160</v>
      </c>
      <c r="AD310" s="12">
        <v>163.19999999999999</v>
      </c>
      <c r="AE310" s="26">
        <f>COUNTIFS($A$2:$A$379,A310,$B$2:$B$379,B311,$C$2:$C$379,C310)</f>
        <v>1</v>
      </c>
    </row>
    <row r="311" spans="1:31">
      <c r="A311" s="11" t="s">
        <v>65</v>
      </c>
      <c r="B311" s="5">
        <v>2021</v>
      </c>
      <c r="C311" s="5" t="s">
        <v>77</v>
      </c>
      <c r="D311" s="5">
        <v>145.4</v>
      </c>
      <c r="E311" s="5">
        <v>202.1</v>
      </c>
      <c r="F311" s="5">
        <v>172</v>
      </c>
      <c r="G311" s="5">
        <v>158</v>
      </c>
      <c r="H311" s="5">
        <v>195.5</v>
      </c>
      <c r="I311" s="5">
        <v>152.69999999999999</v>
      </c>
      <c r="J311" s="5">
        <v>151.4</v>
      </c>
      <c r="K311" s="5">
        <v>163.9</v>
      </c>
      <c r="L311" s="5">
        <v>119.3</v>
      </c>
      <c r="M311" s="5">
        <v>170.1</v>
      </c>
      <c r="N311" s="5">
        <v>168.3</v>
      </c>
      <c r="O311" s="5">
        <v>172.8</v>
      </c>
      <c r="P311" s="5">
        <v>162.1</v>
      </c>
      <c r="Q311" s="5">
        <v>190.5</v>
      </c>
      <c r="R311" s="5">
        <v>167.7</v>
      </c>
      <c r="S311" s="5">
        <v>163.6</v>
      </c>
      <c r="T311" s="5">
        <v>167.1</v>
      </c>
      <c r="U311" s="5" t="s">
        <v>67</v>
      </c>
      <c r="V311" s="5">
        <v>163.69999999999999</v>
      </c>
      <c r="W311" s="5">
        <v>161.30000000000001</v>
      </c>
      <c r="X311" s="5">
        <v>171.9</v>
      </c>
      <c r="Y311" s="5">
        <v>157.80000000000001</v>
      </c>
      <c r="Z311" s="5">
        <v>162.69999999999999</v>
      </c>
      <c r="AA311" s="5">
        <v>168.5</v>
      </c>
      <c r="AB311" s="5">
        <v>160.19999999999999</v>
      </c>
      <c r="AC311" s="5">
        <v>163.80000000000001</v>
      </c>
      <c r="AD311" s="12">
        <v>164</v>
      </c>
      <c r="AE311" s="26">
        <f>COUNTIFS($A$2:$A$379,A311,$B$2:$B$379,B312,$C$2:$C$379,C311)</f>
        <v>1</v>
      </c>
    </row>
    <row r="312" spans="1:31">
      <c r="A312" s="11" t="s">
        <v>68</v>
      </c>
      <c r="B312" s="5">
        <v>2021</v>
      </c>
      <c r="C312" s="5" t="s">
        <v>77</v>
      </c>
      <c r="D312" s="5">
        <v>149.30000000000001</v>
      </c>
      <c r="E312" s="5">
        <v>207.4</v>
      </c>
      <c r="F312" s="5">
        <v>174.1</v>
      </c>
      <c r="G312" s="5">
        <v>159.1</v>
      </c>
      <c r="H312" s="5">
        <v>175</v>
      </c>
      <c r="I312" s="5">
        <v>161.19999999999999</v>
      </c>
      <c r="J312" s="5">
        <v>183.5</v>
      </c>
      <c r="K312" s="5">
        <v>164.5</v>
      </c>
      <c r="L312" s="5">
        <v>120.4</v>
      </c>
      <c r="M312" s="5">
        <v>166.2</v>
      </c>
      <c r="N312" s="5">
        <v>154.80000000000001</v>
      </c>
      <c r="O312" s="5">
        <v>175.1</v>
      </c>
      <c r="P312" s="5">
        <v>167.3</v>
      </c>
      <c r="Q312" s="5">
        <v>196.5</v>
      </c>
      <c r="R312" s="5">
        <v>159.80000000000001</v>
      </c>
      <c r="S312" s="5">
        <v>143.6</v>
      </c>
      <c r="T312" s="5">
        <v>157.4</v>
      </c>
      <c r="U312" s="5">
        <v>162.1</v>
      </c>
      <c r="V312" s="5">
        <v>160.80000000000001</v>
      </c>
      <c r="W312" s="5">
        <v>153.30000000000001</v>
      </c>
      <c r="X312" s="5">
        <v>162.80000000000001</v>
      </c>
      <c r="Y312" s="5">
        <v>150.5</v>
      </c>
      <c r="Z312" s="5">
        <v>153.9</v>
      </c>
      <c r="AA312" s="5">
        <v>160.30000000000001</v>
      </c>
      <c r="AB312" s="5">
        <v>159.6</v>
      </c>
      <c r="AC312" s="5">
        <v>156</v>
      </c>
      <c r="AD312" s="12">
        <v>162.30000000000001</v>
      </c>
      <c r="AE312" s="26">
        <f>COUNTIFS($A$2:$A$379,A312,$B$2:$B$379,B313,$C$2:$C$379,C312)</f>
        <v>1</v>
      </c>
    </row>
    <row r="313" spans="1:31">
      <c r="A313" s="11" t="s">
        <v>69</v>
      </c>
      <c r="B313" s="5">
        <v>2021</v>
      </c>
      <c r="C313" s="5" t="s">
        <v>77</v>
      </c>
      <c r="D313" s="5">
        <v>146.6</v>
      </c>
      <c r="E313" s="5">
        <v>204</v>
      </c>
      <c r="F313" s="5">
        <v>172.8</v>
      </c>
      <c r="G313" s="5">
        <v>158.4</v>
      </c>
      <c r="H313" s="5">
        <v>188</v>
      </c>
      <c r="I313" s="5">
        <v>156.69999999999999</v>
      </c>
      <c r="J313" s="5">
        <v>162.30000000000001</v>
      </c>
      <c r="K313" s="5">
        <v>164.1</v>
      </c>
      <c r="L313" s="5">
        <v>119.7</v>
      </c>
      <c r="M313" s="5">
        <v>168.8</v>
      </c>
      <c r="N313" s="5">
        <v>162.69999999999999</v>
      </c>
      <c r="O313" s="5">
        <v>173.9</v>
      </c>
      <c r="P313" s="5">
        <v>164</v>
      </c>
      <c r="Q313" s="5">
        <v>192.1</v>
      </c>
      <c r="R313" s="5">
        <v>164.6</v>
      </c>
      <c r="S313" s="5">
        <v>155.30000000000001</v>
      </c>
      <c r="T313" s="5">
        <v>163.30000000000001</v>
      </c>
      <c r="U313" s="5">
        <v>162.1</v>
      </c>
      <c r="V313" s="5">
        <v>162.6</v>
      </c>
      <c r="W313" s="5">
        <v>157.5</v>
      </c>
      <c r="X313" s="5">
        <v>168.4</v>
      </c>
      <c r="Y313" s="5">
        <v>154</v>
      </c>
      <c r="Z313" s="5">
        <v>157.69999999999999</v>
      </c>
      <c r="AA313" s="5">
        <v>163.69999999999999</v>
      </c>
      <c r="AB313" s="5">
        <v>160</v>
      </c>
      <c r="AC313" s="5">
        <v>160</v>
      </c>
      <c r="AD313" s="12">
        <v>163.19999999999999</v>
      </c>
      <c r="AE313" s="26">
        <f>COUNTIFS($A$2:$A$379,A313,$B$2:$B$379,B314,$C$2:$C$379,C313)</f>
        <v>1</v>
      </c>
    </row>
    <row r="314" spans="1:31">
      <c r="A314" s="11" t="s">
        <v>65</v>
      </c>
      <c r="B314" s="5">
        <v>2021</v>
      </c>
      <c r="C314" s="5" t="s">
        <v>78</v>
      </c>
      <c r="D314" s="5">
        <v>146.1</v>
      </c>
      <c r="E314" s="5">
        <v>202.5</v>
      </c>
      <c r="F314" s="5">
        <v>170.1</v>
      </c>
      <c r="G314" s="5">
        <v>158.4</v>
      </c>
      <c r="H314" s="5">
        <v>198.8</v>
      </c>
      <c r="I314" s="5">
        <v>152.6</v>
      </c>
      <c r="J314" s="5">
        <v>170.4</v>
      </c>
      <c r="K314" s="5">
        <v>165.2</v>
      </c>
      <c r="L314" s="5">
        <v>121.6</v>
      </c>
      <c r="M314" s="5">
        <v>170.6</v>
      </c>
      <c r="N314" s="5">
        <v>168.8</v>
      </c>
      <c r="O314" s="5">
        <v>173.6</v>
      </c>
      <c r="P314" s="5">
        <v>165.5</v>
      </c>
      <c r="Q314" s="5">
        <v>191.2</v>
      </c>
      <c r="R314" s="5">
        <v>168.9</v>
      </c>
      <c r="S314" s="5">
        <v>164.8</v>
      </c>
      <c r="T314" s="5">
        <v>168.3</v>
      </c>
      <c r="U314" s="5" t="s">
        <v>67</v>
      </c>
      <c r="V314" s="5">
        <v>165.5</v>
      </c>
      <c r="W314" s="5">
        <v>162</v>
      </c>
      <c r="X314" s="5">
        <v>172.5</v>
      </c>
      <c r="Y314" s="5">
        <v>159.5</v>
      </c>
      <c r="Z314" s="5">
        <v>163.19999999999999</v>
      </c>
      <c r="AA314" s="5">
        <v>169</v>
      </c>
      <c r="AB314" s="5">
        <v>161.1</v>
      </c>
      <c r="AC314" s="5">
        <v>164.7</v>
      </c>
      <c r="AD314" s="12">
        <v>166.3</v>
      </c>
      <c r="AE314" s="26">
        <f>COUNTIFS($A$2:$A$379,A314,$B$2:$B$379,B315,$C$2:$C$379,C314)</f>
        <v>1</v>
      </c>
    </row>
    <row r="315" spans="1:31">
      <c r="A315" s="11" t="s">
        <v>68</v>
      </c>
      <c r="B315" s="5">
        <v>2021</v>
      </c>
      <c r="C315" s="5" t="s">
        <v>78</v>
      </c>
      <c r="D315" s="5">
        <v>150.1</v>
      </c>
      <c r="E315" s="5">
        <v>208.4</v>
      </c>
      <c r="F315" s="5">
        <v>173</v>
      </c>
      <c r="G315" s="5">
        <v>159.19999999999999</v>
      </c>
      <c r="H315" s="5">
        <v>176.6</v>
      </c>
      <c r="I315" s="5">
        <v>159.30000000000001</v>
      </c>
      <c r="J315" s="5">
        <v>214.4</v>
      </c>
      <c r="K315" s="5">
        <v>165.3</v>
      </c>
      <c r="L315" s="5">
        <v>122.5</v>
      </c>
      <c r="M315" s="5">
        <v>166.8</v>
      </c>
      <c r="N315" s="5">
        <v>155.4</v>
      </c>
      <c r="O315" s="5">
        <v>175.9</v>
      </c>
      <c r="P315" s="5">
        <v>171.5</v>
      </c>
      <c r="Q315" s="5">
        <v>197</v>
      </c>
      <c r="R315" s="5">
        <v>160.80000000000001</v>
      </c>
      <c r="S315" s="5">
        <v>144.4</v>
      </c>
      <c r="T315" s="5">
        <v>158.30000000000001</v>
      </c>
      <c r="U315" s="5">
        <v>163.6</v>
      </c>
      <c r="V315" s="5">
        <v>162.19999999999999</v>
      </c>
      <c r="W315" s="5">
        <v>154.30000000000001</v>
      </c>
      <c r="X315" s="5">
        <v>163.5</v>
      </c>
      <c r="Y315" s="5">
        <v>152.19999999999999</v>
      </c>
      <c r="Z315" s="5">
        <v>155.1</v>
      </c>
      <c r="AA315" s="5">
        <v>160.30000000000001</v>
      </c>
      <c r="AB315" s="5">
        <v>160.30000000000001</v>
      </c>
      <c r="AC315" s="5">
        <v>157</v>
      </c>
      <c r="AD315" s="12">
        <v>164.6</v>
      </c>
      <c r="AE315" s="26">
        <f>COUNTIFS($A$2:$A$379,A315,$B$2:$B$379,B316,$C$2:$C$379,C315)</f>
        <v>1</v>
      </c>
    </row>
    <row r="316" spans="1:31">
      <c r="A316" s="11" t="s">
        <v>69</v>
      </c>
      <c r="B316" s="5">
        <v>2021</v>
      </c>
      <c r="C316" s="5" t="s">
        <v>78</v>
      </c>
      <c r="D316" s="5">
        <v>147.4</v>
      </c>
      <c r="E316" s="5">
        <v>204.6</v>
      </c>
      <c r="F316" s="5">
        <v>171.2</v>
      </c>
      <c r="G316" s="5">
        <v>158.69999999999999</v>
      </c>
      <c r="H316" s="5">
        <v>190.6</v>
      </c>
      <c r="I316" s="5">
        <v>155.69999999999999</v>
      </c>
      <c r="J316" s="5">
        <v>185.3</v>
      </c>
      <c r="K316" s="5">
        <v>165.2</v>
      </c>
      <c r="L316" s="5">
        <v>121.9</v>
      </c>
      <c r="M316" s="5">
        <v>169.3</v>
      </c>
      <c r="N316" s="5">
        <v>163.19999999999999</v>
      </c>
      <c r="O316" s="5">
        <v>174.7</v>
      </c>
      <c r="P316" s="5">
        <v>167.7</v>
      </c>
      <c r="Q316" s="5">
        <v>192.7</v>
      </c>
      <c r="R316" s="5">
        <v>165.7</v>
      </c>
      <c r="S316" s="5">
        <v>156.30000000000001</v>
      </c>
      <c r="T316" s="5">
        <v>164.3</v>
      </c>
      <c r="U316" s="5">
        <v>163.6</v>
      </c>
      <c r="V316" s="5">
        <v>164.2</v>
      </c>
      <c r="W316" s="5">
        <v>158.4</v>
      </c>
      <c r="X316" s="5">
        <v>169.1</v>
      </c>
      <c r="Y316" s="5">
        <v>155.69999999999999</v>
      </c>
      <c r="Z316" s="5">
        <v>158.6</v>
      </c>
      <c r="AA316" s="5">
        <v>163.9</v>
      </c>
      <c r="AB316" s="5">
        <v>160.80000000000001</v>
      </c>
      <c r="AC316" s="5">
        <v>161</v>
      </c>
      <c r="AD316" s="12">
        <v>165.5</v>
      </c>
      <c r="AE316" s="26">
        <f>COUNTIFS($A$2:$A$379,A316,$B$2:$B$379,B317,$C$2:$C$379,C316)</f>
        <v>1</v>
      </c>
    </row>
    <row r="317" spans="1:31">
      <c r="A317" s="11" t="s">
        <v>65</v>
      </c>
      <c r="B317" s="5">
        <v>2021</v>
      </c>
      <c r="C317" s="5" t="s">
        <v>79</v>
      </c>
      <c r="D317" s="5">
        <v>146.9</v>
      </c>
      <c r="E317" s="5">
        <v>199.8</v>
      </c>
      <c r="F317" s="5">
        <v>171.5</v>
      </c>
      <c r="G317" s="5">
        <v>159.1</v>
      </c>
      <c r="H317" s="5">
        <v>198.4</v>
      </c>
      <c r="I317" s="5">
        <v>153.19999999999999</v>
      </c>
      <c r="J317" s="5">
        <v>183.9</v>
      </c>
      <c r="K317" s="5">
        <v>165.4</v>
      </c>
      <c r="L317" s="5">
        <v>122.1</v>
      </c>
      <c r="M317" s="5">
        <v>170.8</v>
      </c>
      <c r="N317" s="5">
        <v>169.1</v>
      </c>
      <c r="O317" s="5">
        <v>174.3</v>
      </c>
      <c r="P317" s="5">
        <v>167.5</v>
      </c>
      <c r="Q317" s="5">
        <v>191.4</v>
      </c>
      <c r="R317" s="5">
        <v>170.4</v>
      </c>
      <c r="S317" s="5">
        <v>166</v>
      </c>
      <c r="T317" s="5">
        <v>169.8</v>
      </c>
      <c r="U317" s="5" t="s">
        <v>67</v>
      </c>
      <c r="V317" s="5">
        <v>165.3</v>
      </c>
      <c r="W317" s="5">
        <v>162.9</v>
      </c>
      <c r="X317" s="5">
        <v>173.4</v>
      </c>
      <c r="Y317" s="5">
        <v>158.9</v>
      </c>
      <c r="Z317" s="5">
        <v>163.80000000000001</v>
      </c>
      <c r="AA317" s="5">
        <v>169.3</v>
      </c>
      <c r="AB317" s="5">
        <v>162.4</v>
      </c>
      <c r="AC317" s="5">
        <v>165.2</v>
      </c>
      <c r="AD317" s="12">
        <v>167.6</v>
      </c>
      <c r="AE317" s="26">
        <f>COUNTIFS($A$2:$A$379,A317,$B$2:$B$379,B318,$C$2:$C$379,C317)</f>
        <v>1</v>
      </c>
    </row>
    <row r="318" spans="1:31">
      <c r="A318" s="11" t="s">
        <v>68</v>
      </c>
      <c r="B318" s="5">
        <v>2021</v>
      </c>
      <c r="C318" s="5" t="s">
        <v>79</v>
      </c>
      <c r="D318" s="5">
        <v>151</v>
      </c>
      <c r="E318" s="5">
        <v>204.9</v>
      </c>
      <c r="F318" s="5">
        <v>175.4</v>
      </c>
      <c r="G318" s="5">
        <v>159.6</v>
      </c>
      <c r="H318" s="5">
        <v>175.8</v>
      </c>
      <c r="I318" s="5">
        <v>160.30000000000001</v>
      </c>
      <c r="J318" s="5">
        <v>229.1</v>
      </c>
      <c r="K318" s="5">
        <v>165.1</v>
      </c>
      <c r="L318" s="5">
        <v>123.1</v>
      </c>
      <c r="M318" s="5">
        <v>167.2</v>
      </c>
      <c r="N318" s="5">
        <v>156.1</v>
      </c>
      <c r="O318" s="5">
        <v>176.8</v>
      </c>
      <c r="P318" s="5">
        <v>173.5</v>
      </c>
      <c r="Q318" s="5">
        <v>197</v>
      </c>
      <c r="R318" s="5">
        <v>162.30000000000001</v>
      </c>
      <c r="S318" s="5">
        <v>145.30000000000001</v>
      </c>
      <c r="T318" s="5">
        <v>159.69999999999999</v>
      </c>
      <c r="U318" s="5">
        <v>164.2</v>
      </c>
      <c r="V318" s="5">
        <v>161.6</v>
      </c>
      <c r="W318" s="5">
        <v>155.19999999999999</v>
      </c>
      <c r="X318" s="5">
        <v>164.2</v>
      </c>
      <c r="Y318" s="5">
        <v>151.19999999999999</v>
      </c>
      <c r="Z318" s="5">
        <v>156.69999999999999</v>
      </c>
      <c r="AA318" s="5">
        <v>160.80000000000001</v>
      </c>
      <c r="AB318" s="5">
        <v>161.80000000000001</v>
      </c>
      <c r="AC318" s="5">
        <v>157.30000000000001</v>
      </c>
      <c r="AD318" s="12">
        <v>165.6</v>
      </c>
      <c r="AE318" s="26">
        <f>COUNTIFS($A$2:$A$379,A318,$B$2:$B$379,B319,$C$2:$C$379,C318)</f>
        <v>1</v>
      </c>
    </row>
    <row r="319" spans="1:31">
      <c r="A319" s="11" t="s">
        <v>69</v>
      </c>
      <c r="B319" s="5">
        <v>2021</v>
      </c>
      <c r="C319" s="5" t="s">
        <v>79</v>
      </c>
      <c r="D319" s="5">
        <v>148.19999999999999</v>
      </c>
      <c r="E319" s="5">
        <v>201.6</v>
      </c>
      <c r="F319" s="5">
        <v>173</v>
      </c>
      <c r="G319" s="5">
        <v>159.30000000000001</v>
      </c>
      <c r="H319" s="5">
        <v>190.1</v>
      </c>
      <c r="I319" s="5">
        <v>156.5</v>
      </c>
      <c r="J319" s="5">
        <v>199.2</v>
      </c>
      <c r="K319" s="5">
        <v>165.3</v>
      </c>
      <c r="L319" s="5">
        <v>122.4</v>
      </c>
      <c r="M319" s="5">
        <v>169.6</v>
      </c>
      <c r="N319" s="5">
        <v>163.69999999999999</v>
      </c>
      <c r="O319" s="5">
        <v>175.5</v>
      </c>
      <c r="P319" s="5">
        <v>169.7</v>
      </c>
      <c r="Q319" s="5">
        <v>192.9</v>
      </c>
      <c r="R319" s="5">
        <v>167.2</v>
      </c>
      <c r="S319" s="5">
        <v>157.4</v>
      </c>
      <c r="T319" s="5">
        <v>165.8</v>
      </c>
      <c r="U319" s="5">
        <v>164.2</v>
      </c>
      <c r="V319" s="5">
        <v>163.9</v>
      </c>
      <c r="W319" s="5">
        <v>159.30000000000001</v>
      </c>
      <c r="X319" s="5">
        <v>169.9</v>
      </c>
      <c r="Y319" s="5">
        <v>154.80000000000001</v>
      </c>
      <c r="Z319" s="5">
        <v>159.80000000000001</v>
      </c>
      <c r="AA319" s="5">
        <v>164.3</v>
      </c>
      <c r="AB319" s="5">
        <v>162.19999999999999</v>
      </c>
      <c r="AC319" s="5">
        <v>161.4</v>
      </c>
      <c r="AD319" s="12">
        <v>166.7</v>
      </c>
      <c r="AE319" s="26">
        <f>COUNTIFS($A$2:$A$379,A319,$B$2:$B$379,B320,$C$2:$C$379,C319)</f>
        <v>1</v>
      </c>
    </row>
    <row r="320" spans="1:31">
      <c r="A320" s="11" t="s">
        <v>65</v>
      </c>
      <c r="B320" s="5">
        <v>2021</v>
      </c>
      <c r="C320" s="5" t="s">
        <v>80</v>
      </c>
      <c r="D320" s="5">
        <v>147.4</v>
      </c>
      <c r="E320" s="5">
        <v>197</v>
      </c>
      <c r="F320" s="5">
        <v>176.5</v>
      </c>
      <c r="G320" s="5">
        <v>159.80000000000001</v>
      </c>
      <c r="H320" s="5">
        <v>195.8</v>
      </c>
      <c r="I320" s="5">
        <v>152</v>
      </c>
      <c r="J320" s="5">
        <v>172.3</v>
      </c>
      <c r="K320" s="5">
        <v>164.5</v>
      </c>
      <c r="L320" s="5">
        <v>120.6</v>
      </c>
      <c r="M320" s="5">
        <v>171.7</v>
      </c>
      <c r="N320" s="5">
        <v>169.7</v>
      </c>
      <c r="O320" s="5">
        <v>175.1</v>
      </c>
      <c r="P320" s="5">
        <v>165.8</v>
      </c>
      <c r="Q320" s="5">
        <v>190.8</v>
      </c>
      <c r="R320" s="5">
        <v>171.8</v>
      </c>
      <c r="S320" s="5">
        <v>167.3</v>
      </c>
      <c r="T320" s="5">
        <v>171.2</v>
      </c>
      <c r="U320" s="5" t="s">
        <v>67</v>
      </c>
      <c r="V320" s="5">
        <v>165.6</v>
      </c>
      <c r="W320" s="5">
        <v>163.9</v>
      </c>
      <c r="X320" s="5">
        <v>174</v>
      </c>
      <c r="Y320" s="5">
        <v>160.1</v>
      </c>
      <c r="Z320" s="5">
        <v>164.5</v>
      </c>
      <c r="AA320" s="5">
        <v>169.7</v>
      </c>
      <c r="AB320" s="5">
        <v>162.80000000000001</v>
      </c>
      <c r="AC320" s="5">
        <v>166</v>
      </c>
      <c r="AD320" s="12">
        <v>167</v>
      </c>
      <c r="AE320" s="26">
        <f>COUNTIFS($A$2:$A$379,A320,$B$2:$B$379,B321,$C$2:$C$379,C320)</f>
        <v>1</v>
      </c>
    </row>
    <row r="321" spans="1:31">
      <c r="A321" s="11" t="s">
        <v>68</v>
      </c>
      <c r="B321" s="5">
        <v>2021</v>
      </c>
      <c r="C321" s="5" t="s">
        <v>80</v>
      </c>
      <c r="D321" s="5">
        <v>151.6</v>
      </c>
      <c r="E321" s="5">
        <v>202.2</v>
      </c>
      <c r="F321" s="5">
        <v>180</v>
      </c>
      <c r="G321" s="5">
        <v>160</v>
      </c>
      <c r="H321" s="5">
        <v>173.5</v>
      </c>
      <c r="I321" s="5">
        <v>158.30000000000001</v>
      </c>
      <c r="J321" s="5">
        <v>219.5</v>
      </c>
      <c r="K321" s="5">
        <v>164.2</v>
      </c>
      <c r="L321" s="5">
        <v>121.9</v>
      </c>
      <c r="M321" s="5">
        <v>168.2</v>
      </c>
      <c r="N321" s="5">
        <v>156.5</v>
      </c>
      <c r="O321" s="5">
        <v>178.2</v>
      </c>
      <c r="P321" s="5">
        <v>172.2</v>
      </c>
      <c r="Q321" s="5">
        <v>196.8</v>
      </c>
      <c r="R321" s="5">
        <v>163.30000000000001</v>
      </c>
      <c r="S321" s="5">
        <v>146.69999999999999</v>
      </c>
      <c r="T321" s="5">
        <v>160.69999999999999</v>
      </c>
      <c r="U321" s="5">
        <v>163.4</v>
      </c>
      <c r="V321" s="5">
        <v>161.69999999999999</v>
      </c>
      <c r="W321" s="5">
        <v>156</v>
      </c>
      <c r="X321" s="5">
        <v>165.1</v>
      </c>
      <c r="Y321" s="5">
        <v>151.80000000000001</v>
      </c>
      <c r="Z321" s="5">
        <v>157.6</v>
      </c>
      <c r="AA321" s="5">
        <v>160.6</v>
      </c>
      <c r="AB321" s="5">
        <v>162.4</v>
      </c>
      <c r="AC321" s="5">
        <v>157.80000000000001</v>
      </c>
      <c r="AD321" s="12">
        <v>165.2</v>
      </c>
      <c r="AE321" s="26">
        <f>COUNTIFS($A$2:$A$379,A321,$B$2:$B$379,B322,$C$2:$C$379,C321)</f>
        <v>1</v>
      </c>
    </row>
    <row r="322" spans="1:31">
      <c r="A322" s="11" t="s">
        <v>69</v>
      </c>
      <c r="B322" s="5">
        <v>2021</v>
      </c>
      <c r="C322" s="5" t="s">
        <v>80</v>
      </c>
      <c r="D322" s="5">
        <v>148.69999999999999</v>
      </c>
      <c r="E322" s="5">
        <v>198.8</v>
      </c>
      <c r="F322" s="5">
        <v>177.9</v>
      </c>
      <c r="G322" s="5">
        <v>159.9</v>
      </c>
      <c r="H322" s="5">
        <v>187.6</v>
      </c>
      <c r="I322" s="5">
        <v>154.9</v>
      </c>
      <c r="J322" s="5">
        <v>188.3</v>
      </c>
      <c r="K322" s="5">
        <v>164.4</v>
      </c>
      <c r="L322" s="5">
        <v>121</v>
      </c>
      <c r="M322" s="5">
        <v>170.5</v>
      </c>
      <c r="N322" s="5">
        <v>164.2</v>
      </c>
      <c r="O322" s="5">
        <v>176.5</v>
      </c>
      <c r="P322" s="5">
        <v>168.2</v>
      </c>
      <c r="Q322" s="5">
        <v>192.4</v>
      </c>
      <c r="R322" s="5">
        <v>168.5</v>
      </c>
      <c r="S322" s="5">
        <v>158.69999999999999</v>
      </c>
      <c r="T322" s="5">
        <v>167</v>
      </c>
      <c r="U322" s="5">
        <v>163.4</v>
      </c>
      <c r="V322" s="5">
        <v>164.1</v>
      </c>
      <c r="W322" s="5">
        <v>160.19999999999999</v>
      </c>
      <c r="X322" s="5">
        <v>170.6</v>
      </c>
      <c r="Y322" s="5">
        <v>155.69999999999999</v>
      </c>
      <c r="Z322" s="5">
        <v>160.6</v>
      </c>
      <c r="AA322" s="5">
        <v>164.4</v>
      </c>
      <c r="AB322" s="5">
        <v>162.6</v>
      </c>
      <c r="AC322" s="5">
        <v>162</v>
      </c>
      <c r="AD322" s="12">
        <v>166.2</v>
      </c>
      <c r="AE322" s="26">
        <f>COUNTIFS($A$2:$A$379,A322,$B$2:$B$379,B323,$C$2:$C$379,C322)</f>
        <v>1</v>
      </c>
    </row>
    <row r="323" spans="1:31">
      <c r="A323" s="11" t="s">
        <v>65</v>
      </c>
      <c r="B323" s="5">
        <v>2022</v>
      </c>
      <c r="C323" s="5" t="s">
        <v>66</v>
      </c>
      <c r="D323" s="5">
        <v>148.30000000000001</v>
      </c>
      <c r="E323" s="5">
        <v>196.9</v>
      </c>
      <c r="F323" s="5">
        <v>178</v>
      </c>
      <c r="G323" s="5">
        <v>160.5</v>
      </c>
      <c r="H323" s="5">
        <v>192.6</v>
      </c>
      <c r="I323" s="5">
        <v>151.19999999999999</v>
      </c>
      <c r="J323" s="5">
        <v>159.19999999999999</v>
      </c>
      <c r="K323" s="5">
        <v>164</v>
      </c>
      <c r="L323" s="5">
        <v>119.3</v>
      </c>
      <c r="M323" s="5">
        <v>173.3</v>
      </c>
      <c r="N323" s="5">
        <v>169.8</v>
      </c>
      <c r="O323" s="5">
        <v>175.8</v>
      </c>
      <c r="P323" s="5">
        <v>164.1</v>
      </c>
      <c r="Q323" s="5">
        <v>190.7</v>
      </c>
      <c r="R323" s="5">
        <v>173.2</v>
      </c>
      <c r="S323" s="5">
        <v>169.3</v>
      </c>
      <c r="T323" s="5">
        <v>172.7</v>
      </c>
      <c r="U323" s="5" t="s">
        <v>67</v>
      </c>
      <c r="V323" s="5">
        <v>165.8</v>
      </c>
      <c r="W323" s="5">
        <v>164.9</v>
      </c>
      <c r="X323" s="5">
        <v>174.7</v>
      </c>
      <c r="Y323" s="5">
        <v>160.80000000000001</v>
      </c>
      <c r="Z323" s="5">
        <v>164.9</v>
      </c>
      <c r="AA323" s="5">
        <v>169.9</v>
      </c>
      <c r="AB323" s="5">
        <v>163.19999999999999</v>
      </c>
      <c r="AC323" s="5">
        <v>166.6</v>
      </c>
      <c r="AD323" s="12">
        <v>166.4</v>
      </c>
      <c r="AE323" s="26">
        <f>COUNTIFS($A$2:$A$379,A323,$B$2:$B$379,B324,$C$2:$C$379,C323)</f>
        <v>1</v>
      </c>
    </row>
    <row r="324" spans="1:31">
      <c r="A324" s="11" t="s">
        <v>68</v>
      </c>
      <c r="B324" s="5">
        <v>2022</v>
      </c>
      <c r="C324" s="5" t="s">
        <v>66</v>
      </c>
      <c r="D324" s="5">
        <v>152.19999999999999</v>
      </c>
      <c r="E324" s="5">
        <v>202.1</v>
      </c>
      <c r="F324" s="5">
        <v>180.1</v>
      </c>
      <c r="G324" s="5">
        <v>160.4</v>
      </c>
      <c r="H324" s="5">
        <v>171</v>
      </c>
      <c r="I324" s="5">
        <v>156.5</v>
      </c>
      <c r="J324" s="5">
        <v>203.6</v>
      </c>
      <c r="K324" s="5">
        <v>163.80000000000001</v>
      </c>
      <c r="L324" s="5">
        <v>121.3</v>
      </c>
      <c r="M324" s="5">
        <v>169.8</v>
      </c>
      <c r="N324" s="5">
        <v>156.6</v>
      </c>
      <c r="O324" s="5">
        <v>179</v>
      </c>
      <c r="P324" s="5">
        <v>170.3</v>
      </c>
      <c r="Q324" s="5">
        <v>196.4</v>
      </c>
      <c r="R324" s="5">
        <v>164.7</v>
      </c>
      <c r="S324" s="5">
        <v>148.5</v>
      </c>
      <c r="T324" s="5">
        <v>162.19999999999999</v>
      </c>
      <c r="U324" s="5">
        <v>164.5</v>
      </c>
      <c r="V324" s="5">
        <v>161.6</v>
      </c>
      <c r="W324" s="5">
        <v>156.80000000000001</v>
      </c>
      <c r="X324" s="5">
        <v>166.1</v>
      </c>
      <c r="Y324" s="5">
        <v>152.69999999999999</v>
      </c>
      <c r="Z324" s="5">
        <v>158.4</v>
      </c>
      <c r="AA324" s="5">
        <v>161</v>
      </c>
      <c r="AB324" s="5">
        <v>162.80000000000001</v>
      </c>
      <c r="AC324" s="5">
        <v>158.6</v>
      </c>
      <c r="AD324" s="12">
        <v>165</v>
      </c>
      <c r="AE324" s="26">
        <f>COUNTIFS($A$2:$A$379,A324,$B$2:$B$379,B325,$C$2:$C$379,C324)</f>
        <v>1</v>
      </c>
    </row>
    <row r="325" spans="1:31">
      <c r="A325" s="11" t="s">
        <v>69</v>
      </c>
      <c r="B325" s="5">
        <v>2022</v>
      </c>
      <c r="C325" s="5" t="s">
        <v>66</v>
      </c>
      <c r="D325" s="5">
        <v>149.5</v>
      </c>
      <c r="E325" s="5">
        <v>198.7</v>
      </c>
      <c r="F325" s="5">
        <v>178.8</v>
      </c>
      <c r="G325" s="5">
        <v>160.5</v>
      </c>
      <c r="H325" s="5">
        <v>184.7</v>
      </c>
      <c r="I325" s="5">
        <v>153.69999999999999</v>
      </c>
      <c r="J325" s="5">
        <v>174.3</v>
      </c>
      <c r="K325" s="5">
        <v>163.9</v>
      </c>
      <c r="L325" s="5">
        <v>120</v>
      </c>
      <c r="M325" s="5">
        <v>172.1</v>
      </c>
      <c r="N325" s="5">
        <v>164.3</v>
      </c>
      <c r="O325" s="5">
        <v>177.3</v>
      </c>
      <c r="P325" s="5">
        <v>166.4</v>
      </c>
      <c r="Q325" s="5">
        <v>192.2</v>
      </c>
      <c r="R325" s="5">
        <v>169.9</v>
      </c>
      <c r="S325" s="5">
        <v>160.69999999999999</v>
      </c>
      <c r="T325" s="5">
        <v>168.5</v>
      </c>
      <c r="U325" s="5">
        <v>164.5</v>
      </c>
      <c r="V325" s="5">
        <v>164.2</v>
      </c>
      <c r="W325" s="5">
        <v>161.1</v>
      </c>
      <c r="X325" s="5">
        <v>171.4</v>
      </c>
      <c r="Y325" s="5">
        <v>156.5</v>
      </c>
      <c r="Z325" s="5">
        <v>161.19999999999999</v>
      </c>
      <c r="AA325" s="5">
        <v>164.7</v>
      </c>
      <c r="AB325" s="5">
        <v>163</v>
      </c>
      <c r="AC325" s="5">
        <v>162.69999999999999</v>
      </c>
      <c r="AD325" s="12">
        <v>165.7</v>
      </c>
      <c r="AE325" s="26">
        <f>COUNTIFS($A$2:$A$379,A325,$B$2:$B$379,B326,$C$2:$C$379,C325)</f>
        <v>1</v>
      </c>
    </row>
    <row r="326" spans="1:31">
      <c r="A326" s="11" t="s">
        <v>65</v>
      </c>
      <c r="B326" s="5">
        <v>2022</v>
      </c>
      <c r="C326" s="5" t="s">
        <v>70</v>
      </c>
      <c r="D326" s="5">
        <v>148.80000000000001</v>
      </c>
      <c r="E326" s="5">
        <v>198.1</v>
      </c>
      <c r="F326" s="5">
        <v>175.5</v>
      </c>
      <c r="G326" s="5">
        <v>160.69999999999999</v>
      </c>
      <c r="H326" s="5">
        <v>192.6</v>
      </c>
      <c r="I326" s="5">
        <v>151.4</v>
      </c>
      <c r="J326" s="5">
        <v>155.19999999999999</v>
      </c>
      <c r="K326" s="5">
        <v>163.9</v>
      </c>
      <c r="L326" s="5">
        <v>118.1</v>
      </c>
      <c r="M326" s="5">
        <v>175.4</v>
      </c>
      <c r="N326" s="5">
        <v>170.5</v>
      </c>
      <c r="O326" s="5">
        <v>176.3</v>
      </c>
      <c r="P326" s="5">
        <v>163.9</v>
      </c>
      <c r="Q326" s="5">
        <v>191.5</v>
      </c>
      <c r="R326" s="5">
        <v>174.1</v>
      </c>
      <c r="S326" s="5">
        <v>171</v>
      </c>
      <c r="T326" s="5">
        <v>173.7</v>
      </c>
      <c r="U326" s="5" t="s">
        <v>67</v>
      </c>
      <c r="V326" s="5">
        <v>167.4</v>
      </c>
      <c r="W326" s="5">
        <v>165.7</v>
      </c>
      <c r="X326" s="5">
        <v>175.3</v>
      </c>
      <c r="Y326" s="5">
        <v>161.19999999999999</v>
      </c>
      <c r="Z326" s="5">
        <v>165.5</v>
      </c>
      <c r="AA326" s="5">
        <v>170.3</v>
      </c>
      <c r="AB326" s="5">
        <v>164.5</v>
      </c>
      <c r="AC326" s="5">
        <v>167.3</v>
      </c>
      <c r="AD326" s="12">
        <v>166.7</v>
      </c>
      <c r="AE326" s="26">
        <f>COUNTIFS($A$2:$A$379,A326,$B$2:$B$379,B327,$C$2:$C$379,C326)</f>
        <v>1</v>
      </c>
    </row>
    <row r="327" spans="1:31">
      <c r="A327" s="11" t="s">
        <v>68</v>
      </c>
      <c r="B327" s="5">
        <v>2022</v>
      </c>
      <c r="C327" s="5" t="s">
        <v>70</v>
      </c>
      <c r="D327" s="5">
        <v>152.5</v>
      </c>
      <c r="E327" s="5">
        <v>205.2</v>
      </c>
      <c r="F327" s="5">
        <v>176.4</v>
      </c>
      <c r="G327" s="5">
        <v>160.6</v>
      </c>
      <c r="H327" s="5">
        <v>171.5</v>
      </c>
      <c r="I327" s="5">
        <v>156.4</v>
      </c>
      <c r="J327" s="5">
        <v>198</v>
      </c>
      <c r="K327" s="5">
        <v>163.19999999999999</v>
      </c>
      <c r="L327" s="5">
        <v>120.6</v>
      </c>
      <c r="M327" s="5">
        <v>172.2</v>
      </c>
      <c r="N327" s="5">
        <v>156.69999999999999</v>
      </c>
      <c r="O327" s="5">
        <v>180</v>
      </c>
      <c r="P327" s="5">
        <v>170.2</v>
      </c>
      <c r="Q327" s="5">
        <v>196.5</v>
      </c>
      <c r="R327" s="5">
        <v>165.7</v>
      </c>
      <c r="S327" s="5">
        <v>150.4</v>
      </c>
      <c r="T327" s="5">
        <v>163.4</v>
      </c>
      <c r="U327" s="5">
        <v>165.5</v>
      </c>
      <c r="V327" s="5">
        <v>163</v>
      </c>
      <c r="W327" s="5">
        <v>157.4</v>
      </c>
      <c r="X327" s="5">
        <v>167.2</v>
      </c>
      <c r="Y327" s="5">
        <v>153.1</v>
      </c>
      <c r="Z327" s="5">
        <v>159.5</v>
      </c>
      <c r="AA327" s="5">
        <v>162</v>
      </c>
      <c r="AB327" s="5">
        <v>164.2</v>
      </c>
      <c r="AC327" s="5">
        <v>159.4</v>
      </c>
      <c r="AD327" s="12">
        <v>165.5</v>
      </c>
      <c r="AE327" s="26">
        <f>COUNTIFS($A$2:$A$379,A327,$B$2:$B$379,B328,$C$2:$C$379,C327)</f>
        <v>1</v>
      </c>
    </row>
    <row r="328" spans="1:31">
      <c r="A328" s="11" t="s">
        <v>69</v>
      </c>
      <c r="B328" s="5">
        <v>2022</v>
      </c>
      <c r="C328" s="5" t="s">
        <v>70</v>
      </c>
      <c r="D328" s="5">
        <v>150</v>
      </c>
      <c r="E328" s="5">
        <v>200.6</v>
      </c>
      <c r="F328" s="5">
        <v>175.8</v>
      </c>
      <c r="G328" s="5">
        <v>160.69999999999999</v>
      </c>
      <c r="H328" s="5">
        <v>184.9</v>
      </c>
      <c r="I328" s="5">
        <v>153.69999999999999</v>
      </c>
      <c r="J328" s="5">
        <v>169.7</v>
      </c>
      <c r="K328" s="5">
        <v>163.69999999999999</v>
      </c>
      <c r="L328" s="5">
        <v>118.9</v>
      </c>
      <c r="M328" s="5">
        <v>174.3</v>
      </c>
      <c r="N328" s="5">
        <v>164.7</v>
      </c>
      <c r="O328" s="5">
        <v>178</v>
      </c>
      <c r="P328" s="5">
        <v>166.2</v>
      </c>
      <c r="Q328" s="5">
        <v>192.8</v>
      </c>
      <c r="R328" s="5">
        <v>170.8</v>
      </c>
      <c r="S328" s="5">
        <v>162.4</v>
      </c>
      <c r="T328" s="5">
        <v>169.6</v>
      </c>
      <c r="U328" s="5">
        <v>165.5</v>
      </c>
      <c r="V328" s="5">
        <v>165.7</v>
      </c>
      <c r="W328" s="5">
        <v>161.80000000000001</v>
      </c>
      <c r="X328" s="5">
        <v>172.2</v>
      </c>
      <c r="Y328" s="5">
        <v>156.9</v>
      </c>
      <c r="Z328" s="5">
        <v>162.1</v>
      </c>
      <c r="AA328" s="5">
        <v>165.4</v>
      </c>
      <c r="AB328" s="5">
        <v>164.4</v>
      </c>
      <c r="AC328" s="5">
        <v>163.5</v>
      </c>
      <c r="AD328" s="12">
        <v>166.1</v>
      </c>
      <c r="AE328" s="26">
        <f>COUNTIFS($A$2:$A$379,A328,$B$2:$B$379,B329,$C$2:$C$379,C328)</f>
        <v>1</v>
      </c>
    </row>
    <row r="329" spans="1:31">
      <c r="A329" s="11" t="s">
        <v>65</v>
      </c>
      <c r="B329" s="5">
        <v>2022</v>
      </c>
      <c r="C329" s="5" t="s">
        <v>71</v>
      </c>
      <c r="D329" s="5">
        <v>150.19999999999999</v>
      </c>
      <c r="E329" s="5">
        <v>208</v>
      </c>
      <c r="F329" s="5">
        <v>167.9</v>
      </c>
      <c r="G329" s="5">
        <v>162</v>
      </c>
      <c r="H329" s="5">
        <v>203.1</v>
      </c>
      <c r="I329" s="5">
        <v>155.9</v>
      </c>
      <c r="J329" s="5">
        <v>155.80000000000001</v>
      </c>
      <c r="K329" s="5">
        <v>164.2</v>
      </c>
      <c r="L329" s="5">
        <v>118.1</v>
      </c>
      <c r="M329" s="5">
        <v>178.7</v>
      </c>
      <c r="N329" s="5">
        <v>171.2</v>
      </c>
      <c r="O329" s="5">
        <v>177.4</v>
      </c>
      <c r="P329" s="5">
        <v>166.6</v>
      </c>
      <c r="Q329" s="5">
        <v>192.3</v>
      </c>
      <c r="R329" s="5">
        <v>175.4</v>
      </c>
      <c r="S329" s="5">
        <v>173.2</v>
      </c>
      <c r="T329" s="5">
        <v>175.1</v>
      </c>
      <c r="U329" s="5" t="s">
        <v>67</v>
      </c>
      <c r="V329" s="5">
        <v>168.9</v>
      </c>
      <c r="W329" s="5">
        <v>166.5</v>
      </c>
      <c r="X329" s="5">
        <v>176</v>
      </c>
      <c r="Y329" s="5">
        <v>162</v>
      </c>
      <c r="Z329" s="5">
        <v>166.6</v>
      </c>
      <c r="AA329" s="5">
        <v>170.6</v>
      </c>
      <c r="AB329" s="5">
        <v>167.4</v>
      </c>
      <c r="AC329" s="5">
        <v>168.3</v>
      </c>
      <c r="AD329" s="12">
        <v>168.7</v>
      </c>
      <c r="AE329" s="26">
        <f>COUNTIFS($A$2:$A$379,A329,$B$2:$B$379,B330,$C$2:$C$379,C329)</f>
        <v>1</v>
      </c>
    </row>
    <row r="330" spans="1:31">
      <c r="A330" s="11" t="s">
        <v>68</v>
      </c>
      <c r="B330" s="5">
        <v>2022</v>
      </c>
      <c r="C330" s="5" t="s">
        <v>71</v>
      </c>
      <c r="D330" s="5">
        <v>153.69999999999999</v>
      </c>
      <c r="E330" s="5">
        <v>215.8</v>
      </c>
      <c r="F330" s="5">
        <v>167.7</v>
      </c>
      <c r="G330" s="5">
        <v>162.6</v>
      </c>
      <c r="H330" s="5">
        <v>180</v>
      </c>
      <c r="I330" s="5">
        <v>159.6</v>
      </c>
      <c r="J330" s="5">
        <v>188.4</v>
      </c>
      <c r="K330" s="5">
        <v>163.4</v>
      </c>
      <c r="L330" s="5">
        <v>120.3</v>
      </c>
      <c r="M330" s="5">
        <v>174.7</v>
      </c>
      <c r="N330" s="5">
        <v>157.1</v>
      </c>
      <c r="O330" s="5">
        <v>181.5</v>
      </c>
      <c r="P330" s="5">
        <v>171.5</v>
      </c>
      <c r="Q330" s="5">
        <v>197.5</v>
      </c>
      <c r="R330" s="5">
        <v>167.1</v>
      </c>
      <c r="S330" s="5">
        <v>152.6</v>
      </c>
      <c r="T330" s="5">
        <v>164.9</v>
      </c>
      <c r="U330" s="5">
        <v>165.3</v>
      </c>
      <c r="V330" s="5">
        <v>164.5</v>
      </c>
      <c r="W330" s="5">
        <v>158.6</v>
      </c>
      <c r="X330" s="5">
        <v>168.2</v>
      </c>
      <c r="Y330" s="5">
        <v>154.19999999999999</v>
      </c>
      <c r="Z330" s="5">
        <v>160.80000000000001</v>
      </c>
      <c r="AA330" s="5">
        <v>162.69999999999999</v>
      </c>
      <c r="AB330" s="5">
        <v>166.8</v>
      </c>
      <c r="AC330" s="5">
        <v>160.6</v>
      </c>
      <c r="AD330" s="12">
        <v>166.5</v>
      </c>
      <c r="AE330" s="26">
        <f>COUNTIFS($A$2:$A$379,A330,$B$2:$B$379,B331,$C$2:$C$379,C330)</f>
        <v>1</v>
      </c>
    </row>
    <row r="331" spans="1:31">
      <c r="A331" s="11" t="s">
        <v>69</v>
      </c>
      <c r="B331" s="5">
        <v>2022</v>
      </c>
      <c r="C331" s="5" t="s">
        <v>71</v>
      </c>
      <c r="D331" s="5">
        <v>151.30000000000001</v>
      </c>
      <c r="E331" s="5">
        <v>210.7</v>
      </c>
      <c r="F331" s="5">
        <v>167.8</v>
      </c>
      <c r="G331" s="5">
        <v>162.19999999999999</v>
      </c>
      <c r="H331" s="5">
        <v>194.6</v>
      </c>
      <c r="I331" s="5">
        <v>157.6</v>
      </c>
      <c r="J331" s="5">
        <v>166.9</v>
      </c>
      <c r="K331" s="5">
        <v>163.9</v>
      </c>
      <c r="L331" s="5">
        <v>118.8</v>
      </c>
      <c r="M331" s="5">
        <v>177.4</v>
      </c>
      <c r="N331" s="5">
        <v>165.3</v>
      </c>
      <c r="O331" s="5">
        <v>179.3</v>
      </c>
      <c r="P331" s="5">
        <v>168.4</v>
      </c>
      <c r="Q331" s="5">
        <v>193.7</v>
      </c>
      <c r="R331" s="5">
        <v>172.1</v>
      </c>
      <c r="S331" s="5">
        <v>164.6</v>
      </c>
      <c r="T331" s="5">
        <v>171.1</v>
      </c>
      <c r="U331" s="5">
        <v>165.3</v>
      </c>
      <c r="V331" s="5">
        <v>167.2</v>
      </c>
      <c r="W331" s="5">
        <v>162.80000000000001</v>
      </c>
      <c r="X331" s="5">
        <v>173</v>
      </c>
      <c r="Y331" s="5">
        <v>157.9</v>
      </c>
      <c r="Z331" s="5">
        <v>163.30000000000001</v>
      </c>
      <c r="AA331" s="5">
        <v>166</v>
      </c>
      <c r="AB331" s="5">
        <v>167.2</v>
      </c>
      <c r="AC331" s="5">
        <v>164.6</v>
      </c>
      <c r="AD331" s="12">
        <v>167.7</v>
      </c>
      <c r="AE331" s="26">
        <f>COUNTIFS($A$2:$A$379,A331,$B$2:$B$379,B332,$C$2:$C$379,C331)</f>
        <v>1</v>
      </c>
    </row>
    <row r="332" spans="1:31">
      <c r="A332" s="11" t="s">
        <v>65</v>
      </c>
      <c r="B332" s="5">
        <v>2022</v>
      </c>
      <c r="C332" s="5" t="s">
        <v>72</v>
      </c>
      <c r="D332" s="5">
        <v>151.80000000000001</v>
      </c>
      <c r="E332" s="5">
        <v>209.7</v>
      </c>
      <c r="F332" s="5">
        <v>164.5</v>
      </c>
      <c r="G332" s="5">
        <v>163.80000000000001</v>
      </c>
      <c r="H332" s="5">
        <v>207.4</v>
      </c>
      <c r="I332" s="5">
        <v>169.7</v>
      </c>
      <c r="J332" s="5">
        <v>153.6</v>
      </c>
      <c r="K332" s="5">
        <v>165.1</v>
      </c>
      <c r="L332" s="5">
        <v>118.2</v>
      </c>
      <c r="M332" s="5">
        <v>182.9</v>
      </c>
      <c r="N332" s="5">
        <v>172.4</v>
      </c>
      <c r="O332" s="5">
        <v>178.9</v>
      </c>
      <c r="P332" s="5">
        <v>168.6</v>
      </c>
      <c r="Q332" s="5">
        <v>192.8</v>
      </c>
      <c r="R332" s="5">
        <v>177.5</v>
      </c>
      <c r="S332" s="5">
        <v>175.1</v>
      </c>
      <c r="T332" s="5">
        <v>177.1</v>
      </c>
      <c r="U332" s="5" t="s">
        <v>67</v>
      </c>
      <c r="V332" s="5">
        <v>173.3</v>
      </c>
      <c r="W332" s="5">
        <v>167.7</v>
      </c>
      <c r="X332" s="5">
        <v>177</v>
      </c>
      <c r="Y332" s="5">
        <v>166.2</v>
      </c>
      <c r="Z332" s="5">
        <v>167.2</v>
      </c>
      <c r="AA332" s="5">
        <v>170.9</v>
      </c>
      <c r="AB332" s="5">
        <v>169</v>
      </c>
      <c r="AC332" s="5">
        <v>170.2</v>
      </c>
      <c r="AD332" s="12">
        <v>170.8</v>
      </c>
      <c r="AE332" s="26">
        <f>COUNTIFS($A$2:$A$379,A332,$B$2:$B$379,B333,$C$2:$C$379,C332)</f>
        <v>1</v>
      </c>
    </row>
    <row r="333" spans="1:31">
      <c r="A333" s="11" t="s">
        <v>68</v>
      </c>
      <c r="B333" s="5">
        <v>2022</v>
      </c>
      <c r="C333" s="5" t="s">
        <v>72</v>
      </c>
      <c r="D333" s="5">
        <v>155.4</v>
      </c>
      <c r="E333" s="5">
        <v>215.8</v>
      </c>
      <c r="F333" s="5">
        <v>164.6</v>
      </c>
      <c r="G333" s="5">
        <v>164.2</v>
      </c>
      <c r="H333" s="5">
        <v>186</v>
      </c>
      <c r="I333" s="5">
        <v>175.9</v>
      </c>
      <c r="J333" s="5">
        <v>190.7</v>
      </c>
      <c r="K333" s="5">
        <v>164</v>
      </c>
      <c r="L333" s="5">
        <v>120.5</v>
      </c>
      <c r="M333" s="5">
        <v>178</v>
      </c>
      <c r="N333" s="5">
        <v>157.5</v>
      </c>
      <c r="O333" s="5">
        <v>183.3</v>
      </c>
      <c r="P333" s="5">
        <v>174.5</v>
      </c>
      <c r="Q333" s="5">
        <v>197.1</v>
      </c>
      <c r="R333" s="5">
        <v>168.4</v>
      </c>
      <c r="S333" s="5">
        <v>154.5</v>
      </c>
      <c r="T333" s="5">
        <v>166.3</v>
      </c>
      <c r="U333" s="5">
        <v>167</v>
      </c>
      <c r="V333" s="5">
        <v>170.5</v>
      </c>
      <c r="W333" s="5">
        <v>159.80000000000001</v>
      </c>
      <c r="X333" s="5">
        <v>169</v>
      </c>
      <c r="Y333" s="5">
        <v>159.30000000000001</v>
      </c>
      <c r="Z333" s="5">
        <v>162.19999999999999</v>
      </c>
      <c r="AA333" s="5">
        <v>164</v>
      </c>
      <c r="AB333" s="5">
        <v>168.4</v>
      </c>
      <c r="AC333" s="5">
        <v>163.1</v>
      </c>
      <c r="AD333" s="12">
        <v>169.2</v>
      </c>
      <c r="AE333" s="26">
        <f>COUNTIFS($A$2:$A$379,A333,$B$2:$B$379,B334,$C$2:$C$379,C333)</f>
        <v>1</v>
      </c>
    </row>
    <row r="334" spans="1:31">
      <c r="A334" s="11" t="s">
        <v>69</v>
      </c>
      <c r="B334" s="5">
        <v>2022</v>
      </c>
      <c r="C334" s="5" t="s">
        <v>72</v>
      </c>
      <c r="D334" s="5">
        <v>152.9</v>
      </c>
      <c r="E334" s="5">
        <v>211.8</v>
      </c>
      <c r="F334" s="5">
        <v>164.5</v>
      </c>
      <c r="G334" s="5">
        <v>163.9</v>
      </c>
      <c r="H334" s="5">
        <v>199.5</v>
      </c>
      <c r="I334" s="5">
        <v>172.6</v>
      </c>
      <c r="J334" s="5">
        <v>166.2</v>
      </c>
      <c r="K334" s="5">
        <v>164.7</v>
      </c>
      <c r="L334" s="5">
        <v>119</v>
      </c>
      <c r="M334" s="5">
        <v>181.3</v>
      </c>
      <c r="N334" s="5">
        <v>166.2</v>
      </c>
      <c r="O334" s="5">
        <v>180.9</v>
      </c>
      <c r="P334" s="5">
        <v>170.8</v>
      </c>
      <c r="Q334" s="5">
        <v>193.9</v>
      </c>
      <c r="R334" s="5">
        <v>173.9</v>
      </c>
      <c r="S334" s="5">
        <v>166.5</v>
      </c>
      <c r="T334" s="5">
        <v>172.8</v>
      </c>
      <c r="U334" s="5">
        <v>167</v>
      </c>
      <c r="V334" s="5">
        <v>172.2</v>
      </c>
      <c r="W334" s="5">
        <v>164</v>
      </c>
      <c r="X334" s="5">
        <v>174</v>
      </c>
      <c r="Y334" s="5">
        <v>162.6</v>
      </c>
      <c r="Z334" s="5">
        <v>164.4</v>
      </c>
      <c r="AA334" s="5">
        <v>166.9</v>
      </c>
      <c r="AB334" s="5">
        <v>168.8</v>
      </c>
      <c r="AC334" s="5">
        <v>166.8</v>
      </c>
      <c r="AD334" s="12">
        <v>170.1</v>
      </c>
      <c r="AE334" s="26">
        <f>COUNTIFS($A$2:$A$379,A334,$B$2:$B$379,B335,$C$2:$C$379,C334)</f>
        <v>1</v>
      </c>
    </row>
    <row r="335" spans="1:31">
      <c r="A335" s="11" t="s">
        <v>65</v>
      </c>
      <c r="B335" s="5">
        <v>2022</v>
      </c>
      <c r="C335" s="5" t="s">
        <v>73</v>
      </c>
      <c r="D335" s="5">
        <v>152.9</v>
      </c>
      <c r="E335" s="5">
        <v>214.7</v>
      </c>
      <c r="F335" s="5">
        <v>161.4</v>
      </c>
      <c r="G335" s="5">
        <v>164.6</v>
      </c>
      <c r="H335" s="5">
        <v>209.9</v>
      </c>
      <c r="I335" s="5">
        <v>168</v>
      </c>
      <c r="J335" s="5">
        <v>160.4</v>
      </c>
      <c r="K335" s="5">
        <v>165</v>
      </c>
      <c r="L335" s="5">
        <v>118.9</v>
      </c>
      <c r="M335" s="5">
        <v>186.6</v>
      </c>
      <c r="N335" s="5">
        <v>173.2</v>
      </c>
      <c r="O335" s="5">
        <v>180.4</v>
      </c>
      <c r="P335" s="5">
        <v>170.8</v>
      </c>
      <c r="Q335" s="5">
        <v>192.9</v>
      </c>
      <c r="R335" s="5">
        <v>179.3</v>
      </c>
      <c r="S335" s="5">
        <v>177.2</v>
      </c>
      <c r="T335" s="5">
        <v>179</v>
      </c>
      <c r="U335" s="5" t="s">
        <v>67</v>
      </c>
      <c r="V335" s="5">
        <v>175.3</v>
      </c>
      <c r="W335" s="5">
        <v>168.9</v>
      </c>
      <c r="X335" s="5">
        <v>177.7</v>
      </c>
      <c r="Y335" s="5">
        <v>167.1</v>
      </c>
      <c r="Z335" s="5">
        <v>167.6</v>
      </c>
      <c r="AA335" s="5">
        <v>171.8</v>
      </c>
      <c r="AB335" s="5">
        <v>168.5</v>
      </c>
      <c r="AC335" s="5">
        <v>170.9</v>
      </c>
      <c r="AD335" s="12">
        <v>172.5</v>
      </c>
      <c r="AE335" s="26">
        <f>COUNTIFS($A$2:$A$379,A335,$B$2:$B$379,B336,$C$2:$C$379,C335)</f>
        <v>1</v>
      </c>
    </row>
    <row r="336" spans="1:31">
      <c r="A336" s="11" t="s">
        <v>68</v>
      </c>
      <c r="B336" s="5">
        <v>2022</v>
      </c>
      <c r="C336" s="5" t="s">
        <v>73</v>
      </c>
      <c r="D336" s="5">
        <v>156.69999999999999</v>
      </c>
      <c r="E336" s="5">
        <v>221.2</v>
      </c>
      <c r="F336" s="5">
        <v>164.1</v>
      </c>
      <c r="G336" s="5">
        <v>165.4</v>
      </c>
      <c r="H336" s="5">
        <v>189.5</v>
      </c>
      <c r="I336" s="5">
        <v>174.5</v>
      </c>
      <c r="J336" s="5">
        <v>203.2</v>
      </c>
      <c r="K336" s="5">
        <v>164.1</v>
      </c>
      <c r="L336" s="5">
        <v>121.2</v>
      </c>
      <c r="M336" s="5">
        <v>181.4</v>
      </c>
      <c r="N336" s="5">
        <v>158.5</v>
      </c>
      <c r="O336" s="5">
        <v>184.9</v>
      </c>
      <c r="P336" s="5">
        <v>177.5</v>
      </c>
      <c r="Q336" s="5">
        <v>197.5</v>
      </c>
      <c r="R336" s="5">
        <v>170</v>
      </c>
      <c r="S336" s="5">
        <v>155.9</v>
      </c>
      <c r="T336" s="5">
        <v>167.8</v>
      </c>
      <c r="U336" s="5">
        <v>167.5</v>
      </c>
      <c r="V336" s="5">
        <v>173.5</v>
      </c>
      <c r="W336" s="5">
        <v>161.1</v>
      </c>
      <c r="X336" s="5">
        <v>170.1</v>
      </c>
      <c r="Y336" s="5">
        <v>159.4</v>
      </c>
      <c r="Z336" s="5">
        <v>163.19999999999999</v>
      </c>
      <c r="AA336" s="5">
        <v>165.2</v>
      </c>
      <c r="AB336" s="5">
        <v>168.2</v>
      </c>
      <c r="AC336" s="5">
        <v>163.80000000000001</v>
      </c>
      <c r="AD336" s="12">
        <v>170.8</v>
      </c>
      <c r="AE336" s="26">
        <f>COUNTIFS($A$2:$A$379,A336,$B$2:$B$379,B337,$C$2:$C$379,C336)</f>
        <v>1</v>
      </c>
    </row>
    <row r="337" spans="1:31">
      <c r="A337" s="11" t="s">
        <v>69</v>
      </c>
      <c r="B337" s="5">
        <v>2022</v>
      </c>
      <c r="C337" s="5" t="s">
        <v>73</v>
      </c>
      <c r="D337" s="5">
        <v>154.1</v>
      </c>
      <c r="E337" s="5">
        <v>217</v>
      </c>
      <c r="F337" s="5">
        <v>162.4</v>
      </c>
      <c r="G337" s="5">
        <v>164.9</v>
      </c>
      <c r="H337" s="5">
        <v>202.4</v>
      </c>
      <c r="I337" s="5">
        <v>171</v>
      </c>
      <c r="J337" s="5">
        <v>174.9</v>
      </c>
      <c r="K337" s="5">
        <v>164.7</v>
      </c>
      <c r="L337" s="5">
        <v>119.7</v>
      </c>
      <c r="M337" s="5">
        <v>184.9</v>
      </c>
      <c r="N337" s="5">
        <v>167.1</v>
      </c>
      <c r="O337" s="5">
        <v>182.5</v>
      </c>
      <c r="P337" s="5">
        <v>173.3</v>
      </c>
      <c r="Q337" s="5">
        <v>194.1</v>
      </c>
      <c r="R337" s="5">
        <v>175.6</v>
      </c>
      <c r="S337" s="5">
        <v>168.4</v>
      </c>
      <c r="T337" s="5">
        <v>174.6</v>
      </c>
      <c r="U337" s="5">
        <v>167.5</v>
      </c>
      <c r="V337" s="5">
        <v>174.6</v>
      </c>
      <c r="W337" s="5">
        <v>165.2</v>
      </c>
      <c r="X337" s="5">
        <v>174.8</v>
      </c>
      <c r="Y337" s="5">
        <v>163</v>
      </c>
      <c r="Z337" s="5">
        <v>165.1</v>
      </c>
      <c r="AA337" s="5">
        <v>167.9</v>
      </c>
      <c r="AB337" s="5">
        <v>168.4</v>
      </c>
      <c r="AC337" s="5">
        <v>167.5</v>
      </c>
      <c r="AD337" s="12">
        <v>171.7</v>
      </c>
      <c r="AE337" s="26">
        <f>COUNTIFS($A$2:$A$379,A337,$B$2:$B$379,B338,$C$2:$C$379,C337)</f>
        <v>1</v>
      </c>
    </row>
    <row r="338" spans="1:31">
      <c r="A338" s="11" t="s">
        <v>65</v>
      </c>
      <c r="B338" s="5">
        <v>2022</v>
      </c>
      <c r="C338" s="5" t="s">
        <v>74</v>
      </c>
      <c r="D338" s="5">
        <v>153.80000000000001</v>
      </c>
      <c r="E338" s="5">
        <v>217.2</v>
      </c>
      <c r="F338" s="5">
        <v>169.6</v>
      </c>
      <c r="G338" s="5">
        <v>165.4</v>
      </c>
      <c r="H338" s="5">
        <v>208.1</v>
      </c>
      <c r="I338" s="5">
        <v>165.8</v>
      </c>
      <c r="J338" s="5">
        <v>167.3</v>
      </c>
      <c r="K338" s="5">
        <v>164.6</v>
      </c>
      <c r="L338" s="5">
        <v>119.1</v>
      </c>
      <c r="M338" s="5">
        <v>188.9</v>
      </c>
      <c r="N338" s="5">
        <v>174.2</v>
      </c>
      <c r="O338" s="5">
        <v>181.9</v>
      </c>
      <c r="P338" s="5">
        <v>172.4</v>
      </c>
      <c r="Q338" s="5">
        <v>192.9</v>
      </c>
      <c r="R338" s="5">
        <v>180.7</v>
      </c>
      <c r="S338" s="5">
        <v>178.7</v>
      </c>
      <c r="T338" s="5">
        <v>180.4</v>
      </c>
      <c r="U338" s="5" t="s">
        <v>67</v>
      </c>
      <c r="V338" s="5">
        <v>176.7</v>
      </c>
      <c r="W338" s="5">
        <v>170.3</v>
      </c>
      <c r="X338" s="5">
        <v>178.2</v>
      </c>
      <c r="Y338" s="5">
        <v>165.5</v>
      </c>
      <c r="Z338" s="5">
        <v>168</v>
      </c>
      <c r="AA338" s="5">
        <v>172.6</v>
      </c>
      <c r="AB338" s="5">
        <v>169.5</v>
      </c>
      <c r="AC338" s="5">
        <v>171</v>
      </c>
      <c r="AD338" s="12">
        <v>173.6</v>
      </c>
      <c r="AE338" s="26">
        <f>COUNTIFS($A$2:$A$379,A338,$B$2:$B$379,B339,$C$2:$C$379,C338)</f>
        <v>1</v>
      </c>
    </row>
    <row r="339" spans="1:31">
      <c r="A339" s="11" t="s">
        <v>68</v>
      </c>
      <c r="B339" s="5">
        <v>2022</v>
      </c>
      <c r="C339" s="5" t="s">
        <v>74</v>
      </c>
      <c r="D339" s="5">
        <v>157.5</v>
      </c>
      <c r="E339" s="5">
        <v>223.4</v>
      </c>
      <c r="F339" s="5">
        <v>172.8</v>
      </c>
      <c r="G339" s="5">
        <v>166.4</v>
      </c>
      <c r="H339" s="5">
        <v>188.6</v>
      </c>
      <c r="I339" s="5">
        <v>174.1</v>
      </c>
      <c r="J339" s="5">
        <v>211.5</v>
      </c>
      <c r="K339" s="5">
        <v>163.6</v>
      </c>
      <c r="L339" s="5">
        <v>121.4</v>
      </c>
      <c r="M339" s="5">
        <v>183.5</v>
      </c>
      <c r="N339" s="5">
        <v>159.1</v>
      </c>
      <c r="O339" s="5">
        <v>186.3</v>
      </c>
      <c r="P339" s="5">
        <v>179.3</v>
      </c>
      <c r="Q339" s="5">
        <v>198.3</v>
      </c>
      <c r="R339" s="5">
        <v>171.6</v>
      </c>
      <c r="S339" s="5">
        <v>157.4</v>
      </c>
      <c r="T339" s="5">
        <v>169.4</v>
      </c>
      <c r="U339" s="5">
        <v>166.8</v>
      </c>
      <c r="V339" s="5">
        <v>174.9</v>
      </c>
      <c r="W339" s="5">
        <v>162.1</v>
      </c>
      <c r="X339" s="5">
        <v>170.9</v>
      </c>
      <c r="Y339" s="5">
        <v>157.19999999999999</v>
      </c>
      <c r="Z339" s="5">
        <v>164.1</v>
      </c>
      <c r="AA339" s="5">
        <v>166.5</v>
      </c>
      <c r="AB339" s="5">
        <v>169.2</v>
      </c>
      <c r="AC339" s="5">
        <v>163.80000000000001</v>
      </c>
      <c r="AD339" s="12">
        <v>171.4</v>
      </c>
      <c r="AE339" s="26">
        <f>COUNTIFS($A$2:$A$379,A339,$B$2:$B$379,B340,$C$2:$C$379,C339)</f>
        <v>1</v>
      </c>
    </row>
    <row r="340" spans="1:31">
      <c r="A340" s="11" t="s">
        <v>69</v>
      </c>
      <c r="B340" s="5">
        <v>2022</v>
      </c>
      <c r="C340" s="5" t="s">
        <v>74</v>
      </c>
      <c r="D340" s="5">
        <v>155</v>
      </c>
      <c r="E340" s="5">
        <v>219.4</v>
      </c>
      <c r="F340" s="5">
        <v>170.8</v>
      </c>
      <c r="G340" s="5">
        <v>165.8</v>
      </c>
      <c r="H340" s="5">
        <v>200.9</v>
      </c>
      <c r="I340" s="5">
        <v>169.7</v>
      </c>
      <c r="J340" s="5">
        <v>182.3</v>
      </c>
      <c r="K340" s="5">
        <v>164.3</v>
      </c>
      <c r="L340" s="5">
        <v>119.9</v>
      </c>
      <c r="M340" s="5">
        <v>187.1</v>
      </c>
      <c r="N340" s="5">
        <v>167.9</v>
      </c>
      <c r="O340" s="5">
        <v>183.9</v>
      </c>
      <c r="P340" s="5">
        <v>174.9</v>
      </c>
      <c r="Q340" s="5">
        <v>194.3</v>
      </c>
      <c r="R340" s="5">
        <v>177.1</v>
      </c>
      <c r="S340" s="5">
        <v>169.9</v>
      </c>
      <c r="T340" s="5">
        <v>176</v>
      </c>
      <c r="U340" s="5">
        <v>166.8</v>
      </c>
      <c r="V340" s="5">
        <v>176</v>
      </c>
      <c r="W340" s="5">
        <v>166.4</v>
      </c>
      <c r="X340" s="5">
        <v>175.4</v>
      </c>
      <c r="Y340" s="5">
        <v>161.1</v>
      </c>
      <c r="Z340" s="5">
        <v>165.8</v>
      </c>
      <c r="AA340" s="5">
        <v>169</v>
      </c>
      <c r="AB340" s="5">
        <v>169.4</v>
      </c>
      <c r="AC340" s="5">
        <v>167.5</v>
      </c>
      <c r="AD340" s="12">
        <v>172.6</v>
      </c>
      <c r="AE340" s="26">
        <f>COUNTIFS($A$2:$A$379,A340,$B$2:$B$379,B341,$C$2:$C$379,C340)</f>
        <v>1</v>
      </c>
    </row>
    <row r="341" spans="1:31">
      <c r="A341" s="11" t="s">
        <v>65</v>
      </c>
      <c r="B341" s="5">
        <v>2022</v>
      </c>
      <c r="C341" s="5" t="s">
        <v>75</v>
      </c>
      <c r="D341" s="5">
        <v>155.19999999999999</v>
      </c>
      <c r="E341" s="5">
        <v>210.8</v>
      </c>
      <c r="F341" s="5">
        <v>174.3</v>
      </c>
      <c r="G341" s="5">
        <v>166.3</v>
      </c>
      <c r="H341" s="5">
        <v>202.2</v>
      </c>
      <c r="I341" s="5">
        <v>169.6</v>
      </c>
      <c r="J341" s="5">
        <v>168.6</v>
      </c>
      <c r="K341" s="5">
        <v>164.4</v>
      </c>
      <c r="L341" s="5">
        <v>119.2</v>
      </c>
      <c r="M341" s="5">
        <v>191.8</v>
      </c>
      <c r="N341" s="5">
        <v>174.5</v>
      </c>
      <c r="O341" s="5">
        <v>183.1</v>
      </c>
      <c r="P341" s="5">
        <v>172.5</v>
      </c>
      <c r="Q341" s="5">
        <v>193.2</v>
      </c>
      <c r="R341" s="5">
        <v>182</v>
      </c>
      <c r="S341" s="5">
        <v>180.3</v>
      </c>
      <c r="T341" s="5">
        <v>181.7</v>
      </c>
      <c r="U341" s="5" t="s">
        <v>67</v>
      </c>
      <c r="V341" s="5">
        <v>179.6</v>
      </c>
      <c r="W341" s="5">
        <v>171.3</v>
      </c>
      <c r="X341" s="5">
        <v>178.8</v>
      </c>
      <c r="Y341" s="5">
        <v>166.3</v>
      </c>
      <c r="Z341" s="5">
        <v>168.6</v>
      </c>
      <c r="AA341" s="5">
        <v>174.7</v>
      </c>
      <c r="AB341" s="5">
        <v>169.7</v>
      </c>
      <c r="AC341" s="5">
        <v>171.8</v>
      </c>
      <c r="AD341" s="12">
        <v>174.3</v>
      </c>
      <c r="AE341" s="26">
        <f>COUNTIFS($A$2:$A$379,A341,$B$2:$B$379,B342,$C$2:$C$379,C341)</f>
        <v>1</v>
      </c>
    </row>
    <row r="342" spans="1:31">
      <c r="A342" s="11" t="s">
        <v>68</v>
      </c>
      <c r="B342" s="5">
        <v>2022</v>
      </c>
      <c r="C342" s="5" t="s">
        <v>75</v>
      </c>
      <c r="D342" s="5">
        <v>159.30000000000001</v>
      </c>
      <c r="E342" s="5">
        <v>217.1</v>
      </c>
      <c r="F342" s="5">
        <v>176.6</v>
      </c>
      <c r="G342" s="5">
        <v>167.1</v>
      </c>
      <c r="H342" s="5">
        <v>184.8</v>
      </c>
      <c r="I342" s="5">
        <v>179.5</v>
      </c>
      <c r="J342" s="5">
        <v>208.5</v>
      </c>
      <c r="K342" s="5">
        <v>164</v>
      </c>
      <c r="L342" s="5">
        <v>121.5</v>
      </c>
      <c r="M342" s="5">
        <v>186.3</v>
      </c>
      <c r="N342" s="5">
        <v>159.80000000000001</v>
      </c>
      <c r="O342" s="5">
        <v>187.7</v>
      </c>
      <c r="P342" s="5">
        <v>179.4</v>
      </c>
      <c r="Q342" s="5">
        <v>198.6</v>
      </c>
      <c r="R342" s="5">
        <v>172.7</v>
      </c>
      <c r="S342" s="5">
        <v>158.69999999999999</v>
      </c>
      <c r="T342" s="5">
        <v>170.6</v>
      </c>
      <c r="U342" s="5">
        <v>167.8</v>
      </c>
      <c r="V342" s="5">
        <v>179.5</v>
      </c>
      <c r="W342" s="5">
        <v>163.1</v>
      </c>
      <c r="X342" s="5">
        <v>171.7</v>
      </c>
      <c r="Y342" s="5">
        <v>157.4</v>
      </c>
      <c r="Z342" s="5">
        <v>164.6</v>
      </c>
      <c r="AA342" s="5">
        <v>169.1</v>
      </c>
      <c r="AB342" s="5">
        <v>169.8</v>
      </c>
      <c r="AC342" s="5">
        <v>164.7</v>
      </c>
      <c r="AD342" s="12">
        <v>172.3</v>
      </c>
      <c r="AE342" s="26">
        <f>COUNTIFS($A$2:$A$379,A342,$B$2:$B$379,B343,$C$2:$C$379,C342)</f>
        <v>1</v>
      </c>
    </row>
    <row r="343" spans="1:31">
      <c r="A343" s="11" t="s">
        <v>69</v>
      </c>
      <c r="B343" s="5">
        <v>2022</v>
      </c>
      <c r="C343" s="5" t="s">
        <v>75</v>
      </c>
      <c r="D343" s="5">
        <v>156.5</v>
      </c>
      <c r="E343" s="5">
        <v>213</v>
      </c>
      <c r="F343" s="5">
        <v>175.2</v>
      </c>
      <c r="G343" s="5">
        <v>166.6</v>
      </c>
      <c r="H343" s="5">
        <v>195.8</v>
      </c>
      <c r="I343" s="5">
        <v>174.2</v>
      </c>
      <c r="J343" s="5">
        <v>182.1</v>
      </c>
      <c r="K343" s="5">
        <v>164.3</v>
      </c>
      <c r="L343" s="5">
        <v>120</v>
      </c>
      <c r="M343" s="5">
        <v>190</v>
      </c>
      <c r="N343" s="5">
        <v>168.4</v>
      </c>
      <c r="O343" s="5">
        <v>185.2</v>
      </c>
      <c r="P343" s="5">
        <v>175</v>
      </c>
      <c r="Q343" s="5">
        <v>194.6</v>
      </c>
      <c r="R343" s="5">
        <v>178.3</v>
      </c>
      <c r="S343" s="5">
        <v>171.3</v>
      </c>
      <c r="T343" s="5">
        <v>177.3</v>
      </c>
      <c r="U343" s="5">
        <v>167.8</v>
      </c>
      <c r="V343" s="5">
        <v>179.6</v>
      </c>
      <c r="W343" s="5">
        <v>167.4</v>
      </c>
      <c r="X343" s="5">
        <v>176.1</v>
      </c>
      <c r="Y343" s="5">
        <v>161.6</v>
      </c>
      <c r="Z343" s="5">
        <v>166.3</v>
      </c>
      <c r="AA343" s="5">
        <v>171.4</v>
      </c>
      <c r="AB343" s="5">
        <v>169.7</v>
      </c>
      <c r="AC343" s="5">
        <v>168.4</v>
      </c>
      <c r="AD343" s="12">
        <v>173.4</v>
      </c>
      <c r="AE343" s="26">
        <f>COUNTIFS($A$2:$A$379,A343,$B$2:$B$379,B344,$C$2:$C$379,C343)</f>
        <v>1</v>
      </c>
    </row>
    <row r="344" spans="1:31">
      <c r="A344" s="11" t="s">
        <v>65</v>
      </c>
      <c r="B344" s="5">
        <v>2022</v>
      </c>
      <c r="C344" s="5" t="s">
        <v>76</v>
      </c>
      <c r="D344" s="5">
        <v>159.5</v>
      </c>
      <c r="E344" s="5">
        <v>204.1</v>
      </c>
      <c r="F344" s="5">
        <v>168.3</v>
      </c>
      <c r="G344" s="5">
        <v>167.9</v>
      </c>
      <c r="H344" s="5">
        <v>198.1</v>
      </c>
      <c r="I344" s="5">
        <v>169.2</v>
      </c>
      <c r="J344" s="5">
        <v>173.1</v>
      </c>
      <c r="K344" s="5">
        <v>167.1</v>
      </c>
      <c r="L344" s="5">
        <v>120.2</v>
      </c>
      <c r="M344" s="5">
        <v>195.6</v>
      </c>
      <c r="N344" s="5">
        <v>174.8</v>
      </c>
      <c r="O344" s="5">
        <v>184</v>
      </c>
      <c r="P344" s="5">
        <v>173.9</v>
      </c>
      <c r="Q344" s="5">
        <v>193.7</v>
      </c>
      <c r="R344" s="5">
        <v>183.2</v>
      </c>
      <c r="S344" s="5">
        <v>181.7</v>
      </c>
      <c r="T344" s="5">
        <v>183</v>
      </c>
      <c r="U344" s="5" t="s">
        <v>67</v>
      </c>
      <c r="V344" s="5">
        <v>179.1</v>
      </c>
      <c r="W344" s="5">
        <v>172.3</v>
      </c>
      <c r="X344" s="5">
        <v>179.4</v>
      </c>
      <c r="Y344" s="5">
        <v>166.6</v>
      </c>
      <c r="Z344" s="5">
        <v>169.3</v>
      </c>
      <c r="AA344" s="5">
        <v>175.7</v>
      </c>
      <c r="AB344" s="5">
        <v>171.1</v>
      </c>
      <c r="AC344" s="5">
        <v>172.6</v>
      </c>
      <c r="AD344" s="12">
        <v>175.3</v>
      </c>
      <c r="AE344" s="26">
        <f>COUNTIFS($A$2:$A$379,A344,$B$2:$B$379,B345,$C$2:$C$379,C344)</f>
        <v>1</v>
      </c>
    </row>
    <row r="345" spans="1:31">
      <c r="A345" s="11" t="s">
        <v>68</v>
      </c>
      <c r="B345" s="5">
        <v>2022</v>
      </c>
      <c r="C345" s="5" t="s">
        <v>76</v>
      </c>
      <c r="D345" s="5">
        <v>162.1</v>
      </c>
      <c r="E345" s="5">
        <v>210.9</v>
      </c>
      <c r="F345" s="5">
        <v>170.6</v>
      </c>
      <c r="G345" s="5">
        <v>168.4</v>
      </c>
      <c r="H345" s="5">
        <v>182.5</v>
      </c>
      <c r="I345" s="5">
        <v>177.1</v>
      </c>
      <c r="J345" s="5">
        <v>213.1</v>
      </c>
      <c r="K345" s="5">
        <v>167.3</v>
      </c>
      <c r="L345" s="5">
        <v>122.2</v>
      </c>
      <c r="M345" s="5">
        <v>189.7</v>
      </c>
      <c r="N345" s="5">
        <v>160.5</v>
      </c>
      <c r="O345" s="5">
        <v>188.9</v>
      </c>
      <c r="P345" s="5">
        <v>180.4</v>
      </c>
      <c r="Q345" s="5">
        <v>198.7</v>
      </c>
      <c r="R345" s="5">
        <v>173.7</v>
      </c>
      <c r="S345" s="5">
        <v>160</v>
      </c>
      <c r="T345" s="5">
        <v>171.6</v>
      </c>
      <c r="U345" s="5">
        <v>169</v>
      </c>
      <c r="V345" s="5">
        <v>178.4</v>
      </c>
      <c r="W345" s="5">
        <v>164.2</v>
      </c>
      <c r="X345" s="5">
        <v>172.6</v>
      </c>
      <c r="Y345" s="5">
        <v>157.69999999999999</v>
      </c>
      <c r="Z345" s="5">
        <v>165.1</v>
      </c>
      <c r="AA345" s="5">
        <v>169.9</v>
      </c>
      <c r="AB345" s="5">
        <v>171.4</v>
      </c>
      <c r="AC345" s="5">
        <v>165.4</v>
      </c>
      <c r="AD345" s="12">
        <v>173.1</v>
      </c>
      <c r="AE345" s="26">
        <f>COUNTIFS($A$2:$A$379,A345,$B$2:$B$379,B346,$C$2:$C$379,C345)</f>
        <v>1</v>
      </c>
    </row>
    <row r="346" spans="1:31">
      <c r="A346" s="11" t="s">
        <v>69</v>
      </c>
      <c r="B346" s="5">
        <v>2022</v>
      </c>
      <c r="C346" s="5" t="s">
        <v>76</v>
      </c>
      <c r="D346" s="5">
        <v>160.30000000000001</v>
      </c>
      <c r="E346" s="5">
        <v>206.5</v>
      </c>
      <c r="F346" s="5">
        <v>169.2</v>
      </c>
      <c r="G346" s="5">
        <v>168.1</v>
      </c>
      <c r="H346" s="5">
        <v>192.4</v>
      </c>
      <c r="I346" s="5">
        <v>172.9</v>
      </c>
      <c r="J346" s="5">
        <v>186.7</v>
      </c>
      <c r="K346" s="5">
        <v>167.2</v>
      </c>
      <c r="L346" s="5">
        <v>120.9</v>
      </c>
      <c r="M346" s="5">
        <v>193.6</v>
      </c>
      <c r="N346" s="5">
        <v>168.8</v>
      </c>
      <c r="O346" s="5">
        <v>186.3</v>
      </c>
      <c r="P346" s="5">
        <v>176.3</v>
      </c>
      <c r="Q346" s="5">
        <v>195</v>
      </c>
      <c r="R346" s="5">
        <v>179.5</v>
      </c>
      <c r="S346" s="5">
        <v>172.7</v>
      </c>
      <c r="T346" s="5">
        <v>178.5</v>
      </c>
      <c r="U346" s="5">
        <v>169</v>
      </c>
      <c r="V346" s="5">
        <v>178.8</v>
      </c>
      <c r="W346" s="5">
        <v>168.5</v>
      </c>
      <c r="X346" s="5">
        <v>176.8</v>
      </c>
      <c r="Y346" s="5">
        <v>161.9</v>
      </c>
      <c r="Z346" s="5">
        <v>166.9</v>
      </c>
      <c r="AA346" s="5">
        <v>172.3</v>
      </c>
      <c r="AB346" s="5">
        <v>171.2</v>
      </c>
      <c r="AC346" s="5">
        <v>169.1</v>
      </c>
      <c r="AD346" s="12">
        <v>174.3</v>
      </c>
      <c r="AE346" s="26">
        <f>COUNTIFS($A$2:$A$379,A346,$B$2:$B$379,B347,$C$2:$C$379,C346)</f>
        <v>1</v>
      </c>
    </row>
    <row r="347" spans="1:31">
      <c r="A347" s="11" t="s">
        <v>65</v>
      </c>
      <c r="B347" s="5">
        <v>2022</v>
      </c>
      <c r="C347" s="5" t="s">
        <v>77</v>
      </c>
      <c r="D347" s="5">
        <v>162.9</v>
      </c>
      <c r="E347" s="5">
        <v>206.7</v>
      </c>
      <c r="F347" s="5">
        <v>169</v>
      </c>
      <c r="G347" s="5">
        <v>169.5</v>
      </c>
      <c r="H347" s="5">
        <v>194.1</v>
      </c>
      <c r="I347" s="5">
        <v>164.1</v>
      </c>
      <c r="J347" s="5">
        <v>176.9</v>
      </c>
      <c r="K347" s="5">
        <v>169</v>
      </c>
      <c r="L347" s="5">
        <v>120.8</v>
      </c>
      <c r="M347" s="5">
        <v>199.1</v>
      </c>
      <c r="N347" s="5">
        <v>175.4</v>
      </c>
      <c r="O347" s="5">
        <v>184.8</v>
      </c>
      <c r="P347" s="5">
        <v>175.5</v>
      </c>
      <c r="Q347" s="5">
        <v>194.5</v>
      </c>
      <c r="R347" s="5">
        <v>184.7</v>
      </c>
      <c r="S347" s="5">
        <v>183.3</v>
      </c>
      <c r="T347" s="5">
        <v>184.5</v>
      </c>
      <c r="U347" s="5" t="s">
        <v>67</v>
      </c>
      <c r="V347" s="5">
        <v>179.7</v>
      </c>
      <c r="W347" s="5">
        <v>173.6</v>
      </c>
      <c r="X347" s="5">
        <v>180.2</v>
      </c>
      <c r="Y347" s="5">
        <v>166.9</v>
      </c>
      <c r="Z347" s="5">
        <v>170</v>
      </c>
      <c r="AA347" s="5">
        <v>176.2</v>
      </c>
      <c r="AB347" s="5">
        <v>170.8</v>
      </c>
      <c r="AC347" s="5">
        <v>173.1</v>
      </c>
      <c r="AD347" s="12">
        <v>176.4</v>
      </c>
      <c r="AE347" s="26">
        <f>COUNTIFS($A$2:$A$379,A347,$B$2:$B$379,B348,$C$2:$C$379,C347)</f>
        <v>1</v>
      </c>
    </row>
    <row r="348" spans="1:31">
      <c r="A348" s="11" t="s">
        <v>68</v>
      </c>
      <c r="B348" s="5">
        <v>2022</v>
      </c>
      <c r="C348" s="5" t="s">
        <v>77</v>
      </c>
      <c r="D348" s="5">
        <v>164.9</v>
      </c>
      <c r="E348" s="5">
        <v>213.7</v>
      </c>
      <c r="F348" s="5">
        <v>170.9</v>
      </c>
      <c r="G348" s="5">
        <v>170.1</v>
      </c>
      <c r="H348" s="5">
        <v>179.3</v>
      </c>
      <c r="I348" s="5">
        <v>167.5</v>
      </c>
      <c r="J348" s="5">
        <v>220.8</v>
      </c>
      <c r="K348" s="5">
        <v>169.2</v>
      </c>
      <c r="L348" s="5">
        <v>123.1</v>
      </c>
      <c r="M348" s="5">
        <v>193.6</v>
      </c>
      <c r="N348" s="5">
        <v>161.1</v>
      </c>
      <c r="O348" s="5">
        <v>190.4</v>
      </c>
      <c r="P348" s="5">
        <v>181.8</v>
      </c>
      <c r="Q348" s="5">
        <v>199.7</v>
      </c>
      <c r="R348" s="5">
        <v>175</v>
      </c>
      <c r="S348" s="5">
        <v>161.69999999999999</v>
      </c>
      <c r="T348" s="5">
        <v>173</v>
      </c>
      <c r="U348" s="5">
        <v>169.5</v>
      </c>
      <c r="V348" s="5">
        <v>179.2</v>
      </c>
      <c r="W348" s="5">
        <v>165</v>
      </c>
      <c r="X348" s="5">
        <v>173.8</v>
      </c>
      <c r="Y348" s="5">
        <v>158.19999999999999</v>
      </c>
      <c r="Z348" s="5">
        <v>165.8</v>
      </c>
      <c r="AA348" s="5">
        <v>170.9</v>
      </c>
      <c r="AB348" s="5">
        <v>171.1</v>
      </c>
      <c r="AC348" s="5">
        <v>166.1</v>
      </c>
      <c r="AD348" s="12">
        <v>174.1</v>
      </c>
      <c r="AE348" s="26">
        <f>COUNTIFS($A$2:$A$379,A348,$B$2:$B$379,B349,$C$2:$C$379,C348)</f>
        <v>1</v>
      </c>
    </row>
    <row r="349" spans="1:31">
      <c r="A349" s="11" t="s">
        <v>69</v>
      </c>
      <c r="B349" s="5">
        <v>2022</v>
      </c>
      <c r="C349" s="5" t="s">
        <v>77</v>
      </c>
      <c r="D349" s="5">
        <v>163.5</v>
      </c>
      <c r="E349" s="5">
        <v>209.2</v>
      </c>
      <c r="F349" s="5">
        <v>169.7</v>
      </c>
      <c r="G349" s="5">
        <v>169.7</v>
      </c>
      <c r="H349" s="5">
        <v>188.7</v>
      </c>
      <c r="I349" s="5">
        <v>165.7</v>
      </c>
      <c r="J349" s="5">
        <v>191.8</v>
      </c>
      <c r="K349" s="5">
        <v>169.1</v>
      </c>
      <c r="L349" s="5">
        <v>121.6</v>
      </c>
      <c r="M349" s="5">
        <v>197.3</v>
      </c>
      <c r="N349" s="5">
        <v>169.4</v>
      </c>
      <c r="O349" s="5">
        <v>187.4</v>
      </c>
      <c r="P349" s="5">
        <v>177.8</v>
      </c>
      <c r="Q349" s="5">
        <v>195.9</v>
      </c>
      <c r="R349" s="5">
        <v>180.9</v>
      </c>
      <c r="S349" s="5">
        <v>174.3</v>
      </c>
      <c r="T349" s="5">
        <v>179.9</v>
      </c>
      <c r="U349" s="5">
        <v>169.5</v>
      </c>
      <c r="V349" s="5">
        <v>179.5</v>
      </c>
      <c r="W349" s="5">
        <v>169.5</v>
      </c>
      <c r="X349" s="5">
        <v>177.8</v>
      </c>
      <c r="Y349" s="5">
        <v>162.30000000000001</v>
      </c>
      <c r="Z349" s="5">
        <v>167.6</v>
      </c>
      <c r="AA349" s="5">
        <v>173.1</v>
      </c>
      <c r="AB349" s="5">
        <v>170.9</v>
      </c>
      <c r="AC349" s="5">
        <v>169.7</v>
      </c>
      <c r="AD349" s="12">
        <v>175.3</v>
      </c>
      <c r="AE349" s="26">
        <f>COUNTIFS($A$2:$A$379,A349,$B$2:$B$379,B350,$C$2:$C$379,C349)</f>
        <v>1</v>
      </c>
    </row>
    <row r="350" spans="1:31">
      <c r="A350" s="11" t="s">
        <v>65</v>
      </c>
      <c r="B350" s="5">
        <v>2022</v>
      </c>
      <c r="C350" s="5" t="s">
        <v>78</v>
      </c>
      <c r="D350" s="5">
        <v>164.7</v>
      </c>
      <c r="E350" s="5">
        <v>208.8</v>
      </c>
      <c r="F350" s="5">
        <v>170.3</v>
      </c>
      <c r="G350" s="5">
        <v>170.9</v>
      </c>
      <c r="H350" s="5">
        <v>191.6</v>
      </c>
      <c r="I350" s="5">
        <v>162.19999999999999</v>
      </c>
      <c r="J350" s="5">
        <v>184.8</v>
      </c>
      <c r="K350" s="5">
        <v>169.7</v>
      </c>
      <c r="L350" s="5">
        <v>121.1</v>
      </c>
      <c r="M350" s="5">
        <v>201.6</v>
      </c>
      <c r="N350" s="5">
        <v>175.8</v>
      </c>
      <c r="O350" s="5">
        <v>185.6</v>
      </c>
      <c r="P350" s="5">
        <v>177.4</v>
      </c>
      <c r="Q350" s="5">
        <v>194.9</v>
      </c>
      <c r="R350" s="5">
        <v>186.1</v>
      </c>
      <c r="S350" s="5">
        <v>184.4</v>
      </c>
      <c r="T350" s="5">
        <v>185.9</v>
      </c>
      <c r="U350" s="5" t="s">
        <v>67</v>
      </c>
      <c r="V350" s="5">
        <v>180.8</v>
      </c>
      <c r="W350" s="5">
        <v>174.4</v>
      </c>
      <c r="X350" s="5">
        <v>181.2</v>
      </c>
      <c r="Y350" s="5">
        <v>167.4</v>
      </c>
      <c r="Z350" s="5">
        <v>170.6</v>
      </c>
      <c r="AA350" s="5">
        <v>176.5</v>
      </c>
      <c r="AB350" s="5">
        <v>172</v>
      </c>
      <c r="AC350" s="5">
        <v>173.9</v>
      </c>
      <c r="AD350" s="12">
        <v>177.9</v>
      </c>
      <c r="AE350" s="26">
        <f>COUNTIFS($A$2:$A$379,A350,$B$2:$B$379,B351,$C$2:$C$379,C350)</f>
        <v>1</v>
      </c>
    </row>
    <row r="351" spans="1:31">
      <c r="A351" s="11" t="s">
        <v>68</v>
      </c>
      <c r="B351" s="5">
        <v>2022</v>
      </c>
      <c r="C351" s="5" t="s">
        <v>78</v>
      </c>
      <c r="D351" s="5">
        <v>166.4</v>
      </c>
      <c r="E351" s="5">
        <v>214.9</v>
      </c>
      <c r="F351" s="5">
        <v>171.9</v>
      </c>
      <c r="G351" s="5">
        <v>171</v>
      </c>
      <c r="H351" s="5">
        <v>177.7</v>
      </c>
      <c r="I351" s="5">
        <v>165.7</v>
      </c>
      <c r="J351" s="5">
        <v>228.6</v>
      </c>
      <c r="K351" s="5">
        <v>169.9</v>
      </c>
      <c r="L351" s="5">
        <v>123.4</v>
      </c>
      <c r="M351" s="5">
        <v>196.4</v>
      </c>
      <c r="N351" s="5">
        <v>161.6</v>
      </c>
      <c r="O351" s="5">
        <v>191.5</v>
      </c>
      <c r="P351" s="5">
        <v>183.3</v>
      </c>
      <c r="Q351" s="5">
        <v>200.1</v>
      </c>
      <c r="R351" s="5">
        <v>175.5</v>
      </c>
      <c r="S351" s="5">
        <v>162.6</v>
      </c>
      <c r="T351" s="5">
        <v>173.6</v>
      </c>
      <c r="U351" s="5">
        <v>171.2</v>
      </c>
      <c r="V351" s="5">
        <v>180</v>
      </c>
      <c r="W351" s="5">
        <v>166</v>
      </c>
      <c r="X351" s="5">
        <v>174.7</v>
      </c>
      <c r="Y351" s="5">
        <v>158.80000000000001</v>
      </c>
      <c r="Z351" s="5">
        <v>166.3</v>
      </c>
      <c r="AA351" s="5">
        <v>171.2</v>
      </c>
      <c r="AB351" s="5">
        <v>172.3</v>
      </c>
      <c r="AC351" s="5">
        <v>166.8</v>
      </c>
      <c r="AD351" s="12">
        <v>175.3</v>
      </c>
      <c r="AE351" s="26">
        <f>COUNTIFS($A$2:$A$379,A351,$B$2:$B$379,B352,$C$2:$C$379,C351)</f>
        <v>1</v>
      </c>
    </row>
    <row r="352" spans="1:31">
      <c r="A352" s="11" t="s">
        <v>69</v>
      </c>
      <c r="B352" s="5">
        <v>2022</v>
      </c>
      <c r="C352" s="5" t="s">
        <v>78</v>
      </c>
      <c r="D352" s="5">
        <v>165.2</v>
      </c>
      <c r="E352" s="5">
        <v>210.9</v>
      </c>
      <c r="F352" s="5">
        <v>170.9</v>
      </c>
      <c r="G352" s="5">
        <v>170.9</v>
      </c>
      <c r="H352" s="5">
        <v>186.5</v>
      </c>
      <c r="I352" s="5">
        <v>163.80000000000001</v>
      </c>
      <c r="J352" s="5">
        <v>199.7</v>
      </c>
      <c r="K352" s="5">
        <v>169.8</v>
      </c>
      <c r="L352" s="5">
        <v>121.9</v>
      </c>
      <c r="M352" s="5">
        <v>199.9</v>
      </c>
      <c r="N352" s="5">
        <v>169.9</v>
      </c>
      <c r="O352" s="5">
        <v>188.3</v>
      </c>
      <c r="P352" s="5">
        <v>179.6</v>
      </c>
      <c r="Q352" s="5">
        <v>196.3</v>
      </c>
      <c r="R352" s="5">
        <v>181.9</v>
      </c>
      <c r="S352" s="5">
        <v>175.3</v>
      </c>
      <c r="T352" s="5">
        <v>181</v>
      </c>
      <c r="U352" s="5">
        <v>171.2</v>
      </c>
      <c r="V352" s="5">
        <v>180.5</v>
      </c>
      <c r="W352" s="5">
        <v>170.4</v>
      </c>
      <c r="X352" s="5">
        <v>178.7</v>
      </c>
      <c r="Y352" s="5">
        <v>162.9</v>
      </c>
      <c r="Z352" s="5">
        <v>168.2</v>
      </c>
      <c r="AA352" s="5">
        <v>173.4</v>
      </c>
      <c r="AB352" s="5">
        <v>172.1</v>
      </c>
      <c r="AC352" s="5">
        <v>170.5</v>
      </c>
      <c r="AD352" s="12">
        <v>176.7</v>
      </c>
      <c r="AE352" s="26">
        <f>COUNTIFS($A$2:$A$379,A352,$B$2:$B$379,B353,$C$2:$C$379,C352)</f>
        <v>1</v>
      </c>
    </row>
    <row r="353" spans="1:31">
      <c r="A353" s="11" t="s">
        <v>65</v>
      </c>
      <c r="B353" s="5">
        <v>2022</v>
      </c>
      <c r="C353" s="5" t="s">
        <v>79</v>
      </c>
      <c r="D353" s="5">
        <v>166.9</v>
      </c>
      <c r="E353" s="5">
        <v>207.2</v>
      </c>
      <c r="F353" s="5">
        <v>180.2</v>
      </c>
      <c r="G353" s="5">
        <v>172.3</v>
      </c>
      <c r="H353" s="5">
        <v>194</v>
      </c>
      <c r="I353" s="5">
        <v>159.1</v>
      </c>
      <c r="J353" s="5">
        <v>171.6</v>
      </c>
      <c r="K353" s="5">
        <v>170.2</v>
      </c>
      <c r="L353" s="5">
        <v>121.5</v>
      </c>
      <c r="M353" s="5">
        <v>204.8</v>
      </c>
      <c r="N353" s="5">
        <v>176.4</v>
      </c>
      <c r="O353" s="5">
        <v>186.9</v>
      </c>
      <c r="P353" s="5">
        <v>176.6</v>
      </c>
      <c r="Q353" s="5">
        <v>195.5</v>
      </c>
      <c r="R353" s="5">
        <v>187.2</v>
      </c>
      <c r="S353" s="5">
        <v>185.2</v>
      </c>
      <c r="T353" s="5">
        <v>186.9</v>
      </c>
      <c r="U353" s="5" t="s">
        <v>67</v>
      </c>
      <c r="V353" s="5">
        <v>181.9</v>
      </c>
      <c r="W353" s="5">
        <v>175.5</v>
      </c>
      <c r="X353" s="5">
        <v>182.3</v>
      </c>
      <c r="Y353" s="5">
        <v>167.5</v>
      </c>
      <c r="Z353" s="5">
        <v>170.8</v>
      </c>
      <c r="AA353" s="5">
        <v>176.9</v>
      </c>
      <c r="AB353" s="5">
        <v>173.4</v>
      </c>
      <c r="AC353" s="5">
        <v>174.6</v>
      </c>
      <c r="AD353" s="12">
        <v>177.8</v>
      </c>
      <c r="AE353" s="26">
        <f>COUNTIFS($A$2:$A$379,A353,$B$2:$B$379,B354,$C$2:$C$379,C353)</f>
        <v>1</v>
      </c>
    </row>
    <row r="354" spans="1:31">
      <c r="A354" s="11" t="s">
        <v>68</v>
      </c>
      <c r="B354" s="5">
        <v>2022</v>
      </c>
      <c r="C354" s="5" t="s">
        <v>79</v>
      </c>
      <c r="D354" s="5">
        <v>168.4</v>
      </c>
      <c r="E354" s="5">
        <v>213.4</v>
      </c>
      <c r="F354" s="5">
        <v>183.2</v>
      </c>
      <c r="G354" s="5">
        <v>172.3</v>
      </c>
      <c r="H354" s="5">
        <v>180</v>
      </c>
      <c r="I354" s="5">
        <v>162.6</v>
      </c>
      <c r="J354" s="5">
        <v>205.5</v>
      </c>
      <c r="K354" s="5">
        <v>171</v>
      </c>
      <c r="L354" s="5">
        <v>123.4</v>
      </c>
      <c r="M354" s="5">
        <v>198.8</v>
      </c>
      <c r="N354" s="5">
        <v>162.1</v>
      </c>
      <c r="O354" s="5">
        <v>192.4</v>
      </c>
      <c r="P354" s="5">
        <v>181.3</v>
      </c>
      <c r="Q354" s="5">
        <v>200.6</v>
      </c>
      <c r="R354" s="5">
        <v>176.7</v>
      </c>
      <c r="S354" s="5">
        <v>163.5</v>
      </c>
      <c r="T354" s="5">
        <v>174.7</v>
      </c>
      <c r="U354" s="5">
        <v>171.8</v>
      </c>
      <c r="V354" s="5">
        <v>180.3</v>
      </c>
      <c r="W354" s="5">
        <v>166.9</v>
      </c>
      <c r="X354" s="5">
        <v>175.8</v>
      </c>
      <c r="Y354" s="5">
        <v>158.9</v>
      </c>
      <c r="Z354" s="5">
        <v>166.7</v>
      </c>
      <c r="AA354" s="5">
        <v>171.5</v>
      </c>
      <c r="AB354" s="5">
        <v>173.8</v>
      </c>
      <c r="AC354" s="5">
        <v>167.4</v>
      </c>
      <c r="AD354" s="12">
        <v>174.1</v>
      </c>
      <c r="AE354" s="26">
        <f>COUNTIFS($A$2:$A$379,A354,$B$2:$B$379,B355,$C$2:$C$379,C354)</f>
        <v>1</v>
      </c>
    </row>
    <row r="355" spans="1:31">
      <c r="A355" s="11" t="s">
        <v>69</v>
      </c>
      <c r="B355" s="5">
        <v>2022</v>
      </c>
      <c r="C355" s="5" t="s">
        <v>79</v>
      </c>
      <c r="D355" s="5">
        <v>167.4</v>
      </c>
      <c r="E355" s="5">
        <v>209.4</v>
      </c>
      <c r="F355" s="5">
        <v>181.4</v>
      </c>
      <c r="G355" s="5">
        <v>172.3</v>
      </c>
      <c r="H355" s="5">
        <v>188.9</v>
      </c>
      <c r="I355" s="5">
        <v>160.69999999999999</v>
      </c>
      <c r="J355" s="5">
        <v>183.1</v>
      </c>
      <c r="K355" s="5">
        <v>170.5</v>
      </c>
      <c r="L355" s="5">
        <v>122.1</v>
      </c>
      <c r="M355" s="5">
        <v>202.8</v>
      </c>
      <c r="N355" s="5">
        <v>170.4</v>
      </c>
      <c r="O355" s="5">
        <v>189.5</v>
      </c>
      <c r="P355" s="5">
        <v>178.3</v>
      </c>
      <c r="Q355" s="5">
        <v>196.9</v>
      </c>
      <c r="R355" s="5">
        <v>183.1</v>
      </c>
      <c r="S355" s="5">
        <v>176.2</v>
      </c>
      <c r="T355" s="5">
        <v>182.1</v>
      </c>
      <c r="U355" s="5">
        <v>171.8</v>
      </c>
      <c r="V355" s="5">
        <v>181.3</v>
      </c>
      <c r="W355" s="5">
        <v>171.4</v>
      </c>
      <c r="X355" s="5">
        <v>179.8</v>
      </c>
      <c r="Y355" s="5">
        <v>163</v>
      </c>
      <c r="Z355" s="5">
        <v>168.5</v>
      </c>
      <c r="AA355" s="5">
        <v>173.7</v>
      </c>
      <c r="AB355" s="5">
        <v>173.6</v>
      </c>
      <c r="AC355" s="5">
        <v>171.1</v>
      </c>
      <c r="AD355" s="12">
        <v>176.5</v>
      </c>
      <c r="AE355" s="26">
        <f>COUNTIFS($A$2:$A$379,A355,$B$2:$B$379,B356,$C$2:$C$379,C355)</f>
        <v>1</v>
      </c>
    </row>
    <row r="356" spans="1:31">
      <c r="A356" s="11" t="s">
        <v>65</v>
      </c>
      <c r="B356" s="5">
        <v>2022</v>
      </c>
      <c r="C356" s="5" t="s">
        <v>80</v>
      </c>
      <c r="D356" s="5">
        <v>168.8</v>
      </c>
      <c r="E356" s="5">
        <v>206.9</v>
      </c>
      <c r="F356" s="5">
        <v>189.1</v>
      </c>
      <c r="G356" s="5">
        <v>173.4</v>
      </c>
      <c r="H356" s="5">
        <v>193.9</v>
      </c>
      <c r="I356" s="5">
        <v>156.69999999999999</v>
      </c>
      <c r="J356" s="5">
        <v>150.19999999999999</v>
      </c>
      <c r="K356" s="5">
        <v>170.5</v>
      </c>
      <c r="L356" s="5">
        <v>121.2</v>
      </c>
      <c r="M356" s="5">
        <v>207.5</v>
      </c>
      <c r="N356" s="5">
        <v>176.8</v>
      </c>
      <c r="O356" s="5">
        <v>187.7</v>
      </c>
      <c r="P356" s="5">
        <v>174.4</v>
      </c>
      <c r="Q356" s="5">
        <v>195.9</v>
      </c>
      <c r="R356" s="5">
        <v>188.1</v>
      </c>
      <c r="S356" s="5">
        <v>185.9</v>
      </c>
      <c r="T356" s="5">
        <v>187.8</v>
      </c>
      <c r="U356" s="5" t="s">
        <v>67</v>
      </c>
      <c r="V356" s="5">
        <v>182.8</v>
      </c>
      <c r="W356" s="5">
        <v>176.4</v>
      </c>
      <c r="X356" s="5">
        <v>183.5</v>
      </c>
      <c r="Y356" s="5">
        <v>167.8</v>
      </c>
      <c r="Z356" s="5">
        <v>171.2</v>
      </c>
      <c r="AA356" s="5">
        <v>177.3</v>
      </c>
      <c r="AB356" s="5">
        <v>175.7</v>
      </c>
      <c r="AC356" s="5">
        <v>175.5</v>
      </c>
      <c r="AD356" s="12">
        <v>177.1</v>
      </c>
      <c r="AE356" s="26">
        <f>COUNTIFS($A$2:$A$379,A356,$B$2:$B$379,B357,$C$2:$C$379,C356)</f>
        <v>1</v>
      </c>
    </row>
    <row r="357" spans="1:31">
      <c r="A357" s="11" t="s">
        <v>68</v>
      </c>
      <c r="B357" s="5">
        <v>2022</v>
      </c>
      <c r="C357" s="5" t="s">
        <v>80</v>
      </c>
      <c r="D357" s="5">
        <v>170.2</v>
      </c>
      <c r="E357" s="5">
        <v>212.9</v>
      </c>
      <c r="F357" s="5">
        <v>191.9</v>
      </c>
      <c r="G357" s="5">
        <v>173.9</v>
      </c>
      <c r="H357" s="5">
        <v>179.1</v>
      </c>
      <c r="I357" s="5">
        <v>159.5</v>
      </c>
      <c r="J357" s="5">
        <v>178.7</v>
      </c>
      <c r="K357" s="5">
        <v>171.3</v>
      </c>
      <c r="L357" s="5">
        <v>123.1</v>
      </c>
      <c r="M357" s="5">
        <v>200.5</v>
      </c>
      <c r="N357" s="5">
        <v>162.80000000000001</v>
      </c>
      <c r="O357" s="5">
        <v>193.3</v>
      </c>
      <c r="P357" s="5">
        <v>178.6</v>
      </c>
      <c r="Q357" s="5">
        <v>201.1</v>
      </c>
      <c r="R357" s="5">
        <v>177.7</v>
      </c>
      <c r="S357" s="5">
        <v>164.5</v>
      </c>
      <c r="T357" s="5">
        <v>175.7</v>
      </c>
      <c r="U357" s="5">
        <v>170.7</v>
      </c>
      <c r="V357" s="5">
        <v>180.6</v>
      </c>
      <c r="W357" s="5">
        <v>167.3</v>
      </c>
      <c r="X357" s="5">
        <v>177.2</v>
      </c>
      <c r="Y357" s="5">
        <v>159.4</v>
      </c>
      <c r="Z357" s="5">
        <v>167.1</v>
      </c>
      <c r="AA357" s="5">
        <v>171.8</v>
      </c>
      <c r="AB357" s="5">
        <v>176</v>
      </c>
      <c r="AC357" s="5">
        <v>168.2</v>
      </c>
      <c r="AD357" s="12">
        <v>174.1</v>
      </c>
      <c r="AE357" s="26">
        <f>COUNTIFS($A$2:$A$379,A357,$B$2:$B$379,B358,$C$2:$C$379,C357)</f>
        <v>1</v>
      </c>
    </row>
    <row r="358" spans="1:31">
      <c r="A358" s="11" t="s">
        <v>69</v>
      </c>
      <c r="B358" s="5">
        <v>2022</v>
      </c>
      <c r="C358" s="5" t="s">
        <v>80</v>
      </c>
      <c r="D358" s="5">
        <v>169.2</v>
      </c>
      <c r="E358" s="5">
        <v>209</v>
      </c>
      <c r="F358" s="5">
        <v>190.2</v>
      </c>
      <c r="G358" s="5">
        <v>173.6</v>
      </c>
      <c r="H358" s="5">
        <v>188.5</v>
      </c>
      <c r="I358" s="5">
        <v>158</v>
      </c>
      <c r="J358" s="5">
        <v>159.9</v>
      </c>
      <c r="K358" s="5">
        <v>170.8</v>
      </c>
      <c r="L358" s="5">
        <v>121.8</v>
      </c>
      <c r="M358" s="5">
        <v>205.2</v>
      </c>
      <c r="N358" s="5">
        <v>171</v>
      </c>
      <c r="O358" s="5">
        <v>190.3</v>
      </c>
      <c r="P358" s="5">
        <v>175.9</v>
      </c>
      <c r="Q358" s="5">
        <v>197.3</v>
      </c>
      <c r="R358" s="5">
        <v>184</v>
      </c>
      <c r="S358" s="5">
        <v>177</v>
      </c>
      <c r="T358" s="5">
        <v>183</v>
      </c>
      <c r="U358" s="5">
        <v>170.7</v>
      </c>
      <c r="V358" s="5">
        <v>182</v>
      </c>
      <c r="W358" s="5">
        <v>172.1</v>
      </c>
      <c r="X358" s="5">
        <v>181.1</v>
      </c>
      <c r="Y358" s="5">
        <v>163.4</v>
      </c>
      <c r="Z358" s="5">
        <v>168.9</v>
      </c>
      <c r="AA358" s="5">
        <v>174.1</v>
      </c>
      <c r="AB358" s="5">
        <v>175.8</v>
      </c>
      <c r="AC358" s="5">
        <v>172</v>
      </c>
      <c r="AD358" s="12">
        <v>175.7</v>
      </c>
      <c r="AE358" s="26">
        <f>COUNTIFS($A$2:$A$379,A358,$B$2:$B$379,B359,$C$2:$C$379,C358)</f>
        <v>0</v>
      </c>
    </row>
    <row r="359" spans="1:31">
      <c r="A359" s="11" t="s">
        <v>65</v>
      </c>
      <c r="B359" s="5">
        <v>2023</v>
      </c>
      <c r="C359" s="5" t="s">
        <v>66</v>
      </c>
      <c r="D359" s="5">
        <v>174</v>
      </c>
      <c r="E359" s="5">
        <v>208.3</v>
      </c>
      <c r="F359" s="5">
        <v>192.9</v>
      </c>
      <c r="G359" s="5">
        <v>174.3</v>
      </c>
      <c r="H359" s="5">
        <v>192.6</v>
      </c>
      <c r="I359" s="5">
        <v>156.30000000000001</v>
      </c>
      <c r="J359" s="5">
        <v>142.9</v>
      </c>
      <c r="K359" s="5">
        <v>170.7</v>
      </c>
      <c r="L359" s="5">
        <v>120.3</v>
      </c>
      <c r="M359" s="5">
        <v>210.5</v>
      </c>
      <c r="N359" s="5">
        <v>176.9</v>
      </c>
      <c r="O359" s="5">
        <v>188.5</v>
      </c>
      <c r="P359" s="5">
        <v>175</v>
      </c>
      <c r="Q359" s="5">
        <v>196.9</v>
      </c>
      <c r="R359" s="5">
        <v>189</v>
      </c>
      <c r="S359" s="5">
        <v>186.3</v>
      </c>
      <c r="T359" s="5">
        <v>188.6</v>
      </c>
      <c r="U359" s="5" t="s">
        <v>67</v>
      </c>
      <c r="V359" s="5">
        <v>183.2</v>
      </c>
      <c r="W359" s="5">
        <v>177.2</v>
      </c>
      <c r="X359" s="5">
        <v>184.7</v>
      </c>
      <c r="Y359" s="5">
        <v>168.2</v>
      </c>
      <c r="Z359" s="5">
        <v>171.8</v>
      </c>
      <c r="AA359" s="5">
        <v>177.8</v>
      </c>
      <c r="AB359" s="5">
        <v>178.4</v>
      </c>
      <c r="AC359" s="5">
        <v>176.5</v>
      </c>
      <c r="AD359" s="12">
        <v>177.8</v>
      </c>
      <c r="AE359" s="26">
        <f>COUNTIFS($A$2:$A$379,A359,$B$2:$B$379,B360,$C$2:$C$379,C359)</f>
        <v>1</v>
      </c>
    </row>
    <row r="360" spans="1:31">
      <c r="A360" s="11" t="s">
        <v>68</v>
      </c>
      <c r="B360" s="5">
        <v>2023</v>
      </c>
      <c r="C360" s="5" t="s">
        <v>66</v>
      </c>
      <c r="D360" s="5">
        <v>173.3</v>
      </c>
      <c r="E360" s="5">
        <v>215.2</v>
      </c>
      <c r="F360" s="5">
        <v>197</v>
      </c>
      <c r="G360" s="5">
        <v>175.2</v>
      </c>
      <c r="H360" s="5">
        <v>178</v>
      </c>
      <c r="I360" s="5">
        <v>160.5</v>
      </c>
      <c r="J360" s="5">
        <v>175.3</v>
      </c>
      <c r="K360" s="5">
        <v>171.2</v>
      </c>
      <c r="L360" s="5">
        <v>122.7</v>
      </c>
      <c r="M360" s="5">
        <v>204.3</v>
      </c>
      <c r="N360" s="5">
        <v>163.69999999999999</v>
      </c>
      <c r="O360" s="5">
        <v>194.3</v>
      </c>
      <c r="P360" s="5">
        <v>179.5</v>
      </c>
      <c r="Q360" s="5">
        <v>201.6</v>
      </c>
      <c r="R360" s="5">
        <v>178.7</v>
      </c>
      <c r="S360" s="5">
        <v>165.3</v>
      </c>
      <c r="T360" s="5">
        <v>176.6</v>
      </c>
      <c r="U360" s="5">
        <v>172.1</v>
      </c>
      <c r="V360" s="5">
        <v>180.1</v>
      </c>
      <c r="W360" s="5">
        <v>168</v>
      </c>
      <c r="X360" s="5">
        <v>178.5</v>
      </c>
      <c r="Y360" s="5">
        <v>159.5</v>
      </c>
      <c r="Z360" s="5">
        <v>167.8</v>
      </c>
      <c r="AA360" s="5">
        <v>171.8</v>
      </c>
      <c r="AB360" s="5">
        <v>178.8</v>
      </c>
      <c r="AC360" s="5">
        <v>168.9</v>
      </c>
      <c r="AD360" s="12">
        <v>174.9</v>
      </c>
      <c r="AE360" s="26">
        <f>COUNTIFS($A$2:$A$379,A360,$B$2:$B$379,B361,$C$2:$C$379,C360)</f>
        <v>1</v>
      </c>
    </row>
    <row r="361" spans="1:31">
      <c r="A361" s="11" t="s">
        <v>69</v>
      </c>
      <c r="B361" s="5">
        <v>2023</v>
      </c>
      <c r="C361" s="5" t="s">
        <v>66</v>
      </c>
      <c r="D361" s="5">
        <v>173.8</v>
      </c>
      <c r="E361" s="5">
        <v>210.7</v>
      </c>
      <c r="F361" s="5">
        <v>194.5</v>
      </c>
      <c r="G361" s="5">
        <v>174.6</v>
      </c>
      <c r="H361" s="5">
        <v>187.2</v>
      </c>
      <c r="I361" s="5">
        <v>158.30000000000001</v>
      </c>
      <c r="J361" s="5">
        <v>153.9</v>
      </c>
      <c r="K361" s="5">
        <v>170.9</v>
      </c>
      <c r="L361" s="5">
        <v>121.1</v>
      </c>
      <c r="M361" s="5">
        <v>208.4</v>
      </c>
      <c r="N361" s="5">
        <v>171.4</v>
      </c>
      <c r="O361" s="5">
        <v>191.2</v>
      </c>
      <c r="P361" s="5">
        <v>176.7</v>
      </c>
      <c r="Q361" s="5">
        <v>198.2</v>
      </c>
      <c r="R361" s="5">
        <v>184.9</v>
      </c>
      <c r="S361" s="5">
        <v>177.6</v>
      </c>
      <c r="T361" s="5">
        <v>183.8</v>
      </c>
      <c r="U361" s="5">
        <v>172.1</v>
      </c>
      <c r="V361" s="5">
        <v>182</v>
      </c>
      <c r="W361" s="5">
        <v>172.9</v>
      </c>
      <c r="X361" s="5">
        <v>182.3</v>
      </c>
      <c r="Y361" s="5">
        <v>163.6</v>
      </c>
      <c r="Z361" s="5">
        <v>169.5</v>
      </c>
      <c r="AA361" s="5">
        <v>174.3</v>
      </c>
      <c r="AB361" s="5">
        <v>178.6</v>
      </c>
      <c r="AC361" s="5">
        <v>172.8</v>
      </c>
      <c r="AD361" s="12">
        <v>176.5</v>
      </c>
      <c r="AE361" s="26">
        <f>COUNTIFS($A$2:$A$379,A361,$B$2:$B$379,B362,$C$2:$C$379,C361)</f>
        <v>1</v>
      </c>
    </row>
    <row r="362" spans="1:31">
      <c r="A362" s="11" t="s">
        <v>65</v>
      </c>
      <c r="B362" s="5">
        <v>2023</v>
      </c>
      <c r="C362" s="5" t="s">
        <v>70</v>
      </c>
      <c r="D362" s="5">
        <v>174.2</v>
      </c>
      <c r="E362" s="5">
        <v>205.2</v>
      </c>
      <c r="F362" s="5">
        <v>173.9</v>
      </c>
      <c r="G362" s="5">
        <v>177</v>
      </c>
      <c r="H362" s="5">
        <v>183.4</v>
      </c>
      <c r="I362" s="5">
        <v>167.2</v>
      </c>
      <c r="J362" s="5">
        <v>140.9</v>
      </c>
      <c r="K362" s="5">
        <v>170.4</v>
      </c>
      <c r="L362" s="5">
        <v>119.1</v>
      </c>
      <c r="M362" s="5">
        <v>212.1</v>
      </c>
      <c r="N362" s="5">
        <v>177.6</v>
      </c>
      <c r="O362" s="5">
        <v>189.9</v>
      </c>
      <c r="P362" s="5">
        <v>174.8</v>
      </c>
      <c r="Q362" s="5">
        <v>198.3</v>
      </c>
      <c r="R362" s="5">
        <v>190</v>
      </c>
      <c r="S362" s="5">
        <v>187</v>
      </c>
      <c r="T362" s="5">
        <v>189.6</v>
      </c>
      <c r="U362" s="5" t="s">
        <v>67</v>
      </c>
      <c r="V362" s="5">
        <v>181.6</v>
      </c>
      <c r="W362" s="5">
        <v>178.6</v>
      </c>
      <c r="X362" s="5">
        <v>186.6</v>
      </c>
      <c r="Y362" s="5">
        <v>169</v>
      </c>
      <c r="Z362" s="5">
        <v>172.8</v>
      </c>
      <c r="AA362" s="5">
        <v>178.5</v>
      </c>
      <c r="AB362" s="5">
        <v>180.7</v>
      </c>
      <c r="AC362" s="5">
        <v>177.9</v>
      </c>
      <c r="AD362" s="12">
        <v>178</v>
      </c>
      <c r="AE362" s="26">
        <f>COUNTIFS($A$2:$A$379,A362,$B$2:$B$379,B363,$C$2:$C$379,C362)</f>
        <v>1</v>
      </c>
    </row>
    <row r="363" spans="1:31">
      <c r="A363" s="11" t="s">
        <v>68</v>
      </c>
      <c r="B363" s="5">
        <v>2023</v>
      </c>
      <c r="C363" s="5" t="s">
        <v>70</v>
      </c>
      <c r="D363" s="5">
        <v>174.7</v>
      </c>
      <c r="E363" s="5">
        <v>212.2</v>
      </c>
      <c r="F363" s="5">
        <v>177.2</v>
      </c>
      <c r="G363" s="5">
        <v>177.9</v>
      </c>
      <c r="H363" s="5">
        <v>172.2</v>
      </c>
      <c r="I363" s="5">
        <v>172.1</v>
      </c>
      <c r="J363" s="5">
        <v>175.8</v>
      </c>
      <c r="K363" s="5">
        <v>172.2</v>
      </c>
      <c r="L363" s="5">
        <v>121.9</v>
      </c>
      <c r="M363" s="5">
        <v>204.8</v>
      </c>
      <c r="N363" s="5">
        <v>164.9</v>
      </c>
      <c r="O363" s="5">
        <v>196.6</v>
      </c>
      <c r="P363" s="5">
        <v>180.7</v>
      </c>
      <c r="Q363" s="5">
        <v>202.7</v>
      </c>
      <c r="R363" s="5">
        <v>180.3</v>
      </c>
      <c r="S363" s="5">
        <v>167</v>
      </c>
      <c r="T363" s="5">
        <v>178.2</v>
      </c>
      <c r="U363" s="5">
        <v>173.5</v>
      </c>
      <c r="V363" s="5">
        <v>182.8</v>
      </c>
      <c r="W363" s="5">
        <v>169.2</v>
      </c>
      <c r="X363" s="5">
        <v>180.8</v>
      </c>
      <c r="Y363" s="5">
        <v>159.80000000000001</v>
      </c>
      <c r="Z363" s="5">
        <v>168.4</v>
      </c>
      <c r="AA363" s="5">
        <v>172.5</v>
      </c>
      <c r="AB363" s="5">
        <v>181.4</v>
      </c>
      <c r="AC363" s="5">
        <v>170</v>
      </c>
      <c r="AD363" s="12">
        <v>176.3</v>
      </c>
      <c r="AE363" s="26">
        <f>COUNTIFS($A$2:$A$379,A363,$B$2:$B$379,B364,$C$2:$C$379,C363)</f>
        <v>1</v>
      </c>
    </row>
    <row r="364" spans="1:31">
      <c r="A364" s="11" t="s">
        <v>69</v>
      </c>
      <c r="B364" s="5">
        <v>2023</v>
      </c>
      <c r="C364" s="5" t="s">
        <v>70</v>
      </c>
      <c r="D364" s="5">
        <v>174.4</v>
      </c>
      <c r="E364" s="5">
        <v>207.7</v>
      </c>
      <c r="F364" s="5">
        <v>175.2</v>
      </c>
      <c r="G364" s="5">
        <v>177.3</v>
      </c>
      <c r="H364" s="5">
        <v>179.3</v>
      </c>
      <c r="I364" s="5">
        <v>169.5</v>
      </c>
      <c r="J364" s="5">
        <v>152.69999999999999</v>
      </c>
      <c r="K364" s="5">
        <v>171</v>
      </c>
      <c r="L364" s="5">
        <v>120</v>
      </c>
      <c r="M364" s="5">
        <v>209.7</v>
      </c>
      <c r="N364" s="5">
        <v>172.3</v>
      </c>
      <c r="O364" s="5">
        <v>193</v>
      </c>
      <c r="P364" s="5">
        <v>177</v>
      </c>
      <c r="Q364" s="5">
        <v>199.5</v>
      </c>
      <c r="R364" s="5">
        <v>186.2</v>
      </c>
      <c r="S364" s="5">
        <v>178.7</v>
      </c>
      <c r="T364" s="5">
        <v>185.1</v>
      </c>
      <c r="U364" s="5">
        <v>173.5</v>
      </c>
      <c r="V364" s="5">
        <v>182.1</v>
      </c>
      <c r="W364" s="5">
        <v>174.2</v>
      </c>
      <c r="X364" s="5">
        <v>184.4</v>
      </c>
      <c r="Y364" s="5">
        <v>164.2</v>
      </c>
      <c r="Z364" s="5">
        <v>170.3</v>
      </c>
      <c r="AA364" s="5">
        <v>175</v>
      </c>
      <c r="AB364" s="5">
        <v>181</v>
      </c>
      <c r="AC364" s="5">
        <v>174.1</v>
      </c>
      <c r="AD364" s="12">
        <v>177.2</v>
      </c>
      <c r="AE364" s="26">
        <f>COUNTIFS($A$2:$A$379,A364,$B$2:$B$379,B365,$C$2:$C$379,C364)</f>
        <v>1</v>
      </c>
    </row>
    <row r="365" spans="1:31">
      <c r="A365" s="11" t="s">
        <v>65</v>
      </c>
      <c r="B365" s="5">
        <v>2023</v>
      </c>
      <c r="C365" s="5" t="s">
        <v>71</v>
      </c>
      <c r="D365" s="5">
        <v>174.3</v>
      </c>
      <c r="E365" s="5">
        <v>205.2</v>
      </c>
      <c r="F365" s="5">
        <v>173.9</v>
      </c>
      <c r="G365" s="5">
        <v>177</v>
      </c>
      <c r="H365" s="5">
        <v>183.3</v>
      </c>
      <c r="I365" s="5">
        <v>167.2</v>
      </c>
      <c r="J365" s="5">
        <v>140.9</v>
      </c>
      <c r="K365" s="5">
        <v>170.5</v>
      </c>
      <c r="L365" s="5">
        <v>119.1</v>
      </c>
      <c r="M365" s="5">
        <v>212.1</v>
      </c>
      <c r="N365" s="5">
        <v>177.6</v>
      </c>
      <c r="O365" s="5">
        <v>189.9</v>
      </c>
      <c r="P365" s="5">
        <v>174.8</v>
      </c>
      <c r="Q365" s="5">
        <v>198.4</v>
      </c>
      <c r="R365" s="5">
        <v>190</v>
      </c>
      <c r="S365" s="5">
        <v>187</v>
      </c>
      <c r="T365" s="5">
        <v>189.6</v>
      </c>
      <c r="U365" s="5" t="s">
        <v>67</v>
      </c>
      <c r="V365" s="5">
        <v>181.4</v>
      </c>
      <c r="W365" s="5">
        <v>178.6</v>
      </c>
      <c r="X365" s="5">
        <v>186.6</v>
      </c>
      <c r="Y365" s="5">
        <v>169</v>
      </c>
      <c r="Z365" s="5">
        <v>172.8</v>
      </c>
      <c r="AA365" s="5">
        <v>178.5</v>
      </c>
      <c r="AB365" s="5">
        <v>180.7</v>
      </c>
      <c r="AC365" s="5">
        <v>177.9</v>
      </c>
      <c r="AD365" s="12">
        <v>178</v>
      </c>
      <c r="AE365" s="26">
        <f>COUNTIFS($A$2:$A$379,A365,$B$2:$B$379,B366,$C$2:$C$379,C365)</f>
        <v>1</v>
      </c>
    </row>
    <row r="366" spans="1:31">
      <c r="A366" s="11" t="s">
        <v>68</v>
      </c>
      <c r="B366" s="5">
        <v>2023</v>
      </c>
      <c r="C366" s="5" t="s">
        <v>71</v>
      </c>
      <c r="D366" s="5">
        <v>174.7</v>
      </c>
      <c r="E366" s="5">
        <v>212.2</v>
      </c>
      <c r="F366" s="5">
        <v>177.2</v>
      </c>
      <c r="G366" s="5">
        <v>177.9</v>
      </c>
      <c r="H366" s="5">
        <v>172.2</v>
      </c>
      <c r="I366" s="5">
        <v>172.1</v>
      </c>
      <c r="J366" s="5">
        <v>175.9</v>
      </c>
      <c r="K366" s="5">
        <v>172.2</v>
      </c>
      <c r="L366" s="5">
        <v>121.9</v>
      </c>
      <c r="M366" s="5">
        <v>204.8</v>
      </c>
      <c r="N366" s="5">
        <v>164.9</v>
      </c>
      <c r="O366" s="5">
        <v>196.6</v>
      </c>
      <c r="P366" s="5">
        <v>180.8</v>
      </c>
      <c r="Q366" s="5">
        <v>202.7</v>
      </c>
      <c r="R366" s="5">
        <v>180.2</v>
      </c>
      <c r="S366" s="5">
        <v>167</v>
      </c>
      <c r="T366" s="5">
        <v>178.2</v>
      </c>
      <c r="U366" s="5">
        <v>173.5</v>
      </c>
      <c r="V366" s="5">
        <v>182.6</v>
      </c>
      <c r="W366" s="5">
        <v>169.2</v>
      </c>
      <c r="X366" s="5">
        <v>180.8</v>
      </c>
      <c r="Y366" s="5">
        <v>159.80000000000001</v>
      </c>
      <c r="Z366" s="5">
        <v>168.4</v>
      </c>
      <c r="AA366" s="5">
        <v>172.5</v>
      </c>
      <c r="AB366" s="5">
        <v>181.5</v>
      </c>
      <c r="AC366" s="5">
        <v>170</v>
      </c>
      <c r="AD366" s="12">
        <v>176.3</v>
      </c>
      <c r="AE366" s="26">
        <f>COUNTIFS($A$2:$A$379,A366,$B$2:$B$379,B367,$C$2:$C$379,C366)</f>
        <v>1</v>
      </c>
    </row>
    <row r="367" spans="1:31">
      <c r="A367" s="11" t="s">
        <v>69</v>
      </c>
      <c r="B367" s="5">
        <v>2023</v>
      </c>
      <c r="C367" s="5" t="s">
        <v>71</v>
      </c>
      <c r="D367" s="5">
        <v>174.4</v>
      </c>
      <c r="E367" s="5">
        <v>207.7</v>
      </c>
      <c r="F367" s="5">
        <v>175.2</v>
      </c>
      <c r="G367" s="5">
        <v>177.3</v>
      </c>
      <c r="H367" s="5">
        <v>179.2</v>
      </c>
      <c r="I367" s="5">
        <v>169.5</v>
      </c>
      <c r="J367" s="5">
        <v>152.80000000000001</v>
      </c>
      <c r="K367" s="5">
        <v>171.1</v>
      </c>
      <c r="L367" s="5">
        <v>120</v>
      </c>
      <c r="M367" s="5">
        <v>209.7</v>
      </c>
      <c r="N367" s="5">
        <v>172.3</v>
      </c>
      <c r="O367" s="5">
        <v>193</v>
      </c>
      <c r="P367" s="5">
        <v>177</v>
      </c>
      <c r="Q367" s="5">
        <v>199.5</v>
      </c>
      <c r="R367" s="5">
        <v>186.1</v>
      </c>
      <c r="S367" s="5">
        <v>178.7</v>
      </c>
      <c r="T367" s="5">
        <v>185.1</v>
      </c>
      <c r="U367" s="5">
        <v>173.5</v>
      </c>
      <c r="V367" s="5">
        <v>181.9</v>
      </c>
      <c r="W367" s="5">
        <v>174.2</v>
      </c>
      <c r="X367" s="5">
        <v>184.4</v>
      </c>
      <c r="Y367" s="5">
        <v>164.2</v>
      </c>
      <c r="Z367" s="5">
        <v>170.3</v>
      </c>
      <c r="AA367" s="5">
        <v>175</v>
      </c>
      <c r="AB367" s="5">
        <v>181</v>
      </c>
      <c r="AC367" s="5">
        <v>174.1</v>
      </c>
      <c r="AD367" s="12">
        <v>177.2</v>
      </c>
      <c r="AE367" s="26">
        <f>COUNTIFS($A$2:$A$379,A367,$B$2:$B$379,B368,$C$2:$C$379,C367)</f>
        <v>1</v>
      </c>
    </row>
    <row r="368" spans="1:31">
      <c r="A368" s="11" t="s">
        <v>65</v>
      </c>
      <c r="B368" s="5">
        <v>2023</v>
      </c>
      <c r="C368" s="5" t="s">
        <v>72</v>
      </c>
      <c r="D368" s="5">
        <v>173.3</v>
      </c>
      <c r="E368" s="5">
        <v>206.9</v>
      </c>
      <c r="F368" s="5">
        <v>167.9</v>
      </c>
      <c r="G368" s="5">
        <v>178.2</v>
      </c>
      <c r="H368" s="5">
        <v>178.5</v>
      </c>
      <c r="I368" s="5">
        <v>173.7</v>
      </c>
      <c r="J368" s="5">
        <v>142.80000000000001</v>
      </c>
      <c r="K368" s="5">
        <v>172.8</v>
      </c>
      <c r="L368" s="5">
        <v>120.4</v>
      </c>
      <c r="M368" s="5">
        <v>215.5</v>
      </c>
      <c r="N368" s="5">
        <v>178.2</v>
      </c>
      <c r="O368" s="5">
        <v>190.5</v>
      </c>
      <c r="P368" s="5">
        <v>175.5</v>
      </c>
      <c r="Q368" s="5">
        <v>199.5</v>
      </c>
      <c r="R368" s="5">
        <v>190.7</v>
      </c>
      <c r="S368" s="5">
        <v>187.3</v>
      </c>
      <c r="T368" s="5">
        <v>190.2</v>
      </c>
      <c r="U368" s="7" t="s">
        <v>82</v>
      </c>
      <c r="V368" s="5">
        <v>181.5</v>
      </c>
      <c r="W368" s="5">
        <v>179.1</v>
      </c>
      <c r="X368" s="5">
        <v>187.2</v>
      </c>
      <c r="Y368" s="5">
        <v>169.4</v>
      </c>
      <c r="Z368" s="5">
        <v>173.2</v>
      </c>
      <c r="AA368" s="5">
        <v>179.4</v>
      </c>
      <c r="AB368" s="5">
        <v>183.8</v>
      </c>
      <c r="AC368" s="5">
        <v>178.9</v>
      </c>
      <c r="AD368" s="12">
        <v>178.8</v>
      </c>
      <c r="AE368" s="26">
        <f>COUNTIFS($A$2:$A$379,A368,$B$2:$B$379,B369,$C$2:$C$379,C368)</f>
        <v>1</v>
      </c>
    </row>
    <row r="369" spans="1:31">
      <c r="A369" s="11" t="s">
        <v>68</v>
      </c>
      <c r="B369" s="5">
        <v>2023</v>
      </c>
      <c r="C369" s="5" t="s">
        <v>72</v>
      </c>
      <c r="D369" s="5">
        <v>174.8</v>
      </c>
      <c r="E369" s="5">
        <v>213.7</v>
      </c>
      <c r="F369" s="5">
        <v>172.4</v>
      </c>
      <c r="G369" s="5">
        <v>178.8</v>
      </c>
      <c r="H369" s="5">
        <v>168.7</v>
      </c>
      <c r="I369" s="5">
        <v>179.2</v>
      </c>
      <c r="J369" s="5">
        <v>179.9</v>
      </c>
      <c r="K369" s="5">
        <v>174.7</v>
      </c>
      <c r="L369" s="5">
        <v>123.1</v>
      </c>
      <c r="M369" s="5">
        <v>207.8</v>
      </c>
      <c r="N369" s="5">
        <v>165.5</v>
      </c>
      <c r="O369" s="5">
        <v>197</v>
      </c>
      <c r="P369" s="5">
        <v>182.1</v>
      </c>
      <c r="Q369" s="5">
        <v>203.5</v>
      </c>
      <c r="R369" s="5">
        <v>181</v>
      </c>
      <c r="S369" s="5">
        <v>167.7</v>
      </c>
      <c r="T369" s="5">
        <v>178.9</v>
      </c>
      <c r="U369" s="5">
        <v>175.2</v>
      </c>
      <c r="V369" s="5">
        <v>182.1</v>
      </c>
      <c r="W369" s="5">
        <v>169.6</v>
      </c>
      <c r="X369" s="5">
        <v>181.5</v>
      </c>
      <c r="Y369" s="5">
        <v>160.1</v>
      </c>
      <c r="Z369" s="5">
        <v>168.8</v>
      </c>
      <c r="AA369" s="5">
        <v>174.2</v>
      </c>
      <c r="AB369" s="5">
        <v>184.4</v>
      </c>
      <c r="AC369" s="5">
        <v>170.9</v>
      </c>
      <c r="AD369" s="12">
        <v>177.4</v>
      </c>
      <c r="AE369" s="26">
        <f>COUNTIFS($A$2:$A$379,A369,$B$2:$B$379,B370,$C$2:$C$379,C369)</f>
        <v>1</v>
      </c>
    </row>
    <row r="370" spans="1:31">
      <c r="A370" s="11" t="s">
        <v>69</v>
      </c>
      <c r="B370" s="5">
        <v>2023</v>
      </c>
      <c r="C370" s="5" t="s">
        <v>72</v>
      </c>
      <c r="D370" s="5">
        <v>173.8</v>
      </c>
      <c r="E370" s="5">
        <v>209.3</v>
      </c>
      <c r="F370" s="5">
        <v>169.6</v>
      </c>
      <c r="G370" s="5">
        <v>178.4</v>
      </c>
      <c r="H370" s="5">
        <v>174.9</v>
      </c>
      <c r="I370" s="5">
        <v>176.3</v>
      </c>
      <c r="J370" s="5">
        <v>155.4</v>
      </c>
      <c r="K370" s="5">
        <v>173.4</v>
      </c>
      <c r="L370" s="5">
        <v>121.3</v>
      </c>
      <c r="M370" s="5">
        <v>212.9</v>
      </c>
      <c r="N370" s="5">
        <v>172.9</v>
      </c>
      <c r="O370" s="5">
        <v>193.5</v>
      </c>
      <c r="P370" s="5">
        <v>177.9</v>
      </c>
      <c r="Q370" s="5">
        <v>200.6</v>
      </c>
      <c r="R370" s="5">
        <v>186.9</v>
      </c>
      <c r="S370" s="5">
        <v>179.2</v>
      </c>
      <c r="T370" s="5">
        <v>185.7</v>
      </c>
      <c r="U370" s="5">
        <v>175.2</v>
      </c>
      <c r="V370" s="5">
        <v>181.7</v>
      </c>
      <c r="W370" s="5">
        <v>174.6</v>
      </c>
      <c r="X370" s="5">
        <v>185</v>
      </c>
      <c r="Y370" s="5">
        <v>164.5</v>
      </c>
      <c r="Z370" s="5">
        <v>170.7</v>
      </c>
      <c r="AA370" s="5">
        <v>176.4</v>
      </c>
      <c r="AB370" s="5">
        <v>184</v>
      </c>
      <c r="AC370" s="5">
        <v>175</v>
      </c>
      <c r="AD370" s="12">
        <v>178.1</v>
      </c>
      <c r="AE370" s="26">
        <f>COUNTIFS($A$2:$A$379,A370,$B$2:$B$379,B371,$C$2:$C$379,C370)</f>
        <v>1</v>
      </c>
    </row>
    <row r="371" spans="1:31">
      <c r="A371" s="11" t="s">
        <v>65</v>
      </c>
      <c r="B371" s="5">
        <v>2023</v>
      </c>
      <c r="C371" s="5" t="s">
        <v>73</v>
      </c>
      <c r="D371" s="5">
        <v>173.2</v>
      </c>
      <c r="E371" s="5">
        <v>211.5</v>
      </c>
      <c r="F371" s="5">
        <v>171</v>
      </c>
      <c r="G371" s="5">
        <v>179.6</v>
      </c>
      <c r="H371" s="5">
        <v>173.3</v>
      </c>
      <c r="I371" s="5">
        <v>169</v>
      </c>
      <c r="J371" s="5">
        <v>148.69999999999999</v>
      </c>
      <c r="K371" s="5">
        <v>174.9</v>
      </c>
      <c r="L371" s="5">
        <v>121.9</v>
      </c>
      <c r="M371" s="5">
        <v>221</v>
      </c>
      <c r="N371" s="5">
        <v>178.7</v>
      </c>
      <c r="O371" s="5">
        <v>191.1</v>
      </c>
      <c r="P371" s="5">
        <v>176.8</v>
      </c>
      <c r="Q371" s="5">
        <v>199.9</v>
      </c>
      <c r="R371" s="5">
        <v>191.2</v>
      </c>
      <c r="S371" s="5">
        <v>187.9</v>
      </c>
      <c r="T371" s="5">
        <v>190.8</v>
      </c>
      <c r="U371" s="7" t="s">
        <v>82</v>
      </c>
      <c r="V371" s="5">
        <v>182.5</v>
      </c>
      <c r="W371" s="5">
        <v>179.8</v>
      </c>
      <c r="X371" s="5">
        <v>187.8</v>
      </c>
      <c r="Y371" s="5">
        <v>169.7</v>
      </c>
      <c r="Z371" s="5">
        <v>173.8</v>
      </c>
      <c r="AA371" s="5">
        <v>180.3</v>
      </c>
      <c r="AB371" s="5">
        <v>184.9</v>
      </c>
      <c r="AC371" s="5">
        <v>179.5</v>
      </c>
      <c r="AD371" s="12">
        <v>179.8</v>
      </c>
      <c r="AE371" s="26">
        <f>COUNTIFS($A$2:$A$379,A371,$B$2:$B$379,B372,$C$2:$C$379,C371)</f>
        <v>1</v>
      </c>
    </row>
    <row r="372" spans="1:31">
      <c r="A372" s="11" t="s">
        <v>68</v>
      </c>
      <c r="B372" s="5">
        <v>2023</v>
      </c>
      <c r="C372" s="5" t="s">
        <v>73</v>
      </c>
      <c r="D372" s="5">
        <v>174.7</v>
      </c>
      <c r="E372" s="5">
        <v>219.4</v>
      </c>
      <c r="F372" s="5">
        <v>176.7</v>
      </c>
      <c r="G372" s="5">
        <v>179.4</v>
      </c>
      <c r="H372" s="5">
        <v>164.4</v>
      </c>
      <c r="I372" s="5">
        <v>175.8</v>
      </c>
      <c r="J372" s="5">
        <v>185</v>
      </c>
      <c r="K372" s="5">
        <v>176.9</v>
      </c>
      <c r="L372" s="5">
        <v>124.2</v>
      </c>
      <c r="M372" s="5">
        <v>211.9</v>
      </c>
      <c r="N372" s="5">
        <v>165.9</v>
      </c>
      <c r="O372" s="5">
        <v>197.7</v>
      </c>
      <c r="P372" s="5">
        <v>183.1</v>
      </c>
      <c r="Q372" s="5">
        <v>204.2</v>
      </c>
      <c r="R372" s="5">
        <v>181.3</v>
      </c>
      <c r="S372" s="5">
        <v>168.1</v>
      </c>
      <c r="T372" s="5">
        <v>179.3</v>
      </c>
      <c r="U372" s="5">
        <v>175.6</v>
      </c>
      <c r="V372" s="5">
        <v>183.4</v>
      </c>
      <c r="W372" s="5">
        <v>170.1</v>
      </c>
      <c r="X372" s="5">
        <v>182.2</v>
      </c>
      <c r="Y372" s="5">
        <v>160.4</v>
      </c>
      <c r="Z372" s="5">
        <v>169.2</v>
      </c>
      <c r="AA372" s="5">
        <v>174.8</v>
      </c>
      <c r="AB372" s="5">
        <v>185.6</v>
      </c>
      <c r="AC372" s="5">
        <v>171.6</v>
      </c>
      <c r="AD372" s="12">
        <v>178.2</v>
      </c>
      <c r="AE372" s="26">
        <f>COUNTIFS($A$2:$A$379,A372,$B$2:$B$379,B373,$C$2:$C$379,C372)</f>
        <v>1</v>
      </c>
    </row>
    <row r="373" spans="1:31">
      <c r="A373" s="16" t="s">
        <v>69</v>
      </c>
      <c r="B373" s="17">
        <v>2023</v>
      </c>
      <c r="C373" s="17" t="s">
        <v>73</v>
      </c>
      <c r="D373" s="17">
        <v>173.7</v>
      </c>
      <c r="E373" s="17">
        <v>214.3</v>
      </c>
      <c r="F373" s="17">
        <v>173.2</v>
      </c>
      <c r="G373" s="17">
        <v>179.5</v>
      </c>
      <c r="H373" s="17">
        <v>170</v>
      </c>
      <c r="I373" s="17">
        <v>172.2</v>
      </c>
      <c r="J373" s="17">
        <v>161</v>
      </c>
      <c r="K373" s="17">
        <v>175.6</v>
      </c>
      <c r="L373" s="17">
        <v>122.7</v>
      </c>
      <c r="M373" s="17">
        <v>218</v>
      </c>
      <c r="N373" s="17">
        <v>173.4</v>
      </c>
      <c r="O373" s="17">
        <v>194.2</v>
      </c>
      <c r="P373" s="17">
        <v>179.1</v>
      </c>
      <c r="Q373" s="17">
        <v>201</v>
      </c>
      <c r="R373" s="17">
        <v>187.3</v>
      </c>
      <c r="S373" s="17">
        <v>179.7</v>
      </c>
      <c r="T373" s="17">
        <v>186.2</v>
      </c>
      <c r="U373" s="17">
        <v>175.6</v>
      </c>
      <c r="V373" s="17">
        <v>182.8</v>
      </c>
      <c r="W373" s="17">
        <v>175.2</v>
      </c>
      <c r="X373" s="17">
        <v>185.7</v>
      </c>
      <c r="Y373" s="17">
        <v>164.8</v>
      </c>
      <c r="Z373" s="17">
        <v>171.2</v>
      </c>
      <c r="AA373" s="17">
        <v>177.1</v>
      </c>
      <c r="AB373" s="17">
        <v>185.2</v>
      </c>
      <c r="AC373" s="17">
        <v>175.7</v>
      </c>
      <c r="AD373" s="18">
        <v>179.1</v>
      </c>
      <c r="AE373" s="27">
        <f>COUNTIFS($A$2:$A$379,A373,$B$2:$B$379,C380,$C$2:$C$379,C373)</f>
        <v>0</v>
      </c>
    </row>
    <row r="374" spans="1:31">
      <c r="A374" s="11"/>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12"/>
      <c r="AE374" s="29">
        <f>COUNTIFS($A$2:$A$379,A374,$B$2:$B$379,B380,$C$2:$C$379,C374)</f>
        <v>0</v>
      </c>
    </row>
    <row r="375" spans="1:31">
      <c r="A375" s="11"/>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12"/>
      <c r="AE375" s="29">
        <f>COUNTIFS($A$2:$A$379,A375,$B$2:$B$379,B380,$C$2:$C$379,C375)</f>
        <v>0</v>
      </c>
    </row>
    <row r="376" spans="1:31">
      <c r="A376" s="11"/>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12"/>
      <c r="AE376" s="29">
        <f>COUNTIFS($A$2:$A$379,A376,$B$2:$B$379,B380,$C$2:$C$379,C376)</f>
        <v>0</v>
      </c>
    </row>
    <row r="377" spans="1:31">
      <c r="A377" s="11"/>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12"/>
      <c r="AE377" s="29">
        <f>COUNTIFS($A$2:$A$379,A377,$B$2:$B$379,B380,$C$2:$C$379,C377)</f>
        <v>0</v>
      </c>
    </row>
    <row r="378" spans="1:31">
      <c r="A378" s="11"/>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12"/>
      <c r="AE378" s="29">
        <f>COUNTIFS($A$2:$A$379,A378,$B$2:$B$379,B380,$C$2:$C$379,C378)</f>
        <v>0</v>
      </c>
    </row>
    <row r="379" spans="1:31">
      <c r="A379" s="11"/>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12"/>
      <c r="AE379" s="28">
        <f>COUNTIFS($A$2:$A$379,A379,$B$2:$B$379,B380,$C$2:$C$379,C379)</f>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E243-6C3B-4BD3-8820-8F2CFF980789}">
  <dimension ref="A2:S58"/>
  <sheetViews>
    <sheetView topLeftCell="A32" workbookViewId="0">
      <selection activeCell="H58" sqref="H58"/>
    </sheetView>
  </sheetViews>
  <sheetFormatPr defaultRowHeight="15"/>
  <cols>
    <col min="1" max="1" width="13.140625" customWidth="1"/>
    <col min="2" max="2" width="17.5703125" customWidth="1"/>
    <col min="3" max="3" width="16.5703125" bestFit="1" customWidth="1"/>
    <col min="4" max="4" width="18.42578125" bestFit="1" customWidth="1"/>
    <col min="5" max="5" width="11.42578125" bestFit="1" customWidth="1"/>
    <col min="6" max="6" width="9.140625" bestFit="1" customWidth="1"/>
    <col min="7" max="7" width="6.85546875" bestFit="1" customWidth="1"/>
    <col min="8" max="8" width="16" customWidth="1"/>
    <col min="9" max="9" width="9.85546875" customWidth="1"/>
    <col min="10" max="10" width="5.28515625" bestFit="1" customWidth="1"/>
    <col min="11" max="11" width="4.5703125" bestFit="1" customWidth="1"/>
    <col min="12" max="12" width="7.28515625" bestFit="1" customWidth="1"/>
    <col min="13" max="13" width="11" bestFit="1" customWidth="1"/>
    <col min="14" max="14" width="8.42578125" bestFit="1" customWidth="1"/>
    <col min="15" max="15" width="10.5703125" bestFit="1" customWidth="1"/>
    <col min="16" max="16" width="10.28515625" bestFit="1" customWidth="1"/>
    <col min="17" max="17" width="11.7109375" bestFit="1" customWidth="1"/>
    <col min="18" max="18" width="20.42578125" customWidth="1"/>
    <col min="19" max="19" width="6.85546875" bestFit="1" customWidth="1"/>
    <col min="20" max="20" width="5.42578125" bestFit="1" customWidth="1"/>
    <col min="21" max="21" width="5.140625" bestFit="1" customWidth="1"/>
    <col min="22" max="22" width="5.28515625" bestFit="1" customWidth="1"/>
    <col min="23" max="23" width="4.5703125" bestFit="1" customWidth="1"/>
    <col min="24" max="24" width="7.28515625" bestFit="1" customWidth="1"/>
    <col min="25" max="25" width="11" bestFit="1" customWidth="1"/>
    <col min="26" max="26" width="8.42578125" bestFit="1" customWidth="1"/>
    <col min="27" max="27" width="10.5703125" bestFit="1" customWidth="1"/>
    <col min="28" max="28" width="10.28515625" bestFit="1" customWidth="1"/>
    <col min="29" max="29" width="10.5703125" bestFit="1" customWidth="1"/>
    <col min="30" max="30" width="8" bestFit="1" customWidth="1"/>
    <col min="32" max="32" width="6.85546875" bestFit="1" customWidth="1"/>
    <col min="33" max="33" width="5.42578125" bestFit="1" customWidth="1"/>
    <col min="34" max="34" width="5.140625" bestFit="1" customWidth="1"/>
    <col min="35" max="35" width="5.28515625" bestFit="1" customWidth="1"/>
    <col min="36" max="36" width="4.5703125" bestFit="1" customWidth="1"/>
    <col min="37" max="37" width="7.28515625" bestFit="1" customWidth="1"/>
    <col min="38" max="38" width="11" bestFit="1" customWidth="1"/>
    <col min="39" max="39" width="8.42578125" bestFit="1" customWidth="1"/>
    <col min="40" max="40" width="10.5703125" bestFit="1" customWidth="1"/>
    <col min="41" max="41" width="10.28515625" bestFit="1" customWidth="1"/>
    <col min="42" max="42" width="10.5703125" bestFit="1" customWidth="1"/>
    <col min="43" max="43" width="8" bestFit="1" customWidth="1"/>
    <col min="45" max="45" width="6.85546875" bestFit="1" customWidth="1"/>
    <col min="46" max="46" width="5.42578125" bestFit="1" customWidth="1"/>
    <col min="47" max="47" width="5.140625" bestFit="1" customWidth="1"/>
    <col min="48" max="48" width="5.28515625" bestFit="1" customWidth="1"/>
    <col min="49" max="49" width="4.5703125" bestFit="1" customWidth="1"/>
    <col min="50" max="50" width="7.28515625" bestFit="1" customWidth="1"/>
    <col min="51" max="51" width="11" bestFit="1" customWidth="1"/>
    <col min="52" max="52" width="8.42578125" bestFit="1" customWidth="1"/>
    <col min="53" max="53" width="10.5703125" bestFit="1" customWidth="1"/>
    <col min="54" max="54" width="10.28515625" bestFit="1" customWidth="1"/>
    <col min="55" max="55" width="10.5703125" bestFit="1" customWidth="1"/>
    <col min="56" max="56" width="8" bestFit="1" customWidth="1"/>
    <col min="58" max="58" width="6.85546875" bestFit="1" customWidth="1"/>
    <col min="59" max="59" width="5.42578125" bestFit="1" customWidth="1"/>
    <col min="60" max="60" width="5.140625" bestFit="1" customWidth="1"/>
    <col min="61" max="61" width="5.28515625" bestFit="1" customWidth="1"/>
    <col min="62" max="62" width="4.5703125" bestFit="1" customWidth="1"/>
    <col min="63" max="63" width="7.28515625" bestFit="1" customWidth="1"/>
    <col min="64" max="64" width="11" bestFit="1" customWidth="1"/>
    <col min="65" max="65" width="8.42578125" bestFit="1" customWidth="1"/>
    <col min="66" max="66" width="10.5703125" bestFit="1" customWidth="1"/>
    <col min="67" max="67" width="10.28515625" bestFit="1" customWidth="1"/>
    <col min="68" max="68" width="10.5703125" bestFit="1" customWidth="1"/>
    <col min="69" max="69" width="8" bestFit="1" customWidth="1"/>
    <col min="71" max="71" width="6.85546875" bestFit="1" customWidth="1"/>
    <col min="72" max="72" width="5.42578125" bestFit="1" customWidth="1"/>
    <col min="73" max="73" width="5.140625" bestFit="1" customWidth="1"/>
    <col min="74" max="74" width="5.28515625" bestFit="1" customWidth="1"/>
    <col min="75" max="75" width="4.5703125" bestFit="1" customWidth="1"/>
    <col min="76" max="76" width="7.28515625" bestFit="1" customWidth="1"/>
    <col min="77" max="77" width="11" bestFit="1" customWidth="1"/>
    <col min="78" max="78" width="8.42578125" bestFit="1" customWidth="1"/>
    <col min="79" max="79" width="10.5703125" bestFit="1" customWidth="1"/>
    <col min="80" max="80" width="10.28515625" bestFit="1" customWidth="1"/>
    <col min="81" max="81" width="10.5703125" bestFit="1" customWidth="1"/>
    <col min="82" max="82" width="8" bestFit="1" customWidth="1"/>
    <col min="84" max="84" width="6.85546875" bestFit="1" customWidth="1"/>
    <col min="85" max="85" width="5.140625" bestFit="1" customWidth="1"/>
    <col min="86" max="86" width="5.28515625" bestFit="1" customWidth="1"/>
    <col min="87" max="87" width="4.5703125" bestFit="1" customWidth="1"/>
    <col min="88" max="88" width="7.28515625" bestFit="1" customWidth="1"/>
    <col min="89" max="89" width="11" bestFit="1" customWidth="1"/>
    <col min="90" max="90" width="8.42578125" bestFit="1" customWidth="1"/>
    <col min="91" max="91" width="10.5703125" bestFit="1" customWidth="1"/>
    <col min="92" max="92" width="10.28515625" bestFit="1" customWidth="1"/>
    <col min="93" max="93" width="10.5703125" bestFit="1" customWidth="1"/>
    <col min="94" max="94" width="8" bestFit="1" customWidth="1"/>
    <col min="96" max="96" width="6.85546875" bestFit="1" customWidth="1"/>
    <col min="97" max="97" width="5.42578125" bestFit="1" customWidth="1"/>
    <col min="98" max="98" width="5.140625" bestFit="1" customWidth="1"/>
    <col min="99" max="99" width="5.28515625" bestFit="1" customWidth="1"/>
    <col min="100" max="100" width="4.5703125" bestFit="1" customWidth="1"/>
    <col min="101" max="101" width="7.28515625" bestFit="1" customWidth="1"/>
    <col min="102" max="102" width="11" bestFit="1" customWidth="1"/>
    <col min="103" max="103" width="8.42578125" bestFit="1" customWidth="1"/>
    <col min="104" max="104" width="10.5703125" bestFit="1" customWidth="1"/>
    <col min="105" max="105" width="10.28515625" bestFit="1" customWidth="1"/>
    <col min="106" max="106" width="10.5703125" bestFit="1" customWidth="1"/>
    <col min="107" max="107" width="8" bestFit="1" customWidth="1"/>
    <col min="109" max="109" width="6.85546875" bestFit="1" customWidth="1"/>
    <col min="110" max="110" width="5.42578125" bestFit="1" customWidth="1"/>
    <col min="111" max="111" width="5.140625" bestFit="1" customWidth="1"/>
    <col min="112" max="112" width="5.28515625" bestFit="1" customWidth="1"/>
    <col min="113" max="113" width="4.5703125" bestFit="1" customWidth="1"/>
    <col min="114" max="114" width="7.28515625" bestFit="1" customWidth="1"/>
    <col min="115" max="115" width="11" bestFit="1" customWidth="1"/>
    <col min="116" max="116" width="8.42578125" bestFit="1" customWidth="1"/>
    <col min="117" max="117" width="10.5703125" bestFit="1" customWidth="1"/>
    <col min="118" max="118" width="10.28515625" bestFit="1" customWidth="1"/>
    <col min="119" max="119" width="10.5703125" bestFit="1" customWidth="1"/>
    <col min="120" max="120" width="8" bestFit="1" customWidth="1"/>
    <col min="122" max="122" width="6.85546875" bestFit="1" customWidth="1"/>
    <col min="123" max="123" width="5.42578125" bestFit="1" customWidth="1"/>
    <col min="124" max="124" width="5.140625" bestFit="1" customWidth="1"/>
    <col min="125" max="125" width="5.28515625" bestFit="1" customWidth="1"/>
    <col min="126" max="126" width="4.5703125" bestFit="1" customWidth="1"/>
    <col min="127" max="127" width="7.28515625" bestFit="1" customWidth="1"/>
    <col min="128" max="128" width="11" bestFit="1" customWidth="1"/>
    <col min="129" max="129" width="8.42578125" bestFit="1" customWidth="1"/>
    <col min="130" max="130" width="10.5703125" bestFit="1" customWidth="1"/>
    <col min="131" max="131" width="10.28515625" bestFit="1" customWidth="1"/>
    <col min="132" max="132" width="10.5703125" bestFit="1" customWidth="1"/>
    <col min="133" max="133" width="8" bestFit="1" customWidth="1"/>
    <col min="135" max="135" width="6.85546875" bestFit="1" customWidth="1"/>
    <col min="136" max="136" width="5.42578125" bestFit="1" customWidth="1"/>
    <col min="137" max="137" width="5.140625" bestFit="1" customWidth="1"/>
    <col min="138" max="138" width="10.5703125" bestFit="1" customWidth="1"/>
    <col min="139" max="139" width="11.7109375" bestFit="1" customWidth="1"/>
  </cols>
  <sheetData>
    <row r="2" spans="1:9">
      <c r="A2" s="22" t="s">
        <v>87</v>
      </c>
    </row>
    <row r="3" spans="1:9">
      <c r="C3" s="22"/>
    </row>
    <row r="4" spans="1:9">
      <c r="C4" s="23" t="s">
        <v>23</v>
      </c>
      <c r="D4" t="s">
        <v>67</v>
      </c>
    </row>
    <row r="6" spans="1:9">
      <c r="A6" t="s">
        <v>88</v>
      </c>
      <c r="C6" s="23" t="s">
        <v>89</v>
      </c>
      <c r="D6" s="23" t="s">
        <v>60</v>
      </c>
      <c r="E6" s="23" t="s">
        <v>90</v>
      </c>
      <c r="F6" t="s">
        <v>91</v>
      </c>
    </row>
    <row r="7" spans="1:9">
      <c r="A7" s="21" t="s">
        <v>92</v>
      </c>
      <c r="C7" t="s">
        <v>65</v>
      </c>
      <c r="D7">
        <v>2020</v>
      </c>
      <c r="E7" t="s">
        <v>73</v>
      </c>
      <c r="F7" s="24">
        <v>1</v>
      </c>
    </row>
    <row r="8" spans="1:9">
      <c r="D8" t="s">
        <v>93</v>
      </c>
      <c r="F8" s="24">
        <v>1</v>
      </c>
    </row>
    <row r="9" spans="1:9">
      <c r="C9" t="s">
        <v>94</v>
      </c>
      <c r="F9" s="24">
        <v>1</v>
      </c>
      <c r="H9" s="21" t="s">
        <v>95</v>
      </c>
      <c r="I9" s="21" t="s">
        <v>96</v>
      </c>
    </row>
    <row r="10" spans="1:9">
      <c r="C10" t="s">
        <v>69</v>
      </c>
      <c r="D10">
        <v>2020</v>
      </c>
      <c r="E10" t="s">
        <v>73</v>
      </c>
      <c r="F10" s="24">
        <v>1</v>
      </c>
      <c r="H10" s="21" t="s">
        <v>92</v>
      </c>
      <c r="I10">
        <v>3</v>
      </c>
    </row>
    <row r="11" spans="1:9">
      <c r="D11" t="s">
        <v>93</v>
      </c>
      <c r="F11" s="24">
        <v>1</v>
      </c>
    </row>
    <row r="12" spans="1:9">
      <c r="C12" t="s">
        <v>97</v>
      </c>
      <c r="F12" s="24">
        <v>1</v>
      </c>
    </row>
    <row r="13" spans="1:9">
      <c r="C13" t="s">
        <v>68</v>
      </c>
      <c r="D13">
        <v>2020</v>
      </c>
      <c r="E13" t="s">
        <v>73</v>
      </c>
      <c r="F13" s="24">
        <v>1</v>
      </c>
    </row>
    <row r="14" spans="1:9">
      <c r="D14" t="s">
        <v>93</v>
      </c>
      <c r="F14" s="24">
        <v>1</v>
      </c>
    </row>
    <row r="15" spans="1:9">
      <c r="C15" t="s">
        <v>98</v>
      </c>
      <c r="F15" s="24">
        <v>1</v>
      </c>
    </row>
    <row r="16" spans="1:9">
      <c r="C16" t="s">
        <v>99</v>
      </c>
      <c r="F16" s="24">
        <v>3</v>
      </c>
    </row>
    <row r="23" spans="2:9">
      <c r="B23" s="21" t="s">
        <v>100</v>
      </c>
      <c r="C23" s="23" t="s">
        <v>32</v>
      </c>
      <c r="D23" t="s">
        <v>67</v>
      </c>
    </row>
    <row r="25" spans="2:9">
      <c r="C25" s="23" t="s">
        <v>101</v>
      </c>
      <c r="E25" s="23" t="s">
        <v>90</v>
      </c>
    </row>
    <row r="26" spans="2:9">
      <c r="C26" s="23" t="s">
        <v>89</v>
      </c>
      <c r="D26" s="23" t="s">
        <v>60</v>
      </c>
      <c r="E26" t="s">
        <v>72</v>
      </c>
      <c r="F26" t="s">
        <v>73</v>
      </c>
      <c r="G26" t="s">
        <v>99</v>
      </c>
      <c r="H26" s="21" t="s">
        <v>95</v>
      </c>
      <c r="I26" s="21" t="s">
        <v>96</v>
      </c>
    </row>
    <row r="27" spans="2:9">
      <c r="C27" t="s">
        <v>65</v>
      </c>
      <c r="D27">
        <v>2020</v>
      </c>
      <c r="E27" s="24">
        <v>1</v>
      </c>
      <c r="F27" s="24">
        <v>1</v>
      </c>
      <c r="G27" s="24">
        <v>2</v>
      </c>
      <c r="H27" s="21" t="s">
        <v>102</v>
      </c>
      <c r="I27">
        <v>6</v>
      </c>
    </row>
    <row r="28" spans="2:9">
      <c r="C28" t="s">
        <v>94</v>
      </c>
      <c r="E28" s="24">
        <v>1</v>
      </c>
      <c r="F28" s="24">
        <v>1</v>
      </c>
      <c r="G28" s="24">
        <v>2</v>
      </c>
    </row>
    <row r="29" spans="2:9">
      <c r="C29" t="s">
        <v>69</v>
      </c>
      <c r="D29">
        <v>2020</v>
      </c>
      <c r="E29" s="24">
        <v>1</v>
      </c>
      <c r="F29" s="24">
        <v>1</v>
      </c>
      <c r="G29" s="24">
        <v>2</v>
      </c>
    </row>
    <row r="30" spans="2:9">
      <c r="C30" t="s">
        <v>97</v>
      </c>
      <c r="E30" s="24">
        <v>1</v>
      </c>
      <c r="F30" s="24">
        <v>1</v>
      </c>
      <c r="G30" s="24">
        <v>2</v>
      </c>
    </row>
    <row r="31" spans="2:9">
      <c r="C31" t="s">
        <v>68</v>
      </c>
      <c r="D31">
        <v>2020</v>
      </c>
      <c r="E31" s="24">
        <v>1</v>
      </c>
      <c r="F31" s="24">
        <v>1</v>
      </c>
      <c r="G31" s="24">
        <v>2</v>
      </c>
    </row>
    <row r="32" spans="2:9">
      <c r="C32" t="s">
        <v>98</v>
      </c>
      <c r="E32" s="24">
        <v>1</v>
      </c>
      <c r="F32" s="24">
        <v>1</v>
      </c>
      <c r="G32" s="24">
        <v>2</v>
      </c>
    </row>
    <row r="33" spans="2:19">
      <c r="C33" t="s">
        <v>99</v>
      </c>
      <c r="E33" s="24">
        <v>3</v>
      </c>
      <c r="F33" s="24">
        <v>3</v>
      </c>
      <c r="G33" s="24">
        <v>6</v>
      </c>
    </row>
    <row r="35" spans="2:19">
      <c r="B35" s="21" t="s">
        <v>103</v>
      </c>
    </row>
    <row r="36" spans="2:19">
      <c r="C36" s="23" t="s">
        <v>25</v>
      </c>
      <c r="D36" t="s">
        <v>104</v>
      </c>
    </row>
    <row r="38" spans="2:19">
      <c r="C38" s="23" t="s">
        <v>105</v>
      </c>
      <c r="E38" s="23" t="s">
        <v>90</v>
      </c>
    </row>
    <row r="39" spans="2:19">
      <c r="C39" s="23" t="s">
        <v>89</v>
      </c>
      <c r="D39" s="23" t="s">
        <v>60</v>
      </c>
      <c r="E39" t="s">
        <v>66</v>
      </c>
      <c r="F39" t="s">
        <v>70</v>
      </c>
      <c r="G39" t="s">
        <v>71</v>
      </c>
      <c r="H39" t="s">
        <v>72</v>
      </c>
      <c r="I39" t="s">
        <v>73</v>
      </c>
      <c r="J39" t="s">
        <v>74</v>
      </c>
      <c r="K39" t="s">
        <v>75</v>
      </c>
      <c r="L39" t="s">
        <v>76</v>
      </c>
      <c r="M39" t="s">
        <v>77</v>
      </c>
      <c r="N39" t="s">
        <v>78</v>
      </c>
      <c r="O39" t="s">
        <v>79</v>
      </c>
      <c r="P39" t="s">
        <v>80</v>
      </c>
      <c r="Q39" t="s">
        <v>99</v>
      </c>
    </row>
    <row r="40" spans="2:19">
      <c r="C40" t="s">
        <v>65</v>
      </c>
      <c r="D40">
        <v>2013</v>
      </c>
      <c r="E40" s="24">
        <v>1</v>
      </c>
      <c r="F40" s="24">
        <v>1</v>
      </c>
      <c r="G40" s="24">
        <v>1</v>
      </c>
      <c r="H40" s="24">
        <v>1</v>
      </c>
      <c r="I40" s="24">
        <v>1</v>
      </c>
      <c r="J40" s="24">
        <v>1</v>
      </c>
      <c r="K40" s="24">
        <v>1</v>
      </c>
      <c r="L40" s="24">
        <v>1</v>
      </c>
      <c r="M40" s="24">
        <v>1</v>
      </c>
      <c r="N40" s="24">
        <v>1</v>
      </c>
      <c r="O40" s="24">
        <v>1</v>
      </c>
      <c r="P40" s="24">
        <v>1</v>
      </c>
      <c r="Q40" s="24">
        <v>12</v>
      </c>
    </row>
    <row r="41" spans="2:19">
      <c r="D41">
        <v>2014</v>
      </c>
      <c r="E41" s="24">
        <v>1</v>
      </c>
      <c r="F41" s="24">
        <v>1</v>
      </c>
      <c r="G41" s="24">
        <v>1</v>
      </c>
      <c r="H41" s="24">
        <v>1</v>
      </c>
      <c r="I41" s="24">
        <v>1</v>
      </c>
      <c r="J41" s="24">
        <v>1</v>
      </c>
      <c r="K41" s="24">
        <v>1</v>
      </c>
      <c r="L41" s="24">
        <v>1</v>
      </c>
      <c r="M41" s="24">
        <v>1</v>
      </c>
      <c r="N41" s="24">
        <v>1</v>
      </c>
      <c r="O41" s="24">
        <v>1</v>
      </c>
      <c r="P41" s="24">
        <v>1</v>
      </c>
      <c r="Q41" s="24">
        <v>12</v>
      </c>
    </row>
    <row r="42" spans="2:19">
      <c r="D42">
        <v>2015</v>
      </c>
      <c r="E42" s="24">
        <v>1</v>
      </c>
      <c r="F42" s="24">
        <v>1</v>
      </c>
      <c r="G42" s="24">
        <v>1</v>
      </c>
      <c r="H42" s="24">
        <v>1</v>
      </c>
      <c r="I42" s="24">
        <v>1</v>
      </c>
      <c r="J42" s="24">
        <v>1</v>
      </c>
      <c r="K42" s="24">
        <v>1</v>
      </c>
      <c r="L42" s="24">
        <v>1</v>
      </c>
      <c r="M42" s="24">
        <v>1</v>
      </c>
      <c r="N42" s="24">
        <v>1</v>
      </c>
      <c r="O42" s="24">
        <v>1</v>
      </c>
      <c r="P42" s="24">
        <v>1</v>
      </c>
      <c r="Q42" s="24">
        <v>12</v>
      </c>
    </row>
    <row r="43" spans="2:19">
      <c r="D43">
        <v>2016</v>
      </c>
      <c r="E43" s="24">
        <v>1</v>
      </c>
      <c r="F43" s="24">
        <v>1</v>
      </c>
      <c r="G43" s="24">
        <v>1</v>
      </c>
      <c r="H43" s="24">
        <v>1</v>
      </c>
      <c r="I43" s="24">
        <v>1</v>
      </c>
      <c r="J43" s="24">
        <v>1</v>
      </c>
      <c r="K43" s="24">
        <v>1</v>
      </c>
      <c r="L43" s="24">
        <v>1</v>
      </c>
      <c r="M43" s="24">
        <v>1</v>
      </c>
      <c r="N43" s="24">
        <v>1</v>
      </c>
      <c r="O43" s="24">
        <v>1</v>
      </c>
      <c r="P43" s="24">
        <v>1</v>
      </c>
      <c r="Q43" s="24">
        <v>12</v>
      </c>
    </row>
    <row r="44" spans="2:19">
      <c r="D44">
        <v>2017</v>
      </c>
      <c r="E44" s="24">
        <v>1</v>
      </c>
      <c r="F44" s="24">
        <v>1</v>
      </c>
      <c r="G44" s="24">
        <v>1</v>
      </c>
      <c r="H44" s="24">
        <v>1</v>
      </c>
      <c r="I44" s="24">
        <v>1</v>
      </c>
      <c r="J44" s="24">
        <v>1</v>
      </c>
      <c r="K44" s="24">
        <v>1</v>
      </c>
      <c r="L44" s="24">
        <v>1</v>
      </c>
      <c r="M44" s="24">
        <v>1</v>
      </c>
      <c r="N44" s="24">
        <v>1</v>
      </c>
      <c r="O44" s="24">
        <v>1</v>
      </c>
      <c r="P44" s="24">
        <v>1</v>
      </c>
      <c r="Q44" s="24">
        <v>12</v>
      </c>
      <c r="R44" s="21" t="s">
        <v>95</v>
      </c>
      <c r="S44" s="21" t="s">
        <v>96</v>
      </c>
    </row>
    <row r="45" spans="2:19">
      <c r="D45">
        <v>2018</v>
      </c>
      <c r="E45" s="24">
        <v>1</v>
      </c>
      <c r="F45" s="24">
        <v>1</v>
      </c>
      <c r="G45" s="24">
        <v>1</v>
      </c>
      <c r="H45" s="24">
        <v>1</v>
      </c>
      <c r="I45" s="24">
        <v>1</v>
      </c>
      <c r="J45" s="24">
        <v>1</v>
      </c>
      <c r="K45" s="24">
        <v>1</v>
      </c>
      <c r="L45" s="24">
        <v>1</v>
      </c>
      <c r="M45" s="24">
        <v>1</v>
      </c>
      <c r="N45" s="24">
        <v>1</v>
      </c>
      <c r="O45" s="24">
        <v>1</v>
      </c>
      <c r="P45" s="24">
        <v>1</v>
      </c>
      <c r="Q45" s="24">
        <v>12</v>
      </c>
      <c r="R45" s="21" t="s">
        <v>103</v>
      </c>
      <c r="S45">
        <v>126</v>
      </c>
    </row>
    <row r="46" spans="2:19">
      <c r="D46">
        <v>2019</v>
      </c>
      <c r="E46" s="24">
        <v>1</v>
      </c>
      <c r="F46" s="24">
        <v>1</v>
      </c>
      <c r="G46" s="24">
        <v>1</v>
      </c>
      <c r="H46" s="24"/>
      <c r="I46" s="24">
        <v>1</v>
      </c>
      <c r="J46" s="24">
        <v>1</v>
      </c>
      <c r="K46" s="24">
        <v>1</v>
      </c>
      <c r="L46" s="24">
        <v>1</v>
      </c>
      <c r="M46" s="24">
        <v>1</v>
      </c>
      <c r="N46" s="24">
        <v>1</v>
      </c>
      <c r="O46" s="24">
        <v>1</v>
      </c>
      <c r="P46" s="24">
        <v>1</v>
      </c>
      <c r="Q46" s="24">
        <v>11</v>
      </c>
    </row>
    <row r="47" spans="2:19">
      <c r="D47">
        <v>2020</v>
      </c>
      <c r="E47" s="24">
        <v>1</v>
      </c>
      <c r="F47" s="24">
        <v>1</v>
      </c>
      <c r="G47" s="24">
        <v>1</v>
      </c>
      <c r="H47" s="24">
        <v>1</v>
      </c>
      <c r="I47" s="24">
        <v>1</v>
      </c>
      <c r="J47" s="24">
        <v>1</v>
      </c>
      <c r="K47" s="24">
        <v>1</v>
      </c>
      <c r="L47" s="24">
        <v>1</v>
      </c>
      <c r="M47" s="24">
        <v>1</v>
      </c>
      <c r="N47" s="24">
        <v>1</v>
      </c>
      <c r="O47" s="24">
        <v>1</v>
      </c>
      <c r="P47" s="24">
        <v>1</v>
      </c>
      <c r="Q47" s="24">
        <v>12</v>
      </c>
    </row>
    <row r="48" spans="2:19">
      <c r="D48">
        <v>2021</v>
      </c>
      <c r="E48" s="24">
        <v>1</v>
      </c>
      <c r="F48" s="24">
        <v>1</v>
      </c>
      <c r="G48" s="24">
        <v>1</v>
      </c>
      <c r="H48" s="24">
        <v>1</v>
      </c>
      <c r="I48" s="24">
        <v>1</v>
      </c>
      <c r="J48" s="24">
        <v>1</v>
      </c>
      <c r="K48" s="24">
        <v>1</v>
      </c>
      <c r="L48" s="24">
        <v>1</v>
      </c>
      <c r="M48" s="24">
        <v>1</v>
      </c>
      <c r="N48" s="24">
        <v>1</v>
      </c>
      <c r="O48" s="24">
        <v>1</v>
      </c>
      <c r="P48" s="24">
        <v>1</v>
      </c>
      <c r="Q48" s="24">
        <v>12</v>
      </c>
    </row>
    <row r="49" spans="3:17">
      <c r="D49">
        <v>2022</v>
      </c>
      <c r="E49" s="24">
        <v>1</v>
      </c>
      <c r="F49" s="24">
        <v>1</v>
      </c>
      <c r="G49" s="24">
        <v>1</v>
      </c>
      <c r="H49" s="24">
        <v>1</v>
      </c>
      <c r="I49" s="24">
        <v>1</v>
      </c>
      <c r="J49" s="24">
        <v>1</v>
      </c>
      <c r="K49" s="24">
        <v>1</v>
      </c>
      <c r="L49" s="24">
        <v>1</v>
      </c>
      <c r="M49" s="24">
        <v>1</v>
      </c>
      <c r="N49" s="24">
        <v>1</v>
      </c>
      <c r="O49" s="24">
        <v>1</v>
      </c>
      <c r="P49" s="24">
        <v>1</v>
      </c>
      <c r="Q49" s="24">
        <v>12</v>
      </c>
    </row>
    <row r="50" spans="3:17">
      <c r="D50">
        <v>2023</v>
      </c>
      <c r="E50" s="24">
        <v>1</v>
      </c>
      <c r="F50" s="24">
        <v>1</v>
      </c>
      <c r="G50" s="24">
        <v>1</v>
      </c>
      <c r="H50" s="24">
        <v>1</v>
      </c>
      <c r="I50" s="24">
        <v>1</v>
      </c>
      <c r="J50" s="24"/>
      <c r="K50" s="24"/>
      <c r="L50" s="24"/>
      <c r="M50" s="24"/>
      <c r="N50" s="24"/>
      <c r="O50" s="24"/>
      <c r="P50" s="24"/>
      <c r="Q50" s="24">
        <v>5</v>
      </c>
    </row>
    <row r="51" spans="3:17">
      <c r="C51" t="s">
        <v>94</v>
      </c>
      <c r="E51" s="24">
        <v>11</v>
      </c>
      <c r="F51" s="24">
        <v>11</v>
      </c>
      <c r="G51" s="24">
        <v>11</v>
      </c>
      <c r="H51" s="24">
        <v>10</v>
      </c>
      <c r="I51" s="24">
        <v>11</v>
      </c>
      <c r="J51" s="24">
        <v>10</v>
      </c>
      <c r="K51" s="24">
        <v>10</v>
      </c>
      <c r="L51" s="24">
        <v>10</v>
      </c>
      <c r="M51" s="24">
        <v>10</v>
      </c>
      <c r="N51" s="24">
        <v>10</v>
      </c>
      <c r="O51" s="24">
        <v>10</v>
      </c>
      <c r="P51" s="24">
        <v>10</v>
      </c>
      <c r="Q51" s="24">
        <v>124</v>
      </c>
    </row>
    <row r="52" spans="3:17">
      <c r="C52" t="s">
        <v>69</v>
      </c>
      <c r="D52">
        <v>2020</v>
      </c>
      <c r="E52" s="24"/>
      <c r="F52" s="24"/>
      <c r="G52" s="24"/>
      <c r="H52" s="24"/>
      <c r="I52" s="24">
        <v>1</v>
      </c>
      <c r="J52" s="24"/>
      <c r="K52" s="24"/>
      <c r="L52" s="24"/>
      <c r="M52" s="24"/>
      <c r="N52" s="24"/>
      <c r="O52" s="24"/>
      <c r="P52" s="24"/>
      <c r="Q52" s="24">
        <v>1</v>
      </c>
    </row>
    <row r="53" spans="3:17">
      <c r="C53" t="s">
        <v>97</v>
      </c>
      <c r="E53" s="24"/>
      <c r="F53" s="24"/>
      <c r="G53" s="24"/>
      <c r="H53" s="24"/>
      <c r="I53" s="24">
        <v>1</v>
      </c>
      <c r="J53" s="24"/>
      <c r="K53" s="24"/>
      <c r="L53" s="24"/>
      <c r="M53" s="24"/>
      <c r="N53" s="24"/>
      <c r="O53" s="24"/>
      <c r="P53" s="24"/>
      <c r="Q53" s="24">
        <v>1</v>
      </c>
    </row>
    <row r="54" spans="3:17">
      <c r="C54" t="s">
        <v>68</v>
      </c>
      <c r="D54">
        <v>2020</v>
      </c>
      <c r="E54" s="24"/>
      <c r="F54" s="24"/>
      <c r="G54" s="24"/>
      <c r="H54" s="24"/>
      <c r="I54" s="24">
        <v>1</v>
      </c>
      <c r="J54" s="24"/>
      <c r="K54" s="24"/>
      <c r="L54" s="24"/>
      <c r="M54" s="24"/>
      <c r="N54" s="24"/>
      <c r="O54" s="24"/>
      <c r="P54" s="24"/>
      <c r="Q54" s="24">
        <v>1</v>
      </c>
    </row>
    <row r="55" spans="3:17">
      <c r="C55" t="s">
        <v>98</v>
      </c>
      <c r="E55" s="24"/>
      <c r="F55" s="24"/>
      <c r="G55" s="24"/>
      <c r="H55" s="24"/>
      <c r="I55" s="24">
        <v>1</v>
      </c>
      <c r="J55" s="24"/>
      <c r="K55" s="24"/>
      <c r="L55" s="24"/>
      <c r="M55" s="24"/>
      <c r="N55" s="24"/>
      <c r="O55" s="24"/>
      <c r="P55" s="24"/>
      <c r="Q55" s="24">
        <v>1</v>
      </c>
    </row>
    <row r="56" spans="3:17">
      <c r="C56" t="s">
        <v>99</v>
      </c>
      <c r="E56" s="24">
        <v>11</v>
      </c>
      <c r="F56" s="24">
        <v>11</v>
      </c>
      <c r="G56" s="24">
        <v>11</v>
      </c>
      <c r="H56" s="24">
        <v>10</v>
      </c>
      <c r="I56" s="24">
        <v>13</v>
      </c>
      <c r="J56" s="24">
        <v>10</v>
      </c>
      <c r="K56" s="24">
        <v>10</v>
      </c>
      <c r="L56" s="24">
        <v>10</v>
      </c>
      <c r="M56" s="24">
        <v>10</v>
      </c>
      <c r="N56" s="24">
        <v>10</v>
      </c>
      <c r="O56" s="24">
        <v>10</v>
      </c>
      <c r="P56" s="24">
        <v>10</v>
      </c>
      <c r="Q56" s="24">
        <v>126</v>
      </c>
    </row>
    <row r="58" spans="3:17">
      <c r="C58" s="21" t="s">
        <v>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60DA-D83A-4ACE-BCB0-6309F7D079BA}">
  <dimension ref="A1:AE379"/>
  <sheetViews>
    <sheetView workbookViewId="0">
      <selection activeCell="A2" sqref="A2"/>
    </sheetView>
  </sheetViews>
  <sheetFormatPr defaultRowHeight="15"/>
  <sheetData>
    <row r="1" spans="1:31">
      <c r="A1" s="13" t="s">
        <v>59</v>
      </c>
      <c r="B1" s="14" t="s">
        <v>60</v>
      </c>
      <c r="C1" s="14" t="s">
        <v>61</v>
      </c>
      <c r="D1" t="s">
        <v>23</v>
      </c>
      <c r="E1" t="s">
        <v>32</v>
      </c>
      <c r="F1" t="s">
        <v>34</v>
      </c>
      <c r="G1" t="s">
        <v>35</v>
      </c>
      <c r="H1" t="s">
        <v>36</v>
      </c>
      <c r="I1" t="s">
        <v>39</v>
      </c>
      <c r="J1" t="s">
        <v>41</v>
      </c>
      <c r="K1" t="s">
        <v>42</v>
      </c>
      <c r="L1" t="s">
        <v>43</v>
      </c>
      <c r="M1" t="s">
        <v>44</v>
      </c>
      <c r="N1" t="s">
        <v>46</v>
      </c>
      <c r="O1" t="s">
        <v>45</v>
      </c>
      <c r="P1" s="14" t="s">
        <v>83</v>
      </c>
      <c r="Q1" t="s">
        <v>50</v>
      </c>
      <c r="R1" t="s">
        <v>24</v>
      </c>
      <c r="S1" t="s">
        <v>33</v>
      </c>
      <c r="T1" s="14" t="s">
        <v>84</v>
      </c>
      <c r="U1" t="s">
        <v>25</v>
      </c>
      <c r="V1" t="s">
        <v>26</v>
      </c>
      <c r="W1" t="s">
        <v>49</v>
      </c>
      <c r="X1" t="s">
        <v>27</v>
      </c>
      <c r="Y1" t="s">
        <v>28</v>
      </c>
      <c r="Z1" t="s">
        <v>30</v>
      </c>
      <c r="AA1" t="s">
        <v>29</v>
      </c>
      <c r="AB1" t="s">
        <v>31</v>
      </c>
      <c r="AC1" t="s">
        <v>58</v>
      </c>
      <c r="AD1" s="15" t="s">
        <v>85</v>
      </c>
      <c r="AE1" s="14" t="s">
        <v>86</v>
      </c>
    </row>
    <row r="2" spans="1:31">
      <c r="A2" s="11" t="s">
        <v>65</v>
      </c>
      <c r="B2" s="5">
        <v>2013</v>
      </c>
      <c r="C2" s="5" t="s">
        <v>66</v>
      </c>
      <c r="D2" s="5">
        <v>107.5</v>
      </c>
      <c r="E2" s="5">
        <v>106.3</v>
      </c>
      <c r="F2" s="5">
        <v>108.1</v>
      </c>
      <c r="G2" s="5">
        <v>104.9</v>
      </c>
      <c r="H2" s="5">
        <v>106.1</v>
      </c>
      <c r="I2" s="5">
        <v>103.9</v>
      </c>
      <c r="J2" s="5">
        <v>101.9</v>
      </c>
      <c r="K2" s="5">
        <v>106.1</v>
      </c>
      <c r="L2" s="5">
        <v>106.8</v>
      </c>
      <c r="M2" s="5">
        <v>103.1</v>
      </c>
      <c r="N2" s="5">
        <v>104.8</v>
      </c>
      <c r="O2" s="5">
        <v>106.7</v>
      </c>
      <c r="P2" s="5">
        <v>105.5</v>
      </c>
      <c r="Q2" s="5">
        <v>105.1</v>
      </c>
      <c r="R2" s="5">
        <v>106.5</v>
      </c>
      <c r="S2" s="5">
        <v>105.8</v>
      </c>
      <c r="T2" s="5">
        <v>106.4</v>
      </c>
      <c r="U2" s="5" t="s">
        <v>67</v>
      </c>
      <c r="V2" s="5">
        <v>105.5</v>
      </c>
      <c r="W2" s="5">
        <v>104.8</v>
      </c>
      <c r="X2" s="5">
        <v>104</v>
      </c>
      <c r="Y2" s="5">
        <v>103.3</v>
      </c>
      <c r="Z2" s="5">
        <v>103.4</v>
      </c>
      <c r="AA2" s="5">
        <v>103.8</v>
      </c>
      <c r="AB2" s="5">
        <v>104.7</v>
      </c>
      <c r="AC2" s="5">
        <v>104</v>
      </c>
      <c r="AD2" s="12">
        <v>105.1</v>
      </c>
      <c r="AE2" s="26">
        <v>1</v>
      </c>
    </row>
    <row r="3" spans="1:31">
      <c r="A3" s="11" t="s">
        <v>68</v>
      </c>
      <c r="B3" s="5">
        <v>2013</v>
      </c>
      <c r="C3" s="5" t="s">
        <v>66</v>
      </c>
      <c r="D3" s="5">
        <v>110.5</v>
      </c>
      <c r="E3" s="5">
        <v>109.1</v>
      </c>
      <c r="F3" s="5">
        <v>113</v>
      </c>
      <c r="G3" s="5">
        <v>103.6</v>
      </c>
      <c r="H3" s="5">
        <v>103.4</v>
      </c>
      <c r="I3" s="5">
        <v>102.3</v>
      </c>
      <c r="J3" s="5">
        <v>102.9</v>
      </c>
      <c r="K3" s="5">
        <v>105.8</v>
      </c>
      <c r="L3" s="5">
        <v>105.1</v>
      </c>
      <c r="M3" s="5">
        <v>101.8</v>
      </c>
      <c r="N3" s="5">
        <v>105.1</v>
      </c>
      <c r="O3" s="5">
        <v>107.9</v>
      </c>
      <c r="P3" s="5">
        <v>105.9</v>
      </c>
      <c r="Q3" s="5">
        <v>105.2</v>
      </c>
      <c r="R3" s="5">
        <v>105.9</v>
      </c>
      <c r="S3" s="5">
        <v>105</v>
      </c>
      <c r="T3" s="5">
        <v>105.8</v>
      </c>
      <c r="U3" s="5">
        <v>100.3</v>
      </c>
      <c r="V3" s="5">
        <v>105.4</v>
      </c>
      <c r="W3" s="5">
        <v>104.8</v>
      </c>
      <c r="X3" s="5">
        <v>104.1</v>
      </c>
      <c r="Y3" s="5">
        <v>103.2</v>
      </c>
      <c r="Z3" s="5">
        <v>102.9</v>
      </c>
      <c r="AA3" s="5">
        <v>103.5</v>
      </c>
      <c r="AB3" s="5">
        <v>104.3</v>
      </c>
      <c r="AC3" s="5">
        <v>103.7</v>
      </c>
      <c r="AD3" s="12">
        <v>104</v>
      </c>
      <c r="AE3" s="26">
        <v>1</v>
      </c>
    </row>
    <row r="4" spans="1:31">
      <c r="A4" s="11" t="s">
        <v>69</v>
      </c>
      <c r="B4" s="5">
        <v>2013</v>
      </c>
      <c r="C4" s="5" t="s">
        <v>66</v>
      </c>
      <c r="D4" s="5">
        <v>108.4</v>
      </c>
      <c r="E4" s="5">
        <v>107.3</v>
      </c>
      <c r="F4" s="5">
        <v>110</v>
      </c>
      <c r="G4" s="5">
        <v>104.4</v>
      </c>
      <c r="H4" s="5">
        <v>105.1</v>
      </c>
      <c r="I4" s="5">
        <v>103.2</v>
      </c>
      <c r="J4" s="5">
        <v>102.2</v>
      </c>
      <c r="K4" s="5">
        <v>106</v>
      </c>
      <c r="L4" s="5">
        <v>106.2</v>
      </c>
      <c r="M4" s="5">
        <v>102.7</v>
      </c>
      <c r="N4" s="5">
        <v>104.9</v>
      </c>
      <c r="O4" s="5">
        <v>107.3</v>
      </c>
      <c r="P4" s="5">
        <v>105.6</v>
      </c>
      <c r="Q4" s="5">
        <v>105.1</v>
      </c>
      <c r="R4" s="5">
        <v>106.3</v>
      </c>
      <c r="S4" s="5">
        <v>105.5</v>
      </c>
      <c r="T4" s="5">
        <v>106.2</v>
      </c>
      <c r="U4" s="5">
        <v>100.3</v>
      </c>
      <c r="V4" s="5">
        <v>105.5</v>
      </c>
      <c r="W4" s="5">
        <v>104.8</v>
      </c>
      <c r="X4" s="5">
        <v>104</v>
      </c>
      <c r="Y4" s="5">
        <v>103.2</v>
      </c>
      <c r="Z4" s="5">
        <v>103.1</v>
      </c>
      <c r="AA4" s="5">
        <v>103.6</v>
      </c>
      <c r="AB4" s="5">
        <v>104.5</v>
      </c>
      <c r="AC4" s="5">
        <v>103.9</v>
      </c>
      <c r="AD4" s="12">
        <v>104.6</v>
      </c>
      <c r="AE4" s="26">
        <v>1</v>
      </c>
    </row>
    <row r="5" spans="1:31">
      <c r="A5" s="11" t="s">
        <v>65</v>
      </c>
      <c r="B5" s="5">
        <v>2013</v>
      </c>
      <c r="C5" s="5" t="s">
        <v>70</v>
      </c>
      <c r="D5" s="5">
        <v>109.2</v>
      </c>
      <c r="E5" s="5">
        <v>108.7</v>
      </c>
      <c r="F5" s="5">
        <v>110.2</v>
      </c>
      <c r="G5" s="5">
        <v>105.4</v>
      </c>
      <c r="H5" s="5">
        <v>106.7</v>
      </c>
      <c r="I5" s="5">
        <v>104</v>
      </c>
      <c r="J5" s="5">
        <v>102.4</v>
      </c>
      <c r="K5" s="5">
        <v>105.9</v>
      </c>
      <c r="L5" s="5">
        <v>105.7</v>
      </c>
      <c r="M5" s="5">
        <v>103.1</v>
      </c>
      <c r="N5" s="5">
        <v>105.1</v>
      </c>
      <c r="O5" s="5">
        <v>107.7</v>
      </c>
      <c r="P5" s="5">
        <v>106.3</v>
      </c>
      <c r="Q5" s="5">
        <v>105.6</v>
      </c>
      <c r="R5" s="5">
        <v>107.1</v>
      </c>
      <c r="S5" s="5">
        <v>106.3</v>
      </c>
      <c r="T5" s="5">
        <v>107</v>
      </c>
      <c r="U5" s="5" t="s">
        <v>67</v>
      </c>
      <c r="V5" s="5">
        <v>106.2</v>
      </c>
      <c r="W5" s="5">
        <v>105.2</v>
      </c>
      <c r="X5" s="5">
        <v>104.4</v>
      </c>
      <c r="Y5" s="5">
        <v>103.9</v>
      </c>
      <c r="Z5" s="5">
        <v>104</v>
      </c>
      <c r="AA5" s="5">
        <v>104.1</v>
      </c>
      <c r="AB5" s="5">
        <v>104.6</v>
      </c>
      <c r="AC5" s="5">
        <v>104.4</v>
      </c>
      <c r="AD5" s="12">
        <v>105.8</v>
      </c>
      <c r="AE5" s="26">
        <v>1</v>
      </c>
    </row>
    <row r="6" spans="1:31">
      <c r="A6" s="11" t="s">
        <v>68</v>
      </c>
      <c r="B6" s="5">
        <v>2013</v>
      </c>
      <c r="C6" s="5" t="s">
        <v>70</v>
      </c>
      <c r="D6" s="5">
        <v>112.9</v>
      </c>
      <c r="E6" s="5">
        <v>112.9</v>
      </c>
      <c r="F6" s="5">
        <v>116.9</v>
      </c>
      <c r="G6" s="5">
        <v>104</v>
      </c>
      <c r="H6" s="5">
        <v>103.5</v>
      </c>
      <c r="I6" s="5">
        <v>103.1</v>
      </c>
      <c r="J6" s="5">
        <v>104.9</v>
      </c>
      <c r="K6" s="5">
        <v>104.1</v>
      </c>
      <c r="L6" s="5">
        <v>103.8</v>
      </c>
      <c r="M6" s="5">
        <v>102.3</v>
      </c>
      <c r="N6" s="5">
        <v>106</v>
      </c>
      <c r="O6" s="5">
        <v>109</v>
      </c>
      <c r="P6" s="5">
        <v>107.2</v>
      </c>
      <c r="Q6" s="5">
        <v>106</v>
      </c>
      <c r="R6" s="5">
        <v>106.6</v>
      </c>
      <c r="S6" s="5">
        <v>105.5</v>
      </c>
      <c r="T6" s="5">
        <v>106.4</v>
      </c>
      <c r="U6" s="5">
        <v>100.4</v>
      </c>
      <c r="V6" s="5">
        <v>105.7</v>
      </c>
      <c r="W6" s="5">
        <v>105.2</v>
      </c>
      <c r="X6" s="5">
        <v>104.7</v>
      </c>
      <c r="Y6" s="5">
        <v>104.4</v>
      </c>
      <c r="Z6" s="5">
        <v>103.3</v>
      </c>
      <c r="AA6" s="5">
        <v>103.7</v>
      </c>
      <c r="AB6" s="5">
        <v>104.3</v>
      </c>
      <c r="AC6" s="5">
        <v>104.3</v>
      </c>
      <c r="AD6" s="12">
        <v>104.7</v>
      </c>
      <c r="AE6" s="26">
        <v>1</v>
      </c>
    </row>
    <row r="7" spans="1:31">
      <c r="A7" s="11" t="s">
        <v>69</v>
      </c>
      <c r="B7" s="5">
        <v>2013</v>
      </c>
      <c r="C7" s="5" t="s">
        <v>70</v>
      </c>
      <c r="D7" s="5">
        <v>110.4</v>
      </c>
      <c r="E7" s="5">
        <v>110.2</v>
      </c>
      <c r="F7" s="5">
        <v>112.8</v>
      </c>
      <c r="G7" s="5">
        <v>104.9</v>
      </c>
      <c r="H7" s="5">
        <v>105.5</v>
      </c>
      <c r="I7" s="5">
        <v>103.6</v>
      </c>
      <c r="J7" s="5">
        <v>103.2</v>
      </c>
      <c r="K7" s="5">
        <v>105.3</v>
      </c>
      <c r="L7" s="5">
        <v>105.1</v>
      </c>
      <c r="M7" s="5">
        <v>102.8</v>
      </c>
      <c r="N7" s="5">
        <v>105.5</v>
      </c>
      <c r="O7" s="5">
        <v>108.3</v>
      </c>
      <c r="P7" s="5">
        <v>106.6</v>
      </c>
      <c r="Q7" s="5">
        <v>105.7</v>
      </c>
      <c r="R7" s="5">
        <v>106.9</v>
      </c>
      <c r="S7" s="5">
        <v>106</v>
      </c>
      <c r="T7" s="5">
        <v>106.8</v>
      </c>
      <c r="U7" s="5">
        <v>100.4</v>
      </c>
      <c r="V7" s="5">
        <v>106</v>
      </c>
      <c r="W7" s="5">
        <v>105.2</v>
      </c>
      <c r="X7" s="5">
        <v>104.5</v>
      </c>
      <c r="Y7" s="5">
        <v>104.2</v>
      </c>
      <c r="Z7" s="5">
        <v>103.6</v>
      </c>
      <c r="AA7" s="5">
        <v>103.9</v>
      </c>
      <c r="AB7" s="5">
        <v>104.5</v>
      </c>
      <c r="AC7" s="5">
        <v>104.4</v>
      </c>
      <c r="AD7" s="12">
        <v>105.3</v>
      </c>
      <c r="AE7" s="26">
        <v>1</v>
      </c>
    </row>
    <row r="8" spans="1:31">
      <c r="A8" s="11" t="s">
        <v>65</v>
      </c>
      <c r="B8" s="5">
        <v>2013</v>
      </c>
      <c r="C8" s="5" t="s">
        <v>71</v>
      </c>
      <c r="D8" s="5">
        <v>110.2</v>
      </c>
      <c r="E8" s="5">
        <v>108.8</v>
      </c>
      <c r="F8" s="5">
        <v>109.9</v>
      </c>
      <c r="G8" s="5">
        <v>105.6</v>
      </c>
      <c r="H8" s="5">
        <v>106.2</v>
      </c>
      <c r="I8" s="5">
        <v>105.7</v>
      </c>
      <c r="J8" s="5">
        <v>101.4</v>
      </c>
      <c r="K8" s="5">
        <v>105.7</v>
      </c>
      <c r="L8" s="5">
        <v>105</v>
      </c>
      <c r="M8" s="5">
        <v>103.3</v>
      </c>
      <c r="N8" s="5">
        <v>105.6</v>
      </c>
      <c r="O8" s="5">
        <v>108.2</v>
      </c>
      <c r="P8" s="5">
        <v>106.6</v>
      </c>
      <c r="Q8" s="5">
        <v>106.5</v>
      </c>
      <c r="R8" s="5">
        <v>107.6</v>
      </c>
      <c r="S8" s="5">
        <v>106.8</v>
      </c>
      <c r="T8" s="5">
        <v>107.5</v>
      </c>
      <c r="U8" s="5" t="s">
        <v>67</v>
      </c>
      <c r="V8" s="5">
        <v>106.1</v>
      </c>
      <c r="W8" s="5">
        <v>105.6</v>
      </c>
      <c r="X8" s="5">
        <v>104.7</v>
      </c>
      <c r="Y8" s="5">
        <v>104.6</v>
      </c>
      <c r="Z8" s="5">
        <v>104</v>
      </c>
      <c r="AA8" s="5">
        <v>104.3</v>
      </c>
      <c r="AB8" s="5">
        <v>104.3</v>
      </c>
      <c r="AC8" s="5">
        <v>104.6</v>
      </c>
      <c r="AD8" s="12">
        <v>106</v>
      </c>
      <c r="AE8" s="26">
        <v>1</v>
      </c>
    </row>
    <row r="9" spans="1:31">
      <c r="A9" s="11" t="s">
        <v>68</v>
      </c>
      <c r="B9" s="5">
        <v>2013</v>
      </c>
      <c r="C9" s="5" t="s">
        <v>71</v>
      </c>
      <c r="D9" s="5">
        <v>113.9</v>
      </c>
      <c r="E9" s="5">
        <v>111.4</v>
      </c>
      <c r="F9" s="5">
        <v>113.2</v>
      </c>
      <c r="G9" s="5">
        <v>104.3</v>
      </c>
      <c r="H9" s="5">
        <v>102.7</v>
      </c>
      <c r="I9" s="5">
        <v>104.9</v>
      </c>
      <c r="J9" s="5">
        <v>103.8</v>
      </c>
      <c r="K9" s="5">
        <v>103.5</v>
      </c>
      <c r="L9" s="5">
        <v>102.6</v>
      </c>
      <c r="M9" s="5">
        <v>102.4</v>
      </c>
      <c r="N9" s="5">
        <v>107</v>
      </c>
      <c r="O9" s="5">
        <v>109.8</v>
      </c>
      <c r="P9" s="5">
        <v>107.3</v>
      </c>
      <c r="Q9" s="5">
        <v>106.8</v>
      </c>
      <c r="R9" s="5">
        <v>107.2</v>
      </c>
      <c r="S9" s="5">
        <v>106</v>
      </c>
      <c r="T9" s="5">
        <v>107</v>
      </c>
      <c r="U9" s="5">
        <v>100.4</v>
      </c>
      <c r="V9" s="5">
        <v>106</v>
      </c>
      <c r="W9" s="5">
        <v>105.7</v>
      </c>
      <c r="X9" s="5">
        <v>105.2</v>
      </c>
      <c r="Y9" s="5">
        <v>105.5</v>
      </c>
      <c r="Z9" s="5">
        <v>103.5</v>
      </c>
      <c r="AA9" s="5">
        <v>103.8</v>
      </c>
      <c r="AB9" s="5">
        <v>104.2</v>
      </c>
      <c r="AC9" s="5">
        <v>104.9</v>
      </c>
      <c r="AD9" s="12">
        <v>105</v>
      </c>
      <c r="AE9" s="26">
        <v>1</v>
      </c>
    </row>
    <row r="10" spans="1:31">
      <c r="A10" s="11" t="s">
        <v>69</v>
      </c>
      <c r="B10" s="5">
        <v>2013</v>
      </c>
      <c r="C10" s="5" t="s">
        <v>71</v>
      </c>
      <c r="D10" s="5">
        <v>111.4</v>
      </c>
      <c r="E10" s="5">
        <v>109.7</v>
      </c>
      <c r="F10" s="5">
        <v>111.2</v>
      </c>
      <c r="G10" s="5">
        <v>105.1</v>
      </c>
      <c r="H10" s="5">
        <v>104.9</v>
      </c>
      <c r="I10" s="5">
        <v>105.3</v>
      </c>
      <c r="J10" s="5">
        <v>102.2</v>
      </c>
      <c r="K10" s="5">
        <v>105</v>
      </c>
      <c r="L10" s="5">
        <v>104.2</v>
      </c>
      <c r="M10" s="5">
        <v>103</v>
      </c>
      <c r="N10" s="5">
        <v>106.2</v>
      </c>
      <c r="O10" s="5">
        <v>108.9</v>
      </c>
      <c r="P10" s="5">
        <v>106.9</v>
      </c>
      <c r="Q10" s="5">
        <v>106.6</v>
      </c>
      <c r="R10" s="5">
        <v>107.4</v>
      </c>
      <c r="S10" s="5">
        <v>106.5</v>
      </c>
      <c r="T10" s="5">
        <v>107.3</v>
      </c>
      <c r="U10" s="5">
        <v>100.4</v>
      </c>
      <c r="V10" s="5">
        <v>106.1</v>
      </c>
      <c r="W10" s="5">
        <v>105.6</v>
      </c>
      <c r="X10" s="5">
        <v>104.9</v>
      </c>
      <c r="Y10" s="5">
        <v>105.1</v>
      </c>
      <c r="Z10" s="5">
        <v>103.7</v>
      </c>
      <c r="AA10" s="5">
        <v>104</v>
      </c>
      <c r="AB10" s="5">
        <v>104.3</v>
      </c>
      <c r="AC10" s="5">
        <v>104.7</v>
      </c>
      <c r="AD10" s="12">
        <v>105.5</v>
      </c>
      <c r="AE10" s="26">
        <v>1</v>
      </c>
    </row>
    <row r="11" spans="1:31">
      <c r="A11" s="11" t="s">
        <v>65</v>
      </c>
      <c r="B11" s="5">
        <v>2013</v>
      </c>
      <c r="C11" s="5" t="s">
        <v>72</v>
      </c>
      <c r="D11" s="5">
        <v>110.2</v>
      </c>
      <c r="E11" s="5">
        <v>109.5</v>
      </c>
      <c r="F11" s="5">
        <v>106.9</v>
      </c>
      <c r="G11" s="5">
        <v>106.3</v>
      </c>
      <c r="H11" s="5">
        <v>105.7</v>
      </c>
      <c r="I11" s="5">
        <v>108.3</v>
      </c>
      <c r="J11" s="5">
        <v>103.4</v>
      </c>
      <c r="K11" s="5">
        <v>105.7</v>
      </c>
      <c r="L11" s="5">
        <v>104.2</v>
      </c>
      <c r="M11" s="5">
        <v>103.2</v>
      </c>
      <c r="N11" s="5">
        <v>106.5</v>
      </c>
      <c r="O11" s="5">
        <v>108.8</v>
      </c>
      <c r="P11" s="5">
        <v>107.1</v>
      </c>
      <c r="Q11" s="5">
        <v>107.1</v>
      </c>
      <c r="R11" s="5">
        <v>108.1</v>
      </c>
      <c r="S11" s="5">
        <v>107.4</v>
      </c>
      <c r="T11" s="5">
        <v>108</v>
      </c>
      <c r="U11" s="5" t="s">
        <v>67</v>
      </c>
      <c r="V11" s="5">
        <v>106.5</v>
      </c>
      <c r="W11" s="5">
        <v>106.1</v>
      </c>
      <c r="X11" s="5">
        <v>105.1</v>
      </c>
      <c r="Y11" s="5">
        <v>104.4</v>
      </c>
      <c r="Z11" s="5">
        <v>104.5</v>
      </c>
      <c r="AA11" s="5">
        <v>104.8</v>
      </c>
      <c r="AB11" s="5">
        <v>102.7</v>
      </c>
      <c r="AC11" s="5">
        <v>104.6</v>
      </c>
      <c r="AD11" s="12">
        <v>106.4</v>
      </c>
      <c r="AE11" s="26">
        <v>1</v>
      </c>
    </row>
    <row r="12" spans="1:31">
      <c r="A12" s="11" t="s">
        <v>68</v>
      </c>
      <c r="B12" s="5">
        <v>2013</v>
      </c>
      <c r="C12" s="5" t="s">
        <v>72</v>
      </c>
      <c r="D12" s="5">
        <v>114.6</v>
      </c>
      <c r="E12" s="5">
        <v>113.4</v>
      </c>
      <c r="F12" s="5">
        <v>106</v>
      </c>
      <c r="G12" s="5">
        <v>104.7</v>
      </c>
      <c r="H12" s="5">
        <v>102.1</v>
      </c>
      <c r="I12" s="5">
        <v>109.5</v>
      </c>
      <c r="J12" s="5">
        <v>109.7</v>
      </c>
      <c r="K12" s="5">
        <v>104.6</v>
      </c>
      <c r="L12" s="5">
        <v>102</v>
      </c>
      <c r="M12" s="5">
        <v>103.5</v>
      </c>
      <c r="N12" s="5">
        <v>108.2</v>
      </c>
      <c r="O12" s="5">
        <v>110.6</v>
      </c>
      <c r="P12" s="5">
        <v>108.8</v>
      </c>
      <c r="Q12" s="5">
        <v>108.5</v>
      </c>
      <c r="R12" s="5">
        <v>107.9</v>
      </c>
      <c r="S12" s="5">
        <v>106.4</v>
      </c>
      <c r="T12" s="5">
        <v>107.7</v>
      </c>
      <c r="U12" s="5">
        <v>100.5</v>
      </c>
      <c r="V12" s="5">
        <v>106.4</v>
      </c>
      <c r="W12" s="5">
        <v>106.5</v>
      </c>
      <c r="X12" s="5">
        <v>105.7</v>
      </c>
      <c r="Y12" s="5">
        <v>105</v>
      </c>
      <c r="Z12" s="5">
        <v>104</v>
      </c>
      <c r="AA12" s="5">
        <v>105.2</v>
      </c>
      <c r="AB12" s="5">
        <v>103.2</v>
      </c>
      <c r="AC12" s="5">
        <v>105.1</v>
      </c>
      <c r="AD12" s="12">
        <v>105.7</v>
      </c>
      <c r="AE12" s="26">
        <v>1</v>
      </c>
    </row>
    <row r="13" spans="1:31">
      <c r="A13" s="11" t="s">
        <v>69</v>
      </c>
      <c r="B13" s="5">
        <v>2013</v>
      </c>
      <c r="C13" s="5" t="s">
        <v>72</v>
      </c>
      <c r="D13" s="5">
        <v>111.6</v>
      </c>
      <c r="E13" s="5">
        <v>110.9</v>
      </c>
      <c r="F13" s="5">
        <v>106.6</v>
      </c>
      <c r="G13" s="5">
        <v>105.7</v>
      </c>
      <c r="H13" s="5">
        <v>104.4</v>
      </c>
      <c r="I13" s="5">
        <v>108.9</v>
      </c>
      <c r="J13" s="5">
        <v>105.5</v>
      </c>
      <c r="K13" s="5">
        <v>105.3</v>
      </c>
      <c r="L13" s="5">
        <v>103.5</v>
      </c>
      <c r="M13" s="5">
        <v>103.3</v>
      </c>
      <c r="N13" s="5">
        <v>107.2</v>
      </c>
      <c r="O13" s="5">
        <v>109.6</v>
      </c>
      <c r="P13" s="5">
        <v>107.7</v>
      </c>
      <c r="Q13" s="5">
        <v>107.5</v>
      </c>
      <c r="R13" s="5">
        <v>108</v>
      </c>
      <c r="S13" s="5">
        <v>107</v>
      </c>
      <c r="T13" s="5">
        <v>107.9</v>
      </c>
      <c r="U13" s="5">
        <v>100.5</v>
      </c>
      <c r="V13" s="5">
        <v>106.5</v>
      </c>
      <c r="W13" s="5">
        <v>106.3</v>
      </c>
      <c r="X13" s="5">
        <v>105.3</v>
      </c>
      <c r="Y13" s="5">
        <v>104.7</v>
      </c>
      <c r="Z13" s="5">
        <v>104.2</v>
      </c>
      <c r="AA13" s="5">
        <v>105</v>
      </c>
      <c r="AB13" s="5">
        <v>102.9</v>
      </c>
      <c r="AC13" s="5">
        <v>104.8</v>
      </c>
      <c r="AD13" s="12">
        <v>106.1</v>
      </c>
      <c r="AE13" s="26">
        <v>1</v>
      </c>
    </row>
    <row r="14" spans="1:31">
      <c r="A14" s="11" t="s">
        <v>65</v>
      </c>
      <c r="B14" s="5">
        <v>2013</v>
      </c>
      <c r="C14" s="5" t="s">
        <v>73</v>
      </c>
      <c r="D14" s="5">
        <v>110.9</v>
      </c>
      <c r="E14" s="5">
        <v>109.8</v>
      </c>
      <c r="F14" s="5">
        <v>105.9</v>
      </c>
      <c r="G14" s="5">
        <v>107.5</v>
      </c>
      <c r="H14" s="5">
        <v>105.3</v>
      </c>
      <c r="I14" s="5">
        <v>108.1</v>
      </c>
      <c r="J14" s="5">
        <v>107.3</v>
      </c>
      <c r="K14" s="5">
        <v>106.1</v>
      </c>
      <c r="L14" s="5">
        <v>103.7</v>
      </c>
      <c r="M14" s="5">
        <v>104</v>
      </c>
      <c r="N14" s="5">
        <v>107.4</v>
      </c>
      <c r="O14" s="5">
        <v>109.9</v>
      </c>
      <c r="P14" s="5">
        <v>108.1</v>
      </c>
      <c r="Q14" s="5">
        <v>108.1</v>
      </c>
      <c r="R14" s="5">
        <v>108.8</v>
      </c>
      <c r="S14" s="5">
        <v>107.9</v>
      </c>
      <c r="T14" s="5">
        <v>108.6</v>
      </c>
      <c r="U14" s="5" t="s">
        <v>67</v>
      </c>
      <c r="V14" s="5">
        <v>107.5</v>
      </c>
      <c r="W14" s="5">
        <v>106.8</v>
      </c>
      <c r="X14" s="5">
        <v>105.7</v>
      </c>
      <c r="Y14" s="5">
        <v>104.1</v>
      </c>
      <c r="Z14" s="5">
        <v>105</v>
      </c>
      <c r="AA14" s="5">
        <v>105.5</v>
      </c>
      <c r="AB14" s="5">
        <v>102.1</v>
      </c>
      <c r="AC14" s="5">
        <v>104.8</v>
      </c>
      <c r="AD14" s="12">
        <v>107.2</v>
      </c>
      <c r="AE14" s="26">
        <v>1</v>
      </c>
    </row>
    <row r="15" spans="1:31">
      <c r="A15" s="11" t="s">
        <v>68</v>
      </c>
      <c r="B15" s="5">
        <v>2013</v>
      </c>
      <c r="C15" s="5" t="s">
        <v>73</v>
      </c>
      <c r="D15" s="5">
        <v>115.4</v>
      </c>
      <c r="E15" s="5">
        <v>114.2</v>
      </c>
      <c r="F15" s="5">
        <v>102.7</v>
      </c>
      <c r="G15" s="5">
        <v>105.5</v>
      </c>
      <c r="H15" s="5">
        <v>101.5</v>
      </c>
      <c r="I15" s="5">
        <v>110.6</v>
      </c>
      <c r="J15" s="5">
        <v>123.7</v>
      </c>
      <c r="K15" s="5">
        <v>105.2</v>
      </c>
      <c r="L15" s="5">
        <v>101.9</v>
      </c>
      <c r="M15" s="5">
        <v>105</v>
      </c>
      <c r="N15" s="5">
        <v>109.1</v>
      </c>
      <c r="O15" s="5">
        <v>111.3</v>
      </c>
      <c r="P15" s="5">
        <v>111.1</v>
      </c>
      <c r="Q15" s="5">
        <v>109.8</v>
      </c>
      <c r="R15" s="5">
        <v>108.5</v>
      </c>
      <c r="S15" s="5">
        <v>106.7</v>
      </c>
      <c r="T15" s="5">
        <v>108.3</v>
      </c>
      <c r="U15" s="5">
        <v>100.5</v>
      </c>
      <c r="V15" s="5">
        <v>107.2</v>
      </c>
      <c r="W15" s="5">
        <v>107.1</v>
      </c>
      <c r="X15" s="5">
        <v>106.2</v>
      </c>
      <c r="Y15" s="5">
        <v>103.9</v>
      </c>
      <c r="Z15" s="5">
        <v>104.6</v>
      </c>
      <c r="AA15" s="5">
        <v>105.7</v>
      </c>
      <c r="AB15" s="5">
        <v>102.6</v>
      </c>
      <c r="AC15" s="5">
        <v>104.9</v>
      </c>
      <c r="AD15" s="12">
        <v>106.6</v>
      </c>
      <c r="AE15" s="26">
        <v>1</v>
      </c>
    </row>
    <row r="16" spans="1:31">
      <c r="A16" s="11" t="s">
        <v>69</v>
      </c>
      <c r="B16" s="5">
        <v>2013</v>
      </c>
      <c r="C16" s="5" t="s">
        <v>73</v>
      </c>
      <c r="D16" s="5">
        <v>112.3</v>
      </c>
      <c r="E16" s="5">
        <v>111.3</v>
      </c>
      <c r="F16" s="5">
        <v>104.7</v>
      </c>
      <c r="G16" s="5">
        <v>106.8</v>
      </c>
      <c r="H16" s="5">
        <v>103.9</v>
      </c>
      <c r="I16" s="5">
        <v>109.3</v>
      </c>
      <c r="J16" s="5">
        <v>112.9</v>
      </c>
      <c r="K16" s="5">
        <v>105.8</v>
      </c>
      <c r="L16" s="5">
        <v>103.1</v>
      </c>
      <c r="M16" s="5">
        <v>104.3</v>
      </c>
      <c r="N16" s="5">
        <v>108.1</v>
      </c>
      <c r="O16" s="5">
        <v>110.5</v>
      </c>
      <c r="P16" s="5">
        <v>109.2</v>
      </c>
      <c r="Q16" s="5">
        <v>108.6</v>
      </c>
      <c r="R16" s="5">
        <v>108.7</v>
      </c>
      <c r="S16" s="5">
        <v>107.4</v>
      </c>
      <c r="T16" s="5">
        <v>108.5</v>
      </c>
      <c r="U16" s="5">
        <v>100.5</v>
      </c>
      <c r="V16" s="5">
        <v>107.4</v>
      </c>
      <c r="W16" s="5">
        <v>106.9</v>
      </c>
      <c r="X16" s="5">
        <v>105.9</v>
      </c>
      <c r="Y16" s="5">
        <v>104</v>
      </c>
      <c r="Z16" s="5">
        <v>104.8</v>
      </c>
      <c r="AA16" s="5">
        <v>105.6</v>
      </c>
      <c r="AB16" s="5">
        <v>102.3</v>
      </c>
      <c r="AC16" s="5">
        <v>104.8</v>
      </c>
      <c r="AD16" s="12">
        <v>106.9</v>
      </c>
      <c r="AE16" s="26">
        <v>1</v>
      </c>
    </row>
    <row r="17" spans="1:31">
      <c r="A17" s="11" t="s">
        <v>65</v>
      </c>
      <c r="B17" s="5">
        <v>2013</v>
      </c>
      <c r="C17" s="5" t="s">
        <v>74</v>
      </c>
      <c r="D17" s="5">
        <v>112.3</v>
      </c>
      <c r="E17" s="5">
        <v>112.1</v>
      </c>
      <c r="F17" s="5">
        <v>108.1</v>
      </c>
      <c r="G17" s="5">
        <v>108.3</v>
      </c>
      <c r="H17" s="5">
        <v>105.9</v>
      </c>
      <c r="I17" s="5">
        <v>109.2</v>
      </c>
      <c r="J17" s="5">
        <v>118</v>
      </c>
      <c r="K17" s="5">
        <v>106.8</v>
      </c>
      <c r="L17" s="5">
        <v>104.1</v>
      </c>
      <c r="M17" s="5">
        <v>105.4</v>
      </c>
      <c r="N17" s="5">
        <v>108.2</v>
      </c>
      <c r="O17" s="5">
        <v>111</v>
      </c>
      <c r="P17" s="5">
        <v>110.6</v>
      </c>
      <c r="Q17" s="5">
        <v>109</v>
      </c>
      <c r="R17" s="5">
        <v>109.7</v>
      </c>
      <c r="S17" s="5">
        <v>108.8</v>
      </c>
      <c r="T17" s="5">
        <v>109.5</v>
      </c>
      <c r="U17" s="5" t="s">
        <v>67</v>
      </c>
      <c r="V17" s="5">
        <v>108.5</v>
      </c>
      <c r="W17" s="5">
        <v>107.5</v>
      </c>
      <c r="X17" s="5">
        <v>106.3</v>
      </c>
      <c r="Y17" s="5">
        <v>105</v>
      </c>
      <c r="Z17" s="5">
        <v>105.6</v>
      </c>
      <c r="AA17" s="5">
        <v>106.5</v>
      </c>
      <c r="AB17" s="5">
        <v>102.5</v>
      </c>
      <c r="AC17" s="5">
        <v>105.5</v>
      </c>
      <c r="AD17" s="12">
        <v>108.9</v>
      </c>
      <c r="AE17" s="26">
        <v>1</v>
      </c>
    </row>
    <row r="18" spans="1:31">
      <c r="A18" s="11" t="s">
        <v>68</v>
      </c>
      <c r="B18" s="5">
        <v>2013</v>
      </c>
      <c r="C18" s="5" t="s">
        <v>74</v>
      </c>
      <c r="D18" s="5">
        <v>117</v>
      </c>
      <c r="E18" s="5">
        <v>120.1</v>
      </c>
      <c r="F18" s="5">
        <v>112.5</v>
      </c>
      <c r="G18" s="5">
        <v>107.3</v>
      </c>
      <c r="H18" s="5">
        <v>101.3</v>
      </c>
      <c r="I18" s="5">
        <v>112.4</v>
      </c>
      <c r="J18" s="5">
        <v>143.6</v>
      </c>
      <c r="K18" s="5">
        <v>105.4</v>
      </c>
      <c r="L18" s="5">
        <v>101.4</v>
      </c>
      <c r="M18" s="5">
        <v>106.4</v>
      </c>
      <c r="N18" s="5">
        <v>110</v>
      </c>
      <c r="O18" s="5">
        <v>112.2</v>
      </c>
      <c r="P18" s="5">
        <v>115</v>
      </c>
      <c r="Q18" s="5">
        <v>110.9</v>
      </c>
      <c r="R18" s="5">
        <v>109.2</v>
      </c>
      <c r="S18" s="5">
        <v>107.2</v>
      </c>
      <c r="T18" s="5">
        <v>108.9</v>
      </c>
      <c r="U18" s="5">
        <v>106.6</v>
      </c>
      <c r="V18" s="5">
        <v>108</v>
      </c>
      <c r="W18" s="5">
        <v>107.7</v>
      </c>
      <c r="X18" s="5">
        <v>106.5</v>
      </c>
      <c r="Y18" s="5">
        <v>105.2</v>
      </c>
      <c r="Z18" s="5">
        <v>105.2</v>
      </c>
      <c r="AA18" s="5">
        <v>108.1</v>
      </c>
      <c r="AB18" s="5">
        <v>103.3</v>
      </c>
      <c r="AC18" s="5">
        <v>106.1</v>
      </c>
      <c r="AD18" s="12">
        <v>109.7</v>
      </c>
      <c r="AE18" s="26">
        <v>1</v>
      </c>
    </row>
    <row r="19" spans="1:31">
      <c r="A19" s="11" t="s">
        <v>69</v>
      </c>
      <c r="B19" s="5">
        <v>2013</v>
      </c>
      <c r="C19" s="5" t="s">
        <v>74</v>
      </c>
      <c r="D19" s="5">
        <v>113.8</v>
      </c>
      <c r="E19" s="5">
        <v>114.9</v>
      </c>
      <c r="F19" s="5">
        <v>109.8</v>
      </c>
      <c r="G19" s="5">
        <v>107.9</v>
      </c>
      <c r="H19" s="5">
        <v>104.2</v>
      </c>
      <c r="I19" s="5">
        <v>110.7</v>
      </c>
      <c r="J19" s="5">
        <v>126.7</v>
      </c>
      <c r="K19" s="5">
        <v>106.3</v>
      </c>
      <c r="L19" s="5">
        <v>103.2</v>
      </c>
      <c r="M19" s="5">
        <v>105.7</v>
      </c>
      <c r="N19" s="5">
        <v>109</v>
      </c>
      <c r="O19" s="5">
        <v>111.6</v>
      </c>
      <c r="P19" s="5">
        <v>112.2</v>
      </c>
      <c r="Q19" s="5">
        <v>109.5</v>
      </c>
      <c r="R19" s="5">
        <v>109.5</v>
      </c>
      <c r="S19" s="5">
        <v>108.1</v>
      </c>
      <c r="T19" s="5">
        <v>109.3</v>
      </c>
      <c r="U19" s="5">
        <v>106.6</v>
      </c>
      <c r="V19" s="5">
        <v>108.3</v>
      </c>
      <c r="W19" s="5">
        <v>107.6</v>
      </c>
      <c r="X19" s="5">
        <v>106.4</v>
      </c>
      <c r="Y19" s="5">
        <v>105.1</v>
      </c>
      <c r="Z19" s="5">
        <v>105.4</v>
      </c>
      <c r="AA19" s="5">
        <v>107.4</v>
      </c>
      <c r="AB19" s="5">
        <v>102.8</v>
      </c>
      <c r="AC19" s="5">
        <v>105.8</v>
      </c>
      <c r="AD19" s="12">
        <v>109.3</v>
      </c>
      <c r="AE19" s="26">
        <v>1</v>
      </c>
    </row>
    <row r="20" spans="1:31">
      <c r="A20" s="11" t="s">
        <v>65</v>
      </c>
      <c r="B20" s="5">
        <v>2013</v>
      </c>
      <c r="C20" s="5" t="s">
        <v>75</v>
      </c>
      <c r="D20" s="5">
        <v>113.4</v>
      </c>
      <c r="E20" s="5">
        <v>114.9</v>
      </c>
      <c r="F20" s="5">
        <v>110.5</v>
      </c>
      <c r="G20" s="5">
        <v>109.3</v>
      </c>
      <c r="H20" s="5">
        <v>106.2</v>
      </c>
      <c r="I20" s="5">
        <v>110.3</v>
      </c>
      <c r="J20" s="5">
        <v>129.19999999999999</v>
      </c>
      <c r="K20" s="5">
        <v>107.1</v>
      </c>
      <c r="L20" s="5">
        <v>104.3</v>
      </c>
      <c r="M20" s="5">
        <v>106.4</v>
      </c>
      <c r="N20" s="5">
        <v>109.1</v>
      </c>
      <c r="O20" s="5">
        <v>112.1</v>
      </c>
      <c r="P20" s="5">
        <v>113.1</v>
      </c>
      <c r="Q20" s="5">
        <v>109.8</v>
      </c>
      <c r="R20" s="5">
        <v>110.5</v>
      </c>
      <c r="S20" s="5">
        <v>109.5</v>
      </c>
      <c r="T20" s="5">
        <v>110.3</v>
      </c>
      <c r="U20" s="5" t="s">
        <v>67</v>
      </c>
      <c r="V20" s="5">
        <v>109.5</v>
      </c>
      <c r="W20" s="5">
        <v>108.3</v>
      </c>
      <c r="X20" s="5">
        <v>106.9</v>
      </c>
      <c r="Y20" s="5">
        <v>106.8</v>
      </c>
      <c r="Z20" s="5">
        <v>106.4</v>
      </c>
      <c r="AA20" s="5">
        <v>107.8</v>
      </c>
      <c r="AB20" s="5">
        <v>102.5</v>
      </c>
      <c r="AC20" s="5">
        <v>106.5</v>
      </c>
      <c r="AD20" s="12">
        <v>110.7</v>
      </c>
      <c r="AE20" s="26">
        <v>1</v>
      </c>
    </row>
    <row r="21" spans="1:31">
      <c r="A21" s="11" t="s">
        <v>68</v>
      </c>
      <c r="B21" s="5">
        <v>2013</v>
      </c>
      <c r="C21" s="5" t="s">
        <v>75</v>
      </c>
      <c r="D21" s="5">
        <v>117.8</v>
      </c>
      <c r="E21" s="5">
        <v>119.2</v>
      </c>
      <c r="F21" s="5">
        <v>114</v>
      </c>
      <c r="G21" s="5">
        <v>108.3</v>
      </c>
      <c r="H21" s="5">
        <v>101.1</v>
      </c>
      <c r="I21" s="5">
        <v>113.2</v>
      </c>
      <c r="J21" s="5">
        <v>160.9</v>
      </c>
      <c r="K21" s="5">
        <v>105.1</v>
      </c>
      <c r="L21" s="5">
        <v>101.3</v>
      </c>
      <c r="M21" s="5">
        <v>107.5</v>
      </c>
      <c r="N21" s="5">
        <v>110.4</v>
      </c>
      <c r="O21" s="5">
        <v>113.1</v>
      </c>
      <c r="P21" s="5">
        <v>117.5</v>
      </c>
      <c r="Q21" s="5">
        <v>111.7</v>
      </c>
      <c r="R21" s="5">
        <v>109.8</v>
      </c>
      <c r="S21" s="5">
        <v>107.8</v>
      </c>
      <c r="T21" s="5">
        <v>109.5</v>
      </c>
      <c r="U21" s="5">
        <v>107.7</v>
      </c>
      <c r="V21" s="5">
        <v>108.6</v>
      </c>
      <c r="W21" s="5">
        <v>108.1</v>
      </c>
      <c r="X21" s="5">
        <v>107.1</v>
      </c>
      <c r="Y21" s="5">
        <v>107.3</v>
      </c>
      <c r="Z21" s="5">
        <v>105.9</v>
      </c>
      <c r="AA21" s="5">
        <v>110.1</v>
      </c>
      <c r="AB21" s="5">
        <v>103.2</v>
      </c>
      <c r="AC21" s="5">
        <v>107.3</v>
      </c>
      <c r="AD21" s="12">
        <v>111.4</v>
      </c>
      <c r="AE21" s="26">
        <v>1</v>
      </c>
    </row>
    <row r="22" spans="1:31">
      <c r="A22" s="11" t="s">
        <v>69</v>
      </c>
      <c r="B22" s="5">
        <v>2013</v>
      </c>
      <c r="C22" s="5" t="s">
        <v>75</v>
      </c>
      <c r="D22" s="5">
        <v>114.8</v>
      </c>
      <c r="E22" s="5">
        <v>116.4</v>
      </c>
      <c r="F22" s="5">
        <v>111.9</v>
      </c>
      <c r="G22" s="5">
        <v>108.9</v>
      </c>
      <c r="H22" s="5">
        <v>104.3</v>
      </c>
      <c r="I22" s="5">
        <v>111.7</v>
      </c>
      <c r="J22" s="5">
        <v>140</v>
      </c>
      <c r="K22" s="5">
        <v>106.4</v>
      </c>
      <c r="L22" s="5">
        <v>103.3</v>
      </c>
      <c r="M22" s="5">
        <v>106.8</v>
      </c>
      <c r="N22" s="5">
        <v>109.6</v>
      </c>
      <c r="O22" s="5">
        <v>112.6</v>
      </c>
      <c r="P22" s="5">
        <v>114.7</v>
      </c>
      <c r="Q22" s="5">
        <v>110.3</v>
      </c>
      <c r="R22" s="5">
        <v>110.2</v>
      </c>
      <c r="S22" s="5">
        <v>108.8</v>
      </c>
      <c r="T22" s="5">
        <v>110</v>
      </c>
      <c r="U22" s="5">
        <v>107.7</v>
      </c>
      <c r="V22" s="5">
        <v>109.2</v>
      </c>
      <c r="W22" s="5">
        <v>108.2</v>
      </c>
      <c r="X22" s="5">
        <v>107</v>
      </c>
      <c r="Y22" s="5">
        <v>107.1</v>
      </c>
      <c r="Z22" s="5">
        <v>106.1</v>
      </c>
      <c r="AA22" s="5">
        <v>109.1</v>
      </c>
      <c r="AB22" s="5">
        <v>102.8</v>
      </c>
      <c r="AC22" s="5">
        <v>106.9</v>
      </c>
      <c r="AD22" s="12">
        <v>111</v>
      </c>
      <c r="AE22" s="26">
        <v>1</v>
      </c>
    </row>
    <row r="23" spans="1:31">
      <c r="A23" s="11" t="s">
        <v>65</v>
      </c>
      <c r="B23" s="5">
        <v>2013</v>
      </c>
      <c r="C23" s="5" t="s">
        <v>76</v>
      </c>
      <c r="D23" s="5">
        <v>114.3</v>
      </c>
      <c r="E23" s="5">
        <v>115.4</v>
      </c>
      <c r="F23" s="5">
        <v>111.1</v>
      </c>
      <c r="G23" s="5">
        <v>110</v>
      </c>
      <c r="H23" s="5">
        <v>106.4</v>
      </c>
      <c r="I23" s="5">
        <v>110.8</v>
      </c>
      <c r="J23" s="5">
        <v>138.9</v>
      </c>
      <c r="K23" s="5">
        <v>107.4</v>
      </c>
      <c r="L23" s="5">
        <v>104.1</v>
      </c>
      <c r="M23" s="5">
        <v>106.9</v>
      </c>
      <c r="N23" s="5">
        <v>109.7</v>
      </c>
      <c r="O23" s="5">
        <v>112.6</v>
      </c>
      <c r="P23" s="5">
        <v>114.9</v>
      </c>
      <c r="Q23" s="5">
        <v>110.7</v>
      </c>
      <c r="R23" s="5">
        <v>111.3</v>
      </c>
      <c r="S23" s="5">
        <v>110.2</v>
      </c>
      <c r="T23" s="5">
        <v>111.1</v>
      </c>
      <c r="U23" s="5" t="s">
        <v>67</v>
      </c>
      <c r="V23" s="5">
        <v>109.9</v>
      </c>
      <c r="W23" s="5">
        <v>108.7</v>
      </c>
      <c r="X23" s="5">
        <v>107.5</v>
      </c>
      <c r="Y23" s="5">
        <v>107.8</v>
      </c>
      <c r="Z23" s="5">
        <v>106.8</v>
      </c>
      <c r="AA23" s="5">
        <v>108.7</v>
      </c>
      <c r="AB23" s="5">
        <v>105</v>
      </c>
      <c r="AC23" s="5">
        <v>107.5</v>
      </c>
      <c r="AD23" s="12">
        <v>112.1</v>
      </c>
      <c r="AE23" s="26">
        <v>1</v>
      </c>
    </row>
    <row r="24" spans="1:31">
      <c r="A24" s="11" t="s">
        <v>68</v>
      </c>
      <c r="B24" s="5">
        <v>2013</v>
      </c>
      <c r="C24" s="5" t="s">
        <v>76</v>
      </c>
      <c r="D24" s="5">
        <v>118.3</v>
      </c>
      <c r="E24" s="5">
        <v>120.4</v>
      </c>
      <c r="F24" s="5">
        <v>112.7</v>
      </c>
      <c r="G24" s="5">
        <v>108.9</v>
      </c>
      <c r="H24" s="5">
        <v>101.1</v>
      </c>
      <c r="I24" s="5">
        <v>108.7</v>
      </c>
      <c r="J24" s="5">
        <v>177</v>
      </c>
      <c r="K24" s="5">
        <v>104.7</v>
      </c>
      <c r="L24" s="5">
        <v>101</v>
      </c>
      <c r="M24" s="5">
        <v>108.5</v>
      </c>
      <c r="N24" s="5">
        <v>110.9</v>
      </c>
      <c r="O24" s="5">
        <v>114.3</v>
      </c>
      <c r="P24" s="5">
        <v>119.6</v>
      </c>
      <c r="Q24" s="5">
        <v>112.4</v>
      </c>
      <c r="R24" s="5">
        <v>110.6</v>
      </c>
      <c r="S24" s="5">
        <v>108.3</v>
      </c>
      <c r="T24" s="5">
        <v>110.2</v>
      </c>
      <c r="U24" s="5">
        <v>108.9</v>
      </c>
      <c r="V24" s="5">
        <v>109.3</v>
      </c>
      <c r="W24" s="5">
        <v>108.7</v>
      </c>
      <c r="X24" s="5">
        <v>107.6</v>
      </c>
      <c r="Y24" s="5">
        <v>108.1</v>
      </c>
      <c r="Z24" s="5">
        <v>106.5</v>
      </c>
      <c r="AA24" s="5">
        <v>110.8</v>
      </c>
      <c r="AB24" s="5">
        <v>106</v>
      </c>
      <c r="AC24" s="5">
        <v>108.3</v>
      </c>
      <c r="AD24" s="12">
        <v>112.7</v>
      </c>
      <c r="AE24" s="26">
        <v>1</v>
      </c>
    </row>
    <row r="25" spans="1:31">
      <c r="A25" s="11" t="s">
        <v>69</v>
      </c>
      <c r="B25" s="5">
        <v>2013</v>
      </c>
      <c r="C25" s="5" t="s">
        <v>76</v>
      </c>
      <c r="D25" s="5">
        <v>115.6</v>
      </c>
      <c r="E25" s="5">
        <v>117.2</v>
      </c>
      <c r="F25" s="5">
        <v>111.7</v>
      </c>
      <c r="G25" s="5">
        <v>109.6</v>
      </c>
      <c r="H25" s="5">
        <v>104.5</v>
      </c>
      <c r="I25" s="5">
        <v>109.8</v>
      </c>
      <c r="J25" s="5">
        <v>151.80000000000001</v>
      </c>
      <c r="K25" s="5">
        <v>106.5</v>
      </c>
      <c r="L25" s="5">
        <v>103.1</v>
      </c>
      <c r="M25" s="5">
        <v>107.4</v>
      </c>
      <c r="N25" s="5">
        <v>110.2</v>
      </c>
      <c r="O25" s="5">
        <v>113.4</v>
      </c>
      <c r="P25" s="5">
        <v>116.6</v>
      </c>
      <c r="Q25" s="5">
        <v>111.2</v>
      </c>
      <c r="R25" s="5">
        <v>111</v>
      </c>
      <c r="S25" s="5">
        <v>109.4</v>
      </c>
      <c r="T25" s="5">
        <v>110.7</v>
      </c>
      <c r="U25" s="5">
        <v>108.9</v>
      </c>
      <c r="V25" s="5">
        <v>109.7</v>
      </c>
      <c r="W25" s="5">
        <v>108.7</v>
      </c>
      <c r="X25" s="5">
        <v>107.5</v>
      </c>
      <c r="Y25" s="5">
        <v>108</v>
      </c>
      <c r="Z25" s="5">
        <v>106.6</v>
      </c>
      <c r="AA25" s="5">
        <v>109.9</v>
      </c>
      <c r="AB25" s="5">
        <v>105.4</v>
      </c>
      <c r="AC25" s="5">
        <v>107.9</v>
      </c>
      <c r="AD25" s="12">
        <v>112.4</v>
      </c>
      <c r="AE25" s="26">
        <v>1</v>
      </c>
    </row>
    <row r="26" spans="1:31">
      <c r="A26" s="11" t="s">
        <v>65</v>
      </c>
      <c r="B26" s="5">
        <v>2013</v>
      </c>
      <c r="C26" s="5" t="s">
        <v>77</v>
      </c>
      <c r="D26" s="5">
        <v>115.4</v>
      </c>
      <c r="E26" s="5">
        <v>115.7</v>
      </c>
      <c r="F26" s="5">
        <v>111.7</v>
      </c>
      <c r="G26" s="5">
        <v>111</v>
      </c>
      <c r="H26" s="5">
        <v>107.4</v>
      </c>
      <c r="I26" s="5">
        <v>110.9</v>
      </c>
      <c r="J26" s="5">
        <v>154</v>
      </c>
      <c r="K26" s="5">
        <v>108.1</v>
      </c>
      <c r="L26" s="5">
        <v>104.2</v>
      </c>
      <c r="M26" s="5">
        <v>107.9</v>
      </c>
      <c r="N26" s="5">
        <v>110.4</v>
      </c>
      <c r="O26" s="5">
        <v>114</v>
      </c>
      <c r="P26" s="5">
        <v>117.8</v>
      </c>
      <c r="Q26" s="5">
        <v>111.7</v>
      </c>
      <c r="R26" s="5">
        <v>112.7</v>
      </c>
      <c r="S26" s="5">
        <v>111.4</v>
      </c>
      <c r="T26" s="5">
        <v>112.5</v>
      </c>
      <c r="U26" s="5" t="s">
        <v>67</v>
      </c>
      <c r="V26" s="5">
        <v>111.1</v>
      </c>
      <c r="W26" s="5">
        <v>109.6</v>
      </c>
      <c r="X26" s="5">
        <v>108.3</v>
      </c>
      <c r="Y26" s="5">
        <v>109.3</v>
      </c>
      <c r="Z26" s="5">
        <v>107.7</v>
      </c>
      <c r="AA26" s="5">
        <v>109.8</v>
      </c>
      <c r="AB26" s="5">
        <v>106.7</v>
      </c>
      <c r="AC26" s="5">
        <v>108.7</v>
      </c>
      <c r="AD26" s="12">
        <v>114.2</v>
      </c>
      <c r="AE26" s="26">
        <v>1</v>
      </c>
    </row>
    <row r="27" spans="1:31">
      <c r="A27" s="11" t="s">
        <v>68</v>
      </c>
      <c r="B27" s="5">
        <v>2013</v>
      </c>
      <c r="C27" s="5" t="s">
        <v>77</v>
      </c>
      <c r="D27" s="5">
        <v>118.6</v>
      </c>
      <c r="E27" s="5">
        <v>119.1</v>
      </c>
      <c r="F27" s="5">
        <v>113.2</v>
      </c>
      <c r="G27" s="5">
        <v>109.6</v>
      </c>
      <c r="H27" s="5">
        <v>101.7</v>
      </c>
      <c r="I27" s="5">
        <v>103.2</v>
      </c>
      <c r="J27" s="5">
        <v>174.3</v>
      </c>
      <c r="K27" s="5">
        <v>105.1</v>
      </c>
      <c r="L27" s="5">
        <v>100.8</v>
      </c>
      <c r="M27" s="5">
        <v>109.1</v>
      </c>
      <c r="N27" s="5">
        <v>111.1</v>
      </c>
      <c r="O27" s="5">
        <v>115.4</v>
      </c>
      <c r="P27" s="5">
        <v>119.2</v>
      </c>
      <c r="Q27" s="5">
        <v>112.9</v>
      </c>
      <c r="R27" s="5">
        <v>111.4</v>
      </c>
      <c r="S27" s="5">
        <v>109</v>
      </c>
      <c r="T27" s="5">
        <v>111.1</v>
      </c>
      <c r="U27" s="5">
        <v>109.7</v>
      </c>
      <c r="V27" s="5">
        <v>109.5</v>
      </c>
      <c r="W27" s="5">
        <v>109.6</v>
      </c>
      <c r="X27" s="5">
        <v>107.9</v>
      </c>
      <c r="Y27" s="5">
        <v>110.4</v>
      </c>
      <c r="Z27" s="5">
        <v>107.4</v>
      </c>
      <c r="AA27" s="5">
        <v>111.2</v>
      </c>
      <c r="AB27" s="5">
        <v>106.9</v>
      </c>
      <c r="AC27" s="5">
        <v>109.4</v>
      </c>
      <c r="AD27" s="12">
        <v>113.2</v>
      </c>
      <c r="AE27" s="26">
        <v>1</v>
      </c>
    </row>
    <row r="28" spans="1:31">
      <c r="A28" s="11" t="s">
        <v>69</v>
      </c>
      <c r="B28" s="5">
        <v>2013</v>
      </c>
      <c r="C28" s="5" t="s">
        <v>77</v>
      </c>
      <c r="D28" s="5">
        <v>116.4</v>
      </c>
      <c r="E28" s="5">
        <v>116.9</v>
      </c>
      <c r="F28" s="5">
        <v>112.3</v>
      </c>
      <c r="G28" s="5">
        <v>110.5</v>
      </c>
      <c r="H28" s="5">
        <v>105.3</v>
      </c>
      <c r="I28" s="5">
        <v>107.3</v>
      </c>
      <c r="J28" s="5">
        <v>160.9</v>
      </c>
      <c r="K28" s="5">
        <v>107.1</v>
      </c>
      <c r="L28" s="5">
        <v>103.1</v>
      </c>
      <c r="M28" s="5">
        <v>108.3</v>
      </c>
      <c r="N28" s="5">
        <v>110.7</v>
      </c>
      <c r="O28" s="5">
        <v>114.6</v>
      </c>
      <c r="P28" s="5">
        <v>118.3</v>
      </c>
      <c r="Q28" s="5">
        <v>112</v>
      </c>
      <c r="R28" s="5">
        <v>112.2</v>
      </c>
      <c r="S28" s="5">
        <v>110.4</v>
      </c>
      <c r="T28" s="5">
        <v>111.9</v>
      </c>
      <c r="U28" s="5">
        <v>109.7</v>
      </c>
      <c r="V28" s="5">
        <v>110.5</v>
      </c>
      <c r="W28" s="5">
        <v>109.6</v>
      </c>
      <c r="X28" s="5">
        <v>108.1</v>
      </c>
      <c r="Y28" s="5">
        <v>109.9</v>
      </c>
      <c r="Z28" s="5">
        <v>107.5</v>
      </c>
      <c r="AA28" s="5">
        <v>110.6</v>
      </c>
      <c r="AB28" s="5">
        <v>106.8</v>
      </c>
      <c r="AC28" s="5">
        <v>109</v>
      </c>
      <c r="AD28" s="12">
        <v>113.7</v>
      </c>
      <c r="AE28" s="26">
        <v>1</v>
      </c>
    </row>
    <row r="29" spans="1:31">
      <c r="A29" s="11" t="s">
        <v>65</v>
      </c>
      <c r="B29" s="5">
        <v>2013</v>
      </c>
      <c r="C29" s="5" t="s">
        <v>78</v>
      </c>
      <c r="D29" s="5">
        <v>116.3</v>
      </c>
      <c r="E29" s="5">
        <v>115.4</v>
      </c>
      <c r="F29" s="5">
        <v>112.6</v>
      </c>
      <c r="G29" s="5">
        <v>111.7</v>
      </c>
      <c r="H29" s="5">
        <v>107.7</v>
      </c>
      <c r="I29" s="5">
        <v>113.2</v>
      </c>
      <c r="J29" s="5">
        <v>164.9</v>
      </c>
      <c r="K29" s="5">
        <v>108.3</v>
      </c>
      <c r="L29" s="5">
        <v>103.9</v>
      </c>
      <c r="M29" s="5">
        <v>108.2</v>
      </c>
      <c r="N29" s="5">
        <v>111.1</v>
      </c>
      <c r="O29" s="5">
        <v>114.9</v>
      </c>
      <c r="P29" s="5">
        <v>119.8</v>
      </c>
      <c r="Q29" s="5">
        <v>112.2</v>
      </c>
      <c r="R29" s="5">
        <v>113.6</v>
      </c>
      <c r="S29" s="5">
        <v>112.3</v>
      </c>
      <c r="T29" s="5">
        <v>113.4</v>
      </c>
      <c r="U29" s="5" t="s">
        <v>67</v>
      </c>
      <c r="V29" s="5">
        <v>111.6</v>
      </c>
      <c r="W29" s="5">
        <v>110.4</v>
      </c>
      <c r="X29" s="5">
        <v>108.9</v>
      </c>
      <c r="Y29" s="5">
        <v>109.3</v>
      </c>
      <c r="Z29" s="5">
        <v>108.3</v>
      </c>
      <c r="AA29" s="5">
        <v>110.2</v>
      </c>
      <c r="AB29" s="5">
        <v>107.5</v>
      </c>
      <c r="AC29" s="5">
        <v>109.1</v>
      </c>
      <c r="AD29" s="12">
        <v>115.5</v>
      </c>
      <c r="AE29" s="26">
        <v>1</v>
      </c>
    </row>
    <row r="30" spans="1:31">
      <c r="A30" s="11" t="s">
        <v>68</v>
      </c>
      <c r="B30" s="5">
        <v>2013</v>
      </c>
      <c r="C30" s="5" t="s">
        <v>78</v>
      </c>
      <c r="D30" s="5">
        <v>118.9</v>
      </c>
      <c r="E30" s="5">
        <v>118.1</v>
      </c>
      <c r="F30" s="5">
        <v>114.5</v>
      </c>
      <c r="G30" s="5">
        <v>110.4</v>
      </c>
      <c r="H30" s="5">
        <v>102.3</v>
      </c>
      <c r="I30" s="5">
        <v>106.2</v>
      </c>
      <c r="J30" s="5">
        <v>183.5</v>
      </c>
      <c r="K30" s="5">
        <v>105.3</v>
      </c>
      <c r="L30" s="5">
        <v>100.2</v>
      </c>
      <c r="M30" s="5">
        <v>109.6</v>
      </c>
      <c r="N30" s="5">
        <v>111.4</v>
      </c>
      <c r="O30" s="5">
        <v>116</v>
      </c>
      <c r="P30" s="5">
        <v>120.8</v>
      </c>
      <c r="Q30" s="5">
        <v>113.5</v>
      </c>
      <c r="R30" s="5">
        <v>112.5</v>
      </c>
      <c r="S30" s="5">
        <v>109.7</v>
      </c>
      <c r="T30" s="5">
        <v>112</v>
      </c>
      <c r="U30" s="5">
        <v>110.5</v>
      </c>
      <c r="V30" s="5">
        <v>109.7</v>
      </c>
      <c r="W30" s="5">
        <v>110.2</v>
      </c>
      <c r="X30" s="5">
        <v>108.2</v>
      </c>
      <c r="Y30" s="5">
        <v>109.7</v>
      </c>
      <c r="Z30" s="5">
        <v>108</v>
      </c>
      <c r="AA30" s="5">
        <v>111.3</v>
      </c>
      <c r="AB30" s="5">
        <v>107.3</v>
      </c>
      <c r="AC30" s="5">
        <v>109.4</v>
      </c>
      <c r="AD30" s="12">
        <v>114</v>
      </c>
      <c r="AE30" s="26">
        <v>1</v>
      </c>
    </row>
    <row r="31" spans="1:31">
      <c r="A31" s="11" t="s">
        <v>69</v>
      </c>
      <c r="B31" s="5">
        <v>2013</v>
      </c>
      <c r="C31" s="5" t="s">
        <v>78</v>
      </c>
      <c r="D31" s="5">
        <v>117.1</v>
      </c>
      <c r="E31" s="5">
        <v>116.3</v>
      </c>
      <c r="F31" s="5">
        <v>113.3</v>
      </c>
      <c r="G31" s="5">
        <v>111.2</v>
      </c>
      <c r="H31" s="5">
        <v>105.7</v>
      </c>
      <c r="I31" s="5">
        <v>109.9</v>
      </c>
      <c r="J31" s="5">
        <v>171.2</v>
      </c>
      <c r="K31" s="5">
        <v>107.3</v>
      </c>
      <c r="L31" s="5">
        <v>102.7</v>
      </c>
      <c r="M31" s="5">
        <v>108.7</v>
      </c>
      <c r="N31" s="5">
        <v>111.2</v>
      </c>
      <c r="O31" s="5">
        <v>115.4</v>
      </c>
      <c r="P31" s="5">
        <v>120.2</v>
      </c>
      <c r="Q31" s="5">
        <v>112.5</v>
      </c>
      <c r="R31" s="5">
        <v>113.2</v>
      </c>
      <c r="S31" s="5">
        <v>111.2</v>
      </c>
      <c r="T31" s="5">
        <v>112.8</v>
      </c>
      <c r="U31" s="5">
        <v>110.5</v>
      </c>
      <c r="V31" s="5">
        <v>110.9</v>
      </c>
      <c r="W31" s="5">
        <v>110.3</v>
      </c>
      <c r="X31" s="5">
        <v>108.6</v>
      </c>
      <c r="Y31" s="5">
        <v>109.5</v>
      </c>
      <c r="Z31" s="5">
        <v>108.1</v>
      </c>
      <c r="AA31" s="5">
        <v>110.8</v>
      </c>
      <c r="AB31" s="5">
        <v>107.4</v>
      </c>
      <c r="AC31" s="5">
        <v>109.2</v>
      </c>
      <c r="AD31" s="12">
        <v>114.8</v>
      </c>
      <c r="AE31" s="26">
        <v>1</v>
      </c>
    </row>
    <row r="32" spans="1:31">
      <c r="A32" s="11" t="s">
        <v>65</v>
      </c>
      <c r="B32" s="5">
        <v>2013</v>
      </c>
      <c r="C32" s="5" t="s">
        <v>79</v>
      </c>
      <c r="D32" s="5">
        <v>117.3</v>
      </c>
      <c r="E32" s="5">
        <v>114.9</v>
      </c>
      <c r="F32" s="5">
        <v>116.2</v>
      </c>
      <c r="G32" s="5">
        <v>112.8</v>
      </c>
      <c r="H32" s="5">
        <v>108.9</v>
      </c>
      <c r="I32" s="5">
        <v>116.6</v>
      </c>
      <c r="J32" s="5">
        <v>178.1</v>
      </c>
      <c r="K32" s="5">
        <v>109.1</v>
      </c>
      <c r="L32" s="5">
        <v>103.6</v>
      </c>
      <c r="M32" s="5">
        <v>109</v>
      </c>
      <c r="N32" s="5">
        <v>111.8</v>
      </c>
      <c r="O32" s="5">
        <v>116</v>
      </c>
      <c r="P32" s="5">
        <v>122.5</v>
      </c>
      <c r="Q32" s="5">
        <v>112.8</v>
      </c>
      <c r="R32" s="5">
        <v>114.6</v>
      </c>
      <c r="S32" s="5">
        <v>113.1</v>
      </c>
      <c r="T32" s="5">
        <v>114.4</v>
      </c>
      <c r="U32" s="5" t="s">
        <v>67</v>
      </c>
      <c r="V32" s="5">
        <v>112.6</v>
      </c>
      <c r="W32" s="5">
        <v>111.3</v>
      </c>
      <c r="X32" s="5">
        <v>109.7</v>
      </c>
      <c r="Y32" s="5">
        <v>109.6</v>
      </c>
      <c r="Z32" s="5">
        <v>108.7</v>
      </c>
      <c r="AA32" s="5">
        <v>111</v>
      </c>
      <c r="AB32" s="5">
        <v>108.2</v>
      </c>
      <c r="AC32" s="5">
        <v>109.8</v>
      </c>
      <c r="AD32" s="12">
        <v>117.4</v>
      </c>
      <c r="AE32" s="26">
        <v>1</v>
      </c>
    </row>
    <row r="33" spans="1:31">
      <c r="A33" s="11" t="s">
        <v>68</v>
      </c>
      <c r="B33" s="5">
        <v>2013</v>
      </c>
      <c r="C33" s="5" t="s">
        <v>79</v>
      </c>
      <c r="D33" s="5">
        <v>119.8</v>
      </c>
      <c r="E33" s="5">
        <v>116.3</v>
      </c>
      <c r="F33" s="5">
        <v>122.6</v>
      </c>
      <c r="G33" s="5">
        <v>112</v>
      </c>
      <c r="H33" s="5">
        <v>103.2</v>
      </c>
      <c r="I33" s="5">
        <v>110</v>
      </c>
      <c r="J33" s="5">
        <v>192.8</v>
      </c>
      <c r="K33" s="5">
        <v>106.3</v>
      </c>
      <c r="L33" s="5">
        <v>99.5</v>
      </c>
      <c r="M33" s="5">
        <v>110.3</v>
      </c>
      <c r="N33" s="5">
        <v>111.8</v>
      </c>
      <c r="O33" s="5">
        <v>117.1</v>
      </c>
      <c r="P33" s="5">
        <v>122.9</v>
      </c>
      <c r="Q33" s="5">
        <v>114.1</v>
      </c>
      <c r="R33" s="5">
        <v>113.5</v>
      </c>
      <c r="S33" s="5">
        <v>110.3</v>
      </c>
      <c r="T33" s="5">
        <v>113</v>
      </c>
      <c r="U33" s="5">
        <v>111.1</v>
      </c>
      <c r="V33" s="5">
        <v>110</v>
      </c>
      <c r="W33" s="5">
        <v>110.9</v>
      </c>
      <c r="X33" s="5">
        <v>108.6</v>
      </c>
      <c r="Y33" s="5">
        <v>109.5</v>
      </c>
      <c r="Z33" s="5">
        <v>108.5</v>
      </c>
      <c r="AA33" s="5">
        <v>111.3</v>
      </c>
      <c r="AB33" s="5">
        <v>107.9</v>
      </c>
      <c r="AC33" s="5">
        <v>109.6</v>
      </c>
      <c r="AD33" s="12">
        <v>115</v>
      </c>
      <c r="AE33" s="26">
        <v>1</v>
      </c>
    </row>
    <row r="34" spans="1:31">
      <c r="A34" s="11" t="s">
        <v>69</v>
      </c>
      <c r="B34" s="5">
        <v>2013</v>
      </c>
      <c r="C34" s="5" t="s">
        <v>79</v>
      </c>
      <c r="D34" s="5">
        <v>118.1</v>
      </c>
      <c r="E34" s="5">
        <v>115.4</v>
      </c>
      <c r="F34" s="5">
        <v>118.7</v>
      </c>
      <c r="G34" s="5">
        <v>112.5</v>
      </c>
      <c r="H34" s="5">
        <v>106.8</v>
      </c>
      <c r="I34" s="5">
        <v>113.5</v>
      </c>
      <c r="J34" s="5">
        <v>183.1</v>
      </c>
      <c r="K34" s="5">
        <v>108.2</v>
      </c>
      <c r="L34" s="5">
        <v>102.2</v>
      </c>
      <c r="M34" s="5">
        <v>109.4</v>
      </c>
      <c r="N34" s="5">
        <v>111.8</v>
      </c>
      <c r="O34" s="5">
        <v>116.5</v>
      </c>
      <c r="P34" s="5">
        <v>122.6</v>
      </c>
      <c r="Q34" s="5">
        <v>113.1</v>
      </c>
      <c r="R34" s="5">
        <v>114.2</v>
      </c>
      <c r="S34" s="5">
        <v>111.9</v>
      </c>
      <c r="T34" s="5">
        <v>113.8</v>
      </c>
      <c r="U34" s="5">
        <v>111.1</v>
      </c>
      <c r="V34" s="5">
        <v>111.6</v>
      </c>
      <c r="W34" s="5">
        <v>111.1</v>
      </c>
      <c r="X34" s="5">
        <v>109.3</v>
      </c>
      <c r="Y34" s="5">
        <v>109.5</v>
      </c>
      <c r="Z34" s="5">
        <v>108.6</v>
      </c>
      <c r="AA34" s="5">
        <v>111.2</v>
      </c>
      <c r="AB34" s="5">
        <v>108.1</v>
      </c>
      <c r="AC34" s="5">
        <v>109.7</v>
      </c>
      <c r="AD34" s="12">
        <v>116.3</v>
      </c>
      <c r="AE34" s="26">
        <v>1</v>
      </c>
    </row>
    <row r="35" spans="1:31">
      <c r="A35" s="11" t="s">
        <v>65</v>
      </c>
      <c r="B35" s="5">
        <v>2013</v>
      </c>
      <c r="C35" s="5" t="s">
        <v>80</v>
      </c>
      <c r="D35" s="5">
        <v>118.4</v>
      </c>
      <c r="E35" s="5">
        <v>115.9</v>
      </c>
      <c r="F35" s="5">
        <v>120.4</v>
      </c>
      <c r="G35" s="5">
        <v>113.8</v>
      </c>
      <c r="H35" s="5">
        <v>109.5</v>
      </c>
      <c r="I35" s="5">
        <v>115.5</v>
      </c>
      <c r="J35" s="5">
        <v>145.69999999999999</v>
      </c>
      <c r="K35" s="5">
        <v>109.5</v>
      </c>
      <c r="L35" s="5">
        <v>102.9</v>
      </c>
      <c r="M35" s="5">
        <v>109.8</v>
      </c>
      <c r="N35" s="5">
        <v>112.1</v>
      </c>
      <c r="O35" s="5">
        <v>116.8</v>
      </c>
      <c r="P35" s="5">
        <v>118.7</v>
      </c>
      <c r="Q35" s="5">
        <v>113.6</v>
      </c>
      <c r="R35" s="5">
        <v>115.8</v>
      </c>
      <c r="S35" s="5">
        <v>114</v>
      </c>
      <c r="T35" s="5">
        <v>115.5</v>
      </c>
      <c r="U35" s="5" t="s">
        <v>67</v>
      </c>
      <c r="V35" s="5">
        <v>112.8</v>
      </c>
      <c r="W35" s="5">
        <v>112.1</v>
      </c>
      <c r="X35" s="5">
        <v>110.1</v>
      </c>
      <c r="Y35" s="5">
        <v>109.9</v>
      </c>
      <c r="Z35" s="5">
        <v>109.2</v>
      </c>
      <c r="AA35" s="5">
        <v>111.6</v>
      </c>
      <c r="AB35" s="5">
        <v>108.1</v>
      </c>
      <c r="AC35" s="5">
        <v>110.1</v>
      </c>
      <c r="AD35" s="12">
        <v>115.5</v>
      </c>
      <c r="AE35" s="26">
        <v>1</v>
      </c>
    </row>
    <row r="36" spans="1:31">
      <c r="A36" s="11" t="s">
        <v>68</v>
      </c>
      <c r="B36" s="5">
        <v>2013</v>
      </c>
      <c r="C36" s="5" t="s">
        <v>80</v>
      </c>
      <c r="D36" s="5">
        <v>120.5</v>
      </c>
      <c r="E36" s="5">
        <v>118.1</v>
      </c>
      <c r="F36" s="5">
        <v>128.5</v>
      </c>
      <c r="G36" s="5">
        <v>112.8</v>
      </c>
      <c r="H36" s="5">
        <v>103.4</v>
      </c>
      <c r="I36" s="5">
        <v>110.7</v>
      </c>
      <c r="J36" s="5">
        <v>144.80000000000001</v>
      </c>
      <c r="K36" s="5">
        <v>107.1</v>
      </c>
      <c r="L36" s="5">
        <v>98.6</v>
      </c>
      <c r="M36" s="5">
        <v>111.9</v>
      </c>
      <c r="N36" s="5">
        <v>112.1</v>
      </c>
      <c r="O36" s="5">
        <v>118.1</v>
      </c>
      <c r="P36" s="5">
        <v>117.8</v>
      </c>
      <c r="Q36" s="5">
        <v>115</v>
      </c>
      <c r="R36" s="5">
        <v>114.2</v>
      </c>
      <c r="S36" s="5">
        <v>110.9</v>
      </c>
      <c r="T36" s="5">
        <v>113.7</v>
      </c>
      <c r="U36" s="5">
        <v>110.7</v>
      </c>
      <c r="V36" s="5">
        <v>110.4</v>
      </c>
      <c r="W36" s="5">
        <v>111.3</v>
      </c>
      <c r="X36" s="5">
        <v>109</v>
      </c>
      <c r="Y36" s="5">
        <v>109.7</v>
      </c>
      <c r="Z36" s="5">
        <v>108.9</v>
      </c>
      <c r="AA36" s="5">
        <v>111.4</v>
      </c>
      <c r="AB36" s="5">
        <v>107.7</v>
      </c>
      <c r="AC36" s="5">
        <v>109.8</v>
      </c>
      <c r="AD36" s="12">
        <v>113.3</v>
      </c>
      <c r="AE36" s="26">
        <v>1</v>
      </c>
    </row>
    <row r="37" spans="1:31">
      <c r="A37" s="11" t="s">
        <v>69</v>
      </c>
      <c r="B37" s="5">
        <v>2013</v>
      </c>
      <c r="C37" s="5" t="s">
        <v>80</v>
      </c>
      <c r="D37" s="5">
        <v>119.1</v>
      </c>
      <c r="E37" s="5">
        <v>116.7</v>
      </c>
      <c r="F37" s="5">
        <v>123.5</v>
      </c>
      <c r="G37" s="5">
        <v>113.4</v>
      </c>
      <c r="H37" s="5">
        <v>107.3</v>
      </c>
      <c r="I37" s="5">
        <v>113.3</v>
      </c>
      <c r="J37" s="5">
        <v>145.4</v>
      </c>
      <c r="K37" s="5">
        <v>108.7</v>
      </c>
      <c r="L37" s="5">
        <v>101.5</v>
      </c>
      <c r="M37" s="5">
        <v>110.5</v>
      </c>
      <c r="N37" s="5">
        <v>112.1</v>
      </c>
      <c r="O37" s="5">
        <v>117.4</v>
      </c>
      <c r="P37" s="5">
        <v>118.4</v>
      </c>
      <c r="Q37" s="5">
        <v>114</v>
      </c>
      <c r="R37" s="5">
        <v>115.2</v>
      </c>
      <c r="S37" s="5">
        <v>112.7</v>
      </c>
      <c r="T37" s="5">
        <v>114.8</v>
      </c>
      <c r="U37" s="5">
        <v>110.7</v>
      </c>
      <c r="V37" s="5">
        <v>111.9</v>
      </c>
      <c r="W37" s="5">
        <v>111.7</v>
      </c>
      <c r="X37" s="5">
        <v>109.7</v>
      </c>
      <c r="Y37" s="5">
        <v>109.8</v>
      </c>
      <c r="Z37" s="5">
        <v>109</v>
      </c>
      <c r="AA37" s="5">
        <v>111.5</v>
      </c>
      <c r="AB37" s="5">
        <v>107.9</v>
      </c>
      <c r="AC37" s="5">
        <v>110</v>
      </c>
      <c r="AD37" s="12">
        <v>114.5</v>
      </c>
      <c r="AE37" s="26">
        <v>1</v>
      </c>
    </row>
    <row r="38" spans="1:31">
      <c r="A38" s="11" t="s">
        <v>65</v>
      </c>
      <c r="B38" s="5">
        <v>2014</v>
      </c>
      <c r="C38" s="5" t="s">
        <v>66</v>
      </c>
      <c r="D38" s="5">
        <v>118.9</v>
      </c>
      <c r="E38" s="5">
        <v>117.1</v>
      </c>
      <c r="F38" s="5">
        <v>120.5</v>
      </c>
      <c r="G38" s="5">
        <v>114.4</v>
      </c>
      <c r="H38" s="5">
        <v>109</v>
      </c>
      <c r="I38" s="5">
        <v>115.5</v>
      </c>
      <c r="J38" s="5">
        <v>123.9</v>
      </c>
      <c r="K38" s="5">
        <v>109.6</v>
      </c>
      <c r="L38" s="5">
        <v>101.8</v>
      </c>
      <c r="M38" s="5">
        <v>110.2</v>
      </c>
      <c r="N38" s="5">
        <v>112.4</v>
      </c>
      <c r="O38" s="5">
        <v>117.3</v>
      </c>
      <c r="P38" s="5">
        <v>116</v>
      </c>
      <c r="Q38" s="5">
        <v>114</v>
      </c>
      <c r="R38" s="5">
        <v>116.5</v>
      </c>
      <c r="S38" s="5">
        <v>114.5</v>
      </c>
      <c r="T38" s="5">
        <v>116.2</v>
      </c>
      <c r="U38" s="5" t="s">
        <v>67</v>
      </c>
      <c r="V38" s="5">
        <v>113</v>
      </c>
      <c r="W38" s="5">
        <v>112.6</v>
      </c>
      <c r="X38" s="5">
        <v>110.6</v>
      </c>
      <c r="Y38" s="5">
        <v>110.5</v>
      </c>
      <c r="Z38" s="5">
        <v>109.6</v>
      </c>
      <c r="AA38" s="5">
        <v>111.8</v>
      </c>
      <c r="AB38" s="5">
        <v>108.3</v>
      </c>
      <c r="AC38" s="5">
        <v>110.6</v>
      </c>
      <c r="AD38" s="12">
        <v>114.2</v>
      </c>
      <c r="AE38" s="26">
        <v>1</v>
      </c>
    </row>
    <row r="39" spans="1:31">
      <c r="A39" s="11" t="s">
        <v>68</v>
      </c>
      <c r="B39" s="5">
        <v>2014</v>
      </c>
      <c r="C39" s="5" t="s">
        <v>66</v>
      </c>
      <c r="D39" s="5">
        <v>121.2</v>
      </c>
      <c r="E39" s="5">
        <v>122</v>
      </c>
      <c r="F39" s="5">
        <v>129.9</v>
      </c>
      <c r="G39" s="5">
        <v>113.6</v>
      </c>
      <c r="H39" s="5">
        <v>102.9</v>
      </c>
      <c r="I39" s="5">
        <v>112.1</v>
      </c>
      <c r="J39" s="5">
        <v>118.9</v>
      </c>
      <c r="K39" s="5">
        <v>107.5</v>
      </c>
      <c r="L39" s="5">
        <v>96.9</v>
      </c>
      <c r="M39" s="5">
        <v>112.7</v>
      </c>
      <c r="N39" s="5">
        <v>112.1</v>
      </c>
      <c r="O39" s="5">
        <v>119</v>
      </c>
      <c r="P39" s="5">
        <v>115.5</v>
      </c>
      <c r="Q39" s="5">
        <v>115.7</v>
      </c>
      <c r="R39" s="5">
        <v>114.8</v>
      </c>
      <c r="S39" s="5">
        <v>111.3</v>
      </c>
      <c r="T39" s="5">
        <v>114.3</v>
      </c>
      <c r="U39" s="5">
        <v>111.6</v>
      </c>
      <c r="V39" s="5">
        <v>111</v>
      </c>
      <c r="W39" s="5">
        <v>111.9</v>
      </c>
      <c r="X39" s="5">
        <v>109.7</v>
      </c>
      <c r="Y39" s="5">
        <v>110.8</v>
      </c>
      <c r="Z39" s="5">
        <v>109.8</v>
      </c>
      <c r="AA39" s="5">
        <v>111.5</v>
      </c>
      <c r="AB39" s="5">
        <v>108</v>
      </c>
      <c r="AC39" s="5">
        <v>110.5</v>
      </c>
      <c r="AD39" s="12">
        <v>112.9</v>
      </c>
      <c r="AE39" s="26">
        <v>1</v>
      </c>
    </row>
    <row r="40" spans="1:31">
      <c r="A40" s="11" t="s">
        <v>69</v>
      </c>
      <c r="B40" s="5">
        <v>2014</v>
      </c>
      <c r="C40" s="5" t="s">
        <v>66</v>
      </c>
      <c r="D40" s="5">
        <v>119.6</v>
      </c>
      <c r="E40" s="5">
        <v>118.8</v>
      </c>
      <c r="F40" s="5">
        <v>124.1</v>
      </c>
      <c r="G40" s="5">
        <v>114.1</v>
      </c>
      <c r="H40" s="5">
        <v>106.8</v>
      </c>
      <c r="I40" s="5">
        <v>113.9</v>
      </c>
      <c r="J40" s="5">
        <v>122.2</v>
      </c>
      <c r="K40" s="5">
        <v>108.9</v>
      </c>
      <c r="L40" s="5">
        <v>100.2</v>
      </c>
      <c r="M40" s="5">
        <v>111</v>
      </c>
      <c r="N40" s="5">
        <v>112.3</v>
      </c>
      <c r="O40" s="5">
        <v>118.1</v>
      </c>
      <c r="P40" s="5">
        <v>115.8</v>
      </c>
      <c r="Q40" s="5">
        <v>114.5</v>
      </c>
      <c r="R40" s="5">
        <v>115.8</v>
      </c>
      <c r="S40" s="5">
        <v>113.2</v>
      </c>
      <c r="T40" s="5">
        <v>115.4</v>
      </c>
      <c r="U40" s="5">
        <v>111.6</v>
      </c>
      <c r="V40" s="5">
        <v>112.2</v>
      </c>
      <c r="W40" s="5">
        <v>112.3</v>
      </c>
      <c r="X40" s="5">
        <v>110.3</v>
      </c>
      <c r="Y40" s="5">
        <v>110.7</v>
      </c>
      <c r="Z40" s="5">
        <v>109.7</v>
      </c>
      <c r="AA40" s="5">
        <v>111.6</v>
      </c>
      <c r="AB40" s="5">
        <v>108.2</v>
      </c>
      <c r="AC40" s="5">
        <v>110.6</v>
      </c>
      <c r="AD40" s="12">
        <v>113.6</v>
      </c>
      <c r="AE40" s="26">
        <v>1</v>
      </c>
    </row>
    <row r="41" spans="1:31">
      <c r="A41" s="11" t="s">
        <v>65</v>
      </c>
      <c r="B41" s="5">
        <v>2014</v>
      </c>
      <c r="C41" s="5" t="s">
        <v>70</v>
      </c>
      <c r="D41" s="5">
        <v>119.4</v>
      </c>
      <c r="E41" s="5">
        <v>117.7</v>
      </c>
      <c r="F41" s="5">
        <v>121.2</v>
      </c>
      <c r="G41" s="5">
        <v>115</v>
      </c>
      <c r="H41" s="5">
        <v>109</v>
      </c>
      <c r="I41" s="5">
        <v>116.6</v>
      </c>
      <c r="J41" s="5">
        <v>116</v>
      </c>
      <c r="K41" s="5">
        <v>109.8</v>
      </c>
      <c r="L41" s="5">
        <v>101.1</v>
      </c>
      <c r="M41" s="5">
        <v>110.4</v>
      </c>
      <c r="N41" s="5">
        <v>112.9</v>
      </c>
      <c r="O41" s="5">
        <v>117.8</v>
      </c>
      <c r="P41" s="5">
        <v>115.3</v>
      </c>
      <c r="Q41" s="5">
        <v>114.2</v>
      </c>
      <c r="R41" s="5">
        <v>117.1</v>
      </c>
      <c r="S41" s="5">
        <v>114.5</v>
      </c>
      <c r="T41" s="5">
        <v>116.7</v>
      </c>
      <c r="U41" s="5" t="s">
        <v>67</v>
      </c>
      <c r="V41" s="5">
        <v>113.2</v>
      </c>
      <c r="W41" s="5">
        <v>112.9</v>
      </c>
      <c r="X41" s="5">
        <v>110.9</v>
      </c>
      <c r="Y41" s="5">
        <v>110.8</v>
      </c>
      <c r="Z41" s="5">
        <v>109.9</v>
      </c>
      <c r="AA41" s="5">
        <v>112</v>
      </c>
      <c r="AB41" s="5">
        <v>108.7</v>
      </c>
      <c r="AC41" s="5">
        <v>110.9</v>
      </c>
      <c r="AD41" s="12">
        <v>114</v>
      </c>
      <c r="AE41" s="26">
        <v>1</v>
      </c>
    </row>
    <row r="42" spans="1:31">
      <c r="A42" s="11" t="s">
        <v>68</v>
      </c>
      <c r="B42" s="5">
        <v>2014</v>
      </c>
      <c r="C42" s="5" t="s">
        <v>70</v>
      </c>
      <c r="D42" s="5">
        <v>121.9</v>
      </c>
      <c r="E42" s="5">
        <v>122</v>
      </c>
      <c r="F42" s="5">
        <v>124.5</v>
      </c>
      <c r="G42" s="5">
        <v>115.2</v>
      </c>
      <c r="H42" s="5">
        <v>102.5</v>
      </c>
      <c r="I42" s="5">
        <v>114.1</v>
      </c>
      <c r="J42" s="5">
        <v>111.5</v>
      </c>
      <c r="K42" s="5">
        <v>108.2</v>
      </c>
      <c r="L42" s="5">
        <v>95.4</v>
      </c>
      <c r="M42" s="5">
        <v>113.5</v>
      </c>
      <c r="N42" s="5">
        <v>112.1</v>
      </c>
      <c r="O42" s="5">
        <v>119.9</v>
      </c>
      <c r="P42" s="5">
        <v>115.2</v>
      </c>
      <c r="Q42" s="5">
        <v>116.2</v>
      </c>
      <c r="R42" s="5">
        <v>115.3</v>
      </c>
      <c r="S42" s="5">
        <v>111.7</v>
      </c>
      <c r="T42" s="5">
        <v>114.7</v>
      </c>
      <c r="U42" s="5">
        <v>112.5</v>
      </c>
      <c r="V42" s="5">
        <v>111.1</v>
      </c>
      <c r="W42" s="5">
        <v>112.6</v>
      </c>
      <c r="X42" s="5">
        <v>110.4</v>
      </c>
      <c r="Y42" s="5">
        <v>111.3</v>
      </c>
      <c r="Z42" s="5">
        <v>110.3</v>
      </c>
      <c r="AA42" s="5">
        <v>111.6</v>
      </c>
      <c r="AB42" s="5">
        <v>108.7</v>
      </c>
      <c r="AC42" s="5">
        <v>111</v>
      </c>
      <c r="AD42" s="12">
        <v>113.1</v>
      </c>
      <c r="AE42" s="26">
        <v>1</v>
      </c>
    </row>
    <row r="43" spans="1:31">
      <c r="A43" s="11" t="s">
        <v>69</v>
      </c>
      <c r="B43" s="5">
        <v>2014</v>
      </c>
      <c r="C43" s="5" t="s">
        <v>70</v>
      </c>
      <c r="D43" s="5">
        <v>120.2</v>
      </c>
      <c r="E43" s="5">
        <v>119.2</v>
      </c>
      <c r="F43" s="5">
        <v>122.5</v>
      </c>
      <c r="G43" s="5">
        <v>115.1</v>
      </c>
      <c r="H43" s="5">
        <v>106.6</v>
      </c>
      <c r="I43" s="5">
        <v>115.4</v>
      </c>
      <c r="J43" s="5">
        <v>114.5</v>
      </c>
      <c r="K43" s="5">
        <v>109.3</v>
      </c>
      <c r="L43" s="5">
        <v>99.2</v>
      </c>
      <c r="M43" s="5">
        <v>111.4</v>
      </c>
      <c r="N43" s="5">
        <v>112.6</v>
      </c>
      <c r="O43" s="5">
        <v>118.8</v>
      </c>
      <c r="P43" s="5">
        <v>115.3</v>
      </c>
      <c r="Q43" s="5">
        <v>114.7</v>
      </c>
      <c r="R43" s="5">
        <v>116.4</v>
      </c>
      <c r="S43" s="5">
        <v>113.3</v>
      </c>
      <c r="T43" s="5">
        <v>115.9</v>
      </c>
      <c r="U43" s="5">
        <v>112.5</v>
      </c>
      <c r="V43" s="5">
        <v>112.4</v>
      </c>
      <c r="W43" s="5">
        <v>112.8</v>
      </c>
      <c r="X43" s="5">
        <v>110.7</v>
      </c>
      <c r="Y43" s="5">
        <v>111.1</v>
      </c>
      <c r="Z43" s="5">
        <v>110.1</v>
      </c>
      <c r="AA43" s="5">
        <v>111.8</v>
      </c>
      <c r="AB43" s="5">
        <v>108.7</v>
      </c>
      <c r="AC43" s="5">
        <v>110.9</v>
      </c>
      <c r="AD43" s="12">
        <v>113.6</v>
      </c>
      <c r="AE43" s="26">
        <v>1</v>
      </c>
    </row>
    <row r="44" spans="1:31">
      <c r="A44" s="11" t="s">
        <v>65</v>
      </c>
      <c r="B44" s="5">
        <v>2014</v>
      </c>
      <c r="C44" s="5" t="s">
        <v>71</v>
      </c>
      <c r="D44" s="5">
        <v>120.1</v>
      </c>
      <c r="E44" s="5">
        <v>118.1</v>
      </c>
      <c r="F44" s="5">
        <v>120.7</v>
      </c>
      <c r="G44" s="5">
        <v>116.1</v>
      </c>
      <c r="H44" s="5">
        <v>109.3</v>
      </c>
      <c r="I44" s="5">
        <v>119.6</v>
      </c>
      <c r="J44" s="5">
        <v>117.9</v>
      </c>
      <c r="K44" s="5">
        <v>110.2</v>
      </c>
      <c r="L44" s="5">
        <v>101.2</v>
      </c>
      <c r="M44" s="5">
        <v>110.7</v>
      </c>
      <c r="N44" s="5">
        <v>113</v>
      </c>
      <c r="O44" s="5">
        <v>118.3</v>
      </c>
      <c r="P44" s="5">
        <v>116.2</v>
      </c>
      <c r="Q44" s="5">
        <v>114.6</v>
      </c>
      <c r="R44" s="5">
        <v>117.5</v>
      </c>
      <c r="S44" s="5">
        <v>114.9</v>
      </c>
      <c r="T44" s="5">
        <v>117.2</v>
      </c>
      <c r="U44" s="5" t="s">
        <v>67</v>
      </c>
      <c r="V44" s="5">
        <v>113.4</v>
      </c>
      <c r="W44" s="5">
        <v>113.4</v>
      </c>
      <c r="X44" s="5">
        <v>111.4</v>
      </c>
      <c r="Y44" s="5">
        <v>111.2</v>
      </c>
      <c r="Z44" s="5">
        <v>110.2</v>
      </c>
      <c r="AA44" s="5">
        <v>112.4</v>
      </c>
      <c r="AB44" s="5">
        <v>108.9</v>
      </c>
      <c r="AC44" s="5">
        <v>111.3</v>
      </c>
      <c r="AD44" s="12">
        <v>114.6</v>
      </c>
      <c r="AE44" s="26">
        <v>1</v>
      </c>
    </row>
    <row r="45" spans="1:31">
      <c r="A45" s="11" t="s">
        <v>68</v>
      </c>
      <c r="B45" s="5">
        <v>2014</v>
      </c>
      <c r="C45" s="5" t="s">
        <v>71</v>
      </c>
      <c r="D45" s="5">
        <v>122.1</v>
      </c>
      <c r="E45" s="5">
        <v>121.4</v>
      </c>
      <c r="F45" s="5">
        <v>121.5</v>
      </c>
      <c r="G45" s="5">
        <v>116.2</v>
      </c>
      <c r="H45" s="5">
        <v>102.8</v>
      </c>
      <c r="I45" s="5">
        <v>117.7</v>
      </c>
      <c r="J45" s="5">
        <v>113.3</v>
      </c>
      <c r="K45" s="5">
        <v>108.9</v>
      </c>
      <c r="L45" s="5">
        <v>96.3</v>
      </c>
      <c r="M45" s="5">
        <v>114.1</v>
      </c>
      <c r="N45" s="5">
        <v>112.2</v>
      </c>
      <c r="O45" s="5">
        <v>120.5</v>
      </c>
      <c r="P45" s="5">
        <v>116</v>
      </c>
      <c r="Q45" s="5">
        <v>116.7</v>
      </c>
      <c r="R45" s="5">
        <v>115.8</v>
      </c>
      <c r="S45" s="5">
        <v>112.1</v>
      </c>
      <c r="T45" s="5">
        <v>115.2</v>
      </c>
      <c r="U45" s="5">
        <v>113.2</v>
      </c>
      <c r="V45" s="5">
        <v>110.9</v>
      </c>
      <c r="W45" s="5">
        <v>113</v>
      </c>
      <c r="X45" s="5">
        <v>110.8</v>
      </c>
      <c r="Y45" s="5">
        <v>111.6</v>
      </c>
      <c r="Z45" s="5">
        <v>110.9</v>
      </c>
      <c r="AA45" s="5">
        <v>111.8</v>
      </c>
      <c r="AB45" s="5">
        <v>109.2</v>
      </c>
      <c r="AC45" s="5">
        <v>111.4</v>
      </c>
      <c r="AD45" s="12">
        <v>113.7</v>
      </c>
      <c r="AE45" s="26">
        <v>1</v>
      </c>
    </row>
    <row r="46" spans="1:31">
      <c r="A46" s="11" t="s">
        <v>69</v>
      </c>
      <c r="B46" s="5">
        <v>2014</v>
      </c>
      <c r="C46" s="5" t="s">
        <v>71</v>
      </c>
      <c r="D46" s="5">
        <v>120.7</v>
      </c>
      <c r="E46" s="5">
        <v>119.3</v>
      </c>
      <c r="F46" s="5">
        <v>121</v>
      </c>
      <c r="G46" s="5">
        <v>116.1</v>
      </c>
      <c r="H46" s="5">
        <v>106.9</v>
      </c>
      <c r="I46" s="5">
        <v>118.7</v>
      </c>
      <c r="J46" s="5">
        <v>116.3</v>
      </c>
      <c r="K46" s="5">
        <v>109.8</v>
      </c>
      <c r="L46" s="5">
        <v>99.6</v>
      </c>
      <c r="M46" s="5">
        <v>111.8</v>
      </c>
      <c r="N46" s="5">
        <v>112.7</v>
      </c>
      <c r="O46" s="5">
        <v>119.3</v>
      </c>
      <c r="P46" s="5">
        <v>116.1</v>
      </c>
      <c r="Q46" s="5">
        <v>115.2</v>
      </c>
      <c r="R46" s="5">
        <v>116.8</v>
      </c>
      <c r="S46" s="5">
        <v>113.7</v>
      </c>
      <c r="T46" s="5">
        <v>116.4</v>
      </c>
      <c r="U46" s="5">
        <v>113.2</v>
      </c>
      <c r="V46" s="5">
        <v>112.5</v>
      </c>
      <c r="W46" s="5">
        <v>113.2</v>
      </c>
      <c r="X46" s="5">
        <v>111.2</v>
      </c>
      <c r="Y46" s="5">
        <v>111.4</v>
      </c>
      <c r="Z46" s="5">
        <v>110.6</v>
      </c>
      <c r="AA46" s="5">
        <v>112</v>
      </c>
      <c r="AB46" s="5">
        <v>109</v>
      </c>
      <c r="AC46" s="5">
        <v>111.3</v>
      </c>
      <c r="AD46" s="12">
        <v>114.2</v>
      </c>
      <c r="AE46" s="26">
        <v>1</v>
      </c>
    </row>
    <row r="47" spans="1:31">
      <c r="A47" s="11" t="s">
        <v>65</v>
      </c>
      <c r="B47" s="5">
        <v>2014</v>
      </c>
      <c r="C47" s="5" t="s">
        <v>72</v>
      </c>
      <c r="D47" s="5">
        <v>120.2</v>
      </c>
      <c r="E47" s="5">
        <v>118.9</v>
      </c>
      <c r="F47" s="5">
        <v>118.1</v>
      </c>
      <c r="G47" s="5">
        <v>117</v>
      </c>
      <c r="H47" s="5">
        <v>109.7</v>
      </c>
      <c r="I47" s="5">
        <v>125.5</v>
      </c>
      <c r="J47" s="5">
        <v>120.5</v>
      </c>
      <c r="K47" s="5">
        <v>111</v>
      </c>
      <c r="L47" s="5">
        <v>102.6</v>
      </c>
      <c r="M47" s="5">
        <v>111.2</v>
      </c>
      <c r="N47" s="5">
        <v>113.5</v>
      </c>
      <c r="O47" s="5">
        <v>118.7</v>
      </c>
      <c r="P47" s="5">
        <v>117.2</v>
      </c>
      <c r="Q47" s="5">
        <v>115.4</v>
      </c>
      <c r="R47" s="5">
        <v>118.1</v>
      </c>
      <c r="S47" s="5">
        <v>116.1</v>
      </c>
      <c r="T47" s="5">
        <v>117.8</v>
      </c>
      <c r="U47" s="5" t="s">
        <v>67</v>
      </c>
      <c r="V47" s="5">
        <v>113.4</v>
      </c>
      <c r="W47" s="5">
        <v>113.7</v>
      </c>
      <c r="X47" s="5">
        <v>111.8</v>
      </c>
      <c r="Y47" s="5">
        <v>111.2</v>
      </c>
      <c r="Z47" s="5">
        <v>110.5</v>
      </c>
      <c r="AA47" s="5">
        <v>113</v>
      </c>
      <c r="AB47" s="5">
        <v>108.9</v>
      </c>
      <c r="AC47" s="5">
        <v>111.5</v>
      </c>
      <c r="AD47" s="12">
        <v>115.4</v>
      </c>
      <c r="AE47" s="26">
        <v>1</v>
      </c>
    </row>
    <row r="48" spans="1:31">
      <c r="A48" s="11" t="s">
        <v>68</v>
      </c>
      <c r="B48" s="5">
        <v>2014</v>
      </c>
      <c r="C48" s="5" t="s">
        <v>72</v>
      </c>
      <c r="D48" s="5">
        <v>122.5</v>
      </c>
      <c r="E48" s="5">
        <v>121.7</v>
      </c>
      <c r="F48" s="5">
        <v>113.3</v>
      </c>
      <c r="G48" s="5">
        <v>117</v>
      </c>
      <c r="H48" s="5">
        <v>103.1</v>
      </c>
      <c r="I48" s="5">
        <v>126.7</v>
      </c>
      <c r="J48" s="5">
        <v>121.2</v>
      </c>
      <c r="K48" s="5">
        <v>111</v>
      </c>
      <c r="L48" s="5">
        <v>100.3</v>
      </c>
      <c r="M48" s="5">
        <v>115.3</v>
      </c>
      <c r="N48" s="5">
        <v>112.7</v>
      </c>
      <c r="O48" s="5">
        <v>121</v>
      </c>
      <c r="P48" s="5">
        <v>118.2</v>
      </c>
      <c r="Q48" s="5">
        <v>117.6</v>
      </c>
      <c r="R48" s="5">
        <v>116.3</v>
      </c>
      <c r="S48" s="5">
        <v>112.5</v>
      </c>
      <c r="T48" s="5">
        <v>115.7</v>
      </c>
      <c r="U48" s="5">
        <v>113.9</v>
      </c>
      <c r="V48" s="5">
        <v>110.9</v>
      </c>
      <c r="W48" s="5">
        <v>113.4</v>
      </c>
      <c r="X48" s="5">
        <v>111</v>
      </c>
      <c r="Y48" s="5">
        <v>111.2</v>
      </c>
      <c r="Z48" s="5">
        <v>111.2</v>
      </c>
      <c r="AA48" s="5">
        <v>112.5</v>
      </c>
      <c r="AB48" s="5">
        <v>109.1</v>
      </c>
      <c r="AC48" s="5">
        <v>111.4</v>
      </c>
      <c r="AD48" s="12">
        <v>114.7</v>
      </c>
      <c r="AE48" s="26">
        <v>1</v>
      </c>
    </row>
    <row r="49" spans="1:31">
      <c r="A49" s="11" t="s">
        <v>69</v>
      </c>
      <c r="B49" s="5">
        <v>2014</v>
      </c>
      <c r="C49" s="5" t="s">
        <v>72</v>
      </c>
      <c r="D49" s="5">
        <v>120.9</v>
      </c>
      <c r="E49" s="5">
        <v>119.9</v>
      </c>
      <c r="F49" s="5">
        <v>116.2</v>
      </c>
      <c r="G49" s="5">
        <v>117</v>
      </c>
      <c r="H49" s="5">
        <v>107.3</v>
      </c>
      <c r="I49" s="5">
        <v>126.1</v>
      </c>
      <c r="J49" s="5">
        <v>120.7</v>
      </c>
      <c r="K49" s="5">
        <v>111</v>
      </c>
      <c r="L49" s="5">
        <v>101.8</v>
      </c>
      <c r="M49" s="5">
        <v>112.6</v>
      </c>
      <c r="N49" s="5">
        <v>113.2</v>
      </c>
      <c r="O49" s="5">
        <v>119.8</v>
      </c>
      <c r="P49" s="5">
        <v>117.6</v>
      </c>
      <c r="Q49" s="5">
        <v>116</v>
      </c>
      <c r="R49" s="5">
        <v>117.4</v>
      </c>
      <c r="S49" s="5">
        <v>114.6</v>
      </c>
      <c r="T49" s="5">
        <v>117</v>
      </c>
      <c r="U49" s="5">
        <v>113.9</v>
      </c>
      <c r="V49" s="5">
        <v>112.5</v>
      </c>
      <c r="W49" s="5">
        <v>113.6</v>
      </c>
      <c r="X49" s="5">
        <v>111.5</v>
      </c>
      <c r="Y49" s="5">
        <v>111.2</v>
      </c>
      <c r="Z49" s="5">
        <v>110.9</v>
      </c>
      <c r="AA49" s="5">
        <v>112.7</v>
      </c>
      <c r="AB49" s="5">
        <v>109</v>
      </c>
      <c r="AC49" s="5">
        <v>111.5</v>
      </c>
      <c r="AD49" s="12">
        <v>115.1</v>
      </c>
      <c r="AE49" s="26">
        <v>1</v>
      </c>
    </row>
    <row r="50" spans="1:31">
      <c r="A50" s="11" t="s">
        <v>65</v>
      </c>
      <c r="B50" s="5">
        <v>2014</v>
      </c>
      <c r="C50" s="5" t="s">
        <v>73</v>
      </c>
      <c r="D50" s="5">
        <v>120.3</v>
      </c>
      <c r="E50" s="5">
        <v>120.2</v>
      </c>
      <c r="F50" s="5">
        <v>116.9</v>
      </c>
      <c r="G50" s="5">
        <v>118</v>
      </c>
      <c r="H50" s="5">
        <v>110.1</v>
      </c>
      <c r="I50" s="5">
        <v>126.3</v>
      </c>
      <c r="J50" s="5">
        <v>123.9</v>
      </c>
      <c r="K50" s="5">
        <v>111.5</v>
      </c>
      <c r="L50" s="5">
        <v>103.5</v>
      </c>
      <c r="M50" s="5">
        <v>111.6</v>
      </c>
      <c r="N50" s="5">
        <v>114.2</v>
      </c>
      <c r="O50" s="5">
        <v>119.2</v>
      </c>
      <c r="P50" s="5">
        <v>118.2</v>
      </c>
      <c r="Q50" s="5">
        <v>116.3</v>
      </c>
      <c r="R50" s="5">
        <v>118.7</v>
      </c>
      <c r="S50" s="5">
        <v>116.8</v>
      </c>
      <c r="T50" s="5">
        <v>118.5</v>
      </c>
      <c r="U50" s="5" t="s">
        <v>67</v>
      </c>
      <c r="V50" s="5">
        <v>113.4</v>
      </c>
      <c r="W50" s="5">
        <v>114.1</v>
      </c>
      <c r="X50" s="5">
        <v>112.1</v>
      </c>
      <c r="Y50" s="5">
        <v>111.4</v>
      </c>
      <c r="Z50" s="5">
        <v>110.9</v>
      </c>
      <c r="AA50" s="5">
        <v>113.1</v>
      </c>
      <c r="AB50" s="5">
        <v>108.9</v>
      </c>
      <c r="AC50" s="5">
        <v>111.8</v>
      </c>
      <c r="AD50" s="12">
        <v>116</v>
      </c>
      <c r="AE50" s="26">
        <v>1</v>
      </c>
    </row>
    <row r="51" spans="1:31">
      <c r="A51" s="11" t="s">
        <v>68</v>
      </c>
      <c r="B51" s="5">
        <v>2014</v>
      </c>
      <c r="C51" s="5" t="s">
        <v>73</v>
      </c>
      <c r="D51" s="5">
        <v>122.7</v>
      </c>
      <c r="E51" s="5">
        <v>124.1</v>
      </c>
      <c r="F51" s="5">
        <v>114.2</v>
      </c>
      <c r="G51" s="5">
        <v>119.1</v>
      </c>
      <c r="H51" s="5">
        <v>103.5</v>
      </c>
      <c r="I51" s="5">
        <v>129.19999999999999</v>
      </c>
      <c r="J51" s="5">
        <v>127</v>
      </c>
      <c r="K51" s="5">
        <v>112.6</v>
      </c>
      <c r="L51" s="5">
        <v>101.3</v>
      </c>
      <c r="M51" s="5">
        <v>117</v>
      </c>
      <c r="N51" s="5">
        <v>112.9</v>
      </c>
      <c r="O51" s="5">
        <v>121.7</v>
      </c>
      <c r="P51" s="5">
        <v>120</v>
      </c>
      <c r="Q51" s="5">
        <v>118.3</v>
      </c>
      <c r="R51" s="5">
        <v>116.8</v>
      </c>
      <c r="S51" s="5">
        <v>112.9</v>
      </c>
      <c r="T51" s="5">
        <v>116.2</v>
      </c>
      <c r="U51" s="5">
        <v>114.3</v>
      </c>
      <c r="V51" s="5">
        <v>111.1</v>
      </c>
      <c r="W51" s="5">
        <v>114.1</v>
      </c>
      <c r="X51" s="5">
        <v>111.2</v>
      </c>
      <c r="Y51" s="5">
        <v>111.3</v>
      </c>
      <c r="Z51" s="5">
        <v>111.5</v>
      </c>
      <c r="AA51" s="5">
        <v>112.9</v>
      </c>
      <c r="AB51" s="5">
        <v>109.3</v>
      </c>
      <c r="AC51" s="5">
        <v>111.7</v>
      </c>
      <c r="AD51" s="12">
        <v>115.6</v>
      </c>
      <c r="AE51" s="26">
        <v>1</v>
      </c>
    </row>
    <row r="52" spans="1:31">
      <c r="A52" s="11" t="s">
        <v>69</v>
      </c>
      <c r="B52" s="5">
        <v>2014</v>
      </c>
      <c r="C52" s="5" t="s">
        <v>73</v>
      </c>
      <c r="D52" s="5">
        <v>121.1</v>
      </c>
      <c r="E52" s="5">
        <v>121.6</v>
      </c>
      <c r="F52" s="5">
        <v>115.9</v>
      </c>
      <c r="G52" s="5">
        <v>118.4</v>
      </c>
      <c r="H52" s="5">
        <v>107.7</v>
      </c>
      <c r="I52" s="5">
        <v>127.7</v>
      </c>
      <c r="J52" s="5">
        <v>125</v>
      </c>
      <c r="K52" s="5">
        <v>111.9</v>
      </c>
      <c r="L52" s="5">
        <v>102.8</v>
      </c>
      <c r="M52" s="5">
        <v>113.4</v>
      </c>
      <c r="N52" s="5">
        <v>113.7</v>
      </c>
      <c r="O52" s="5">
        <v>120.4</v>
      </c>
      <c r="P52" s="5">
        <v>118.9</v>
      </c>
      <c r="Q52" s="5">
        <v>116.8</v>
      </c>
      <c r="R52" s="5">
        <v>118</v>
      </c>
      <c r="S52" s="5">
        <v>115.2</v>
      </c>
      <c r="T52" s="5">
        <v>117.6</v>
      </c>
      <c r="U52" s="5">
        <v>114.3</v>
      </c>
      <c r="V52" s="5">
        <v>112.5</v>
      </c>
      <c r="W52" s="5">
        <v>114.1</v>
      </c>
      <c r="X52" s="5">
        <v>111.8</v>
      </c>
      <c r="Y52" s="5">
        <v>111.3</v>
      </c>
      <c r="Z52" s="5">
        <v>111.2</v>
      </c>
      <c r="AA52" s="5">
        <v>113</v>
      </c>
      <c r="AB52" s="5">
        <v>109.1</v>
      </c>
      <c r="AC52" s="5">
        <v>111.8</v>
      </c>
      <c r="AD52" s="12">
        <v>115.8</v>
      </c>
      <c r="AE52" s="26">
        <v>1</v>
      </c>
    </row>
    <row r="53" spans="1:31">
      <c r="A53" s="11" t="s">
        <v>65</v>
      </c>
      <c r="B53" s="5">
        <v>2014</v>
      </c>
      <c r="C53" s="5" t="s">
        <v>74</v>
      </c>
      <c r="D53" s="5">
        <v>120.7</v>
      </c>
      <c r="E53" s="5">
        <v>121.6</v>
      </c>
      <c r="F53" s="5">
        <v>116.1</v>
      </c>
      <c r="G53" s="5">
        <v>119.3</v>
      </c>
      <c r="H53" s="5">
        <v>110.3</v>
      </c>
      <c r="I53" s="5">
        <v>125.8</v>
      </c>
      <c r="J53" s="5">
        <v>129.30000000000001</v>
      </c>
      <c r="K53" s="5">
        <v>112.2</v>
      </c>
      <c r="L53" s="5">
        <v>103.6</v>
      </c>
      <c r="M53" s="5">
        <v>112.3</v>
      </c>
      <c r="N53" s="5">
        <v>114.9</v>
      </c>
      <c r="O53" s="5">
        <v>120.1</v>
      </c>
      <c r="P53" s="5">
        <v>119.5</v>
      </c>
      <c r="Q53" s="5">
        <v>117.3</v>
      </c>
      <c r="R53" s="5">
        <v>119.7</v>
      </c>
      <c r="S53" s="5">
        <v>117.3</v>
      </c>
      <c r="T53" s="5">
        <v>119.3</v>
      </c>
      <c r="U53" s="5" t="s">
        <v>67</v>
      </c>
      <c r="V53" s="5">
        <v>114.4</v>
      </c>
      <c r="W53" s="5">
        <v>114.9</v>
      </c>
      <c r="X53" s="5">
        <v>112.8</v>
      </c>
      <c r="Y53" s="5">
        <v>112.2</v>
      </c>
      <c r="Z53" s="5">
        <v>111.4</v>
      </c>
      <c r="AA53" s="5">
        <v>114.3</v>
      </c>
      <c r="AB53" s="5">
        <v>108</v>
      </c>
      <c r="AC53" s="5">
        <v>112.3</v>
      </c>
      <c r="AD53" s="12">
        <v>117</v>
      </c>
      <c r="AE53" s="26">
        <v>1</v>
      </c>
    </row>
    <row r="54" spans="1:31">
      <c r="A54" s="11" t="s">
        <v>68</v>
      </c>
      <c r="B54" s="5">
        <v>2014</v>
      </c>
      <c r="C54" s="5" t="s">
        <v>74</v>
      </c>
      <c r="D54" s="5">
        <v>123.1</v>
      </c>
      <c r="E54" s="5">
        <v>125.9</v>
      </c>
      <c r="F54" s="5">
        <v>115.4</v>
      </c>
      <c r="G54" s="5">
        <v>120.4</v>
      </c>
      <c r="H54" s="5">
        <v>103.4</v>
      </c>
      <c r="I54" s="5">
        <v>131.19999999999999</v>
      </c>
      <c r="J54" s="5">
        <v>137.5</v>
      </c>
      <c r="K54" s="5">
        <v>112.8</v>
      </c>
      <c r="L54" s="5">
        <v>101.4</v>
      </c>
      <c r="M54" s="5">
        <v>118.3</v>
      </c>
      <c r="N54" s="5">
        <v>113.2</v>
      </c>
      <c r="O54" s="5">
        <v>122.4</v>
      </c>
      <c r="P54" s="5">
        <v>122</v>
      </c>
      <c r="Q54" s="5">
        <v>119</v>
      </c>
      <c r="R54" s="5">
        <v>117.4</v>
      </c>
      <c r="S54" s="5">
        <v>113.2</v>
      </c>
      <c r="T54" s="5">
        <v>116.7</v>
      </c>
      <c r="U54" s="5">
        <v>113.9</v>
      </c>
      <c r="V54" s="5">
        <v>111.2</v>
      </c>
      <c r="W54" s="5">
        <v>114.3</v>
      </c>
      <c r="X54" s="5">
        <v>111.4</v>
      </c>
      <c r="Y54" s="5">
        <v>111.5</v>
      </c>
      <c r="Z54" s="5">
        <v>111.8</v>
      </c>
      <c r="AA54" s="5">
        <v>115.1</v>
      </c>
      <c r="AB54" s="5">
        <v>108.7</v>
      </c>
      <c r="AC54" s="5">
        <v>112.2</v>
      </c>
      <c r="AD54" s="12">
        <v>116.4</v>
      </c>
      <c r="AE54" s="26">
        <v>1</v>
      </c>
    </row>
    <row r="55" spans="1:31">
      <c r="A55" s="11" t="s">
        <v>69</v>
      </c>
      <c r="B55" s="5">
        <v>2014</v>
      </c>
      <c r="C55" s="5" t="s">
        <v>74</v>
      </c>
      <c r="D55" s="5">
        <v>121.5</v>
      </c>
      <c r="E55" s="5">
        <v>123.1</v>
      </c>
      <c r="F55" s="5">
        <v>115.8</v>
      </c>
      <c r="G55" s="5">
        <v>119.7</v>
      </c>
      <c r="H55" s="5">
        <v>107.8</v>
      </c>
      <c r="I55" s="5">
        <v>128.30000000000001</v>
      </c>
      <c r="J55" s="5">
        <v>132.1</v>
      </c>
      <c r="K55" s="5">
        <v>112.4</v>
      </c>
      <c r="L55" s="5">
        <v>102.9</v>
      </c>
      <c r="M55" s="5">
        <v>114.3</v>
      </c>
      <c r="N55" s="5">
        <v>114.2</v>
      </c>
      <c r="O55" s="5">
        <v>121.2</v>
      </c>
      <c r="P55" s="5">
        <v>120.4</v>
      </c>
      <c r="Q55" s="5">
        <v>117.8</v>
      </c>
      <c r="R55" s="5">
        <v>118.8</v>
      </c>
      <c r="S55" s="5">
        <v>115.6</v>
      </c>
      <c r="T55" s="5">
        <v>118.3</v>
      </c>
      <c r="U55" s="5">
        <v>113.9</v>
      </c>
      <c r="V55" s="5">
        <v>113.2</v>
      </c>
      <c r="W55" s="5">
        <v>114.6</v>
      </c>
      <c r="X55" s="5">
        <v>112.3</v>
      </c>
      <c r="Y55" s="5">
        <v>111.8</v>
      </c>
      <c r="Z55" s="5">
        <v>111.6</v>
      </c>
      <c r="AA55" s="5">
        <v>114.8</v>
      </c>
      <c r="AB55" s="5">
        <v>108.3</v>
      </c>
      <c r="AC55" s="5">
        <v>112.3</v>
      </c>
      <c r="AD55" s="12">
        <v>116.7</v>
      </c>
      <c r="AE55" s="26">
        <v>1</v>
      </c>
    </row>
    <row r="56" spans="1:31">
      <c r="A56" s="11" t="s">
        <v>65</v>
      </c>
      <c r="B56" s="5">
        <v>2014</v>
      </c>
      <c r="C56" s="5" t="s">
        <v>75</v>
      </c>
      <c r="D56" s="5">
        <v>121.7</v>
      </c>
      <c r="E56" s="5">
        <v>122.5</v>
      </c>
      <c r="F56" s="5">
        <v>117.7</v>
      </c>
      <c r="G56" s="5">
        <v>120.6</v>
      </c>
      <c r="H56" s="5">
        <v>110.4</v>
      </c>
      <c r="I56" s="5">
        <v>129.1</v>
      </c>
      <c r="J56" s="5">
        <v>150.1</v>
      </c>
      <c r="K56" s="5">
        <v>113.2</v>
      </c>
      <c r="L56" s="5">
        <v>104.8</v>
      </c>
      <c r="M56" s="5">
        <v>113.3</v>
      </c>
      <c r="N56" s="5">
        <v>115.6</v>
      </c>
      <c r="O56" s="5">
        <v>120.9</v>
      </c>
      <c r="P56" s="5">
        <v>123.3</v>
      </c>
      <c r="Q56" s="5">
        <v>118</v>
      </c>
      <c r="R56" s="5">
        <v>120.7</v>
      </c>
      <c r="S56" s="5">
        <v>118.3</v>
      </c>
      <c r="T56" s="5">
        <v>120.3</v>
      </c>
      <c r="U56" s="5" t="s">
        <v>67</v>
      </c>
      <c r="V56" s="5">
        <v>115.3</v>
      </c>
      <c r="W56" s="5">
        <v>115.4</v>
      </c>
      <c r="X56" s="5">
        <v>113.4</v>
      </c>
      <c r="Y56" s="5">
        <v>113.2</v>
      </c>
      <c r="Z56" s="5">
        <v>111.8</v>
      </c>
      <c r="AA56" s="5">
        <v>115.5</v>
      </c>
      <c r="AB56" s="5">
        <v>108.8</v>
      </c>
      <c r="AC56" s="5">
        <v>113.1</v>
      </c>
      <c r="AD56" s="12">
        <v>119.5</v>
      </c>
      <c r="AE56" s="26">
        <v>1</v>
      </c>
    </row>
    <row r="57" spans="1:31">
      <c r="A57" s="11" t="s">
        <v>68</v>
      </c>
      <c r="B57" s="5">
        <v>2014</v>
      </c>
      <c r="C57" s="5" t="s">
        <v>75</v>
      </c>
      <c r="D57" s="5">
        <v>123.8</v>
      </c>
      <c r="E57" s="5">
        <v>126.4</v>
      </c>
      <c r="F57" s="5">
        <v>118</v>
      </c>
      <c r="G57" s="5">
        <v>121.6</v>
      </c>
      <c r="H57" s="5">
        <v>103.5</v>
      </c>
      <c r="I57" s="5">
        <v>133.69999999999999</v>
      </c>
      <c r="J57" s="5">
        <v>172.4</v>
      </c>
      <c r="K57" s="5">
        <v>113.1</v>
      </c>
      <c r="L57" s="5">
        <v>102.7</v>
      </c>
      <c r="M57" s="5">
        <v>120</v>
      </c>
      <c r="N57" s="5">
        <v>113.8</v>
      </c>
      <c r="O57" s="5">
        <v>123.4</v>
      </c>
      <c r="P57" s="5">
        <v>127.1</v>
      </c>
      <c r="Q57" s="5">
        <v>121</v>
      </c>
      <c r="R57" s="5">
        <v>118</v>
      </c>
      <c r="S57" s="5">
        <v>113.6</v>
      </c>
      <c r="T57" s="5">
        <v>117.4</v>
      </c>
      <c r="U57" s="5">
        <v>114.8</v>
      </c>
      <c r="V57" s="5">
        <v>111.6</v>
      </c>
      <c r="W57" s="5">
        <v>114.9</v>
      </c>
      <c r="X57" s="5">
        <v>111.5</v>
      </c>
      <c r="Y57" s="5">
        <v>113</v>
      </c>
      <c r="Z57" s="5">
        <v>112.4</v>
      </c>
      <c r="AA57" s="5">
        <v>117.8</v>
      </c>
      <c r="AB57" s="5">
        <v>109.7</v>
      </c>
      <c r="AC57" s="5">
        <v>113.5</v>
      </c>
      <c r="AD57" s="12">
        <v>118.9</v>
      </c>
      <c r="AE57" s="26">
        <v>1</v>
      </c>
    </row>
    <row r="58" spans="1:31">
      <c r="A58" s="11" t="s">
        <v>69</v>
      </c>
      <c r="B58" s="5">
        <v>2014</v>
      </c>
      <c r="C58" s="5" t="s">
        <v>75</v>
      </c>
      <c r="D58" s="5">
        <v>122.4</v>
      </c>
      <c r="E58" s="5">
        <v>123.9</v>
      </c>
      <c r="F58" s="5">
        <v>117.8</v>
      </c>
      <c r="G58" s="5">
        <v>121</v>
      </c>
      <c r="H58" s="5">
        <v>107.9</v>
      </c>
      <c r="I58" s="5">
        <v>131.19999999999999</v>
      </c>
      <c r="J58" s="5">
        <v>157.69999999999999</v>
      </c>
      <c r="K58" s="5">
        <v>113.2</v>
      </c>
      <c r="L58" s="5">
        <v>104.1</v>
      </c>
      <c r="M58" s="5">
        <v>115.5</v>
      </c>
      <c r="N58" s="5">
        <v>114.8</v>
      </c>
      <c r="O58" s="5">
        <v>122.1</v>
      </c>
      <c r="P58" s="5">
        <v>124.7</v>
      </c>
      <c r="Q58" s="5">
        <v>118.8</v>
      </c>
      <c r="R58" s="5">
        <v>119.6</v>
      </c>
      <c r="S58" s="5">
        <v>116.3</v>
      </c>
      <c r="T58" s="5">
        <v>119.1</v>
      </c>
      <c r="U58" s="5">
        <v>114.8</v>
      </c>
      <c r="V58" s="5">
        <v>113.9</v>
      </c>
      <c r="W58" s="5">
        <v>115.2</v>
      </c>
      <c r="X58" s="5">
        <v>112.7</v>
      </c>
      <c r="Y58" s="5">
        <v>113.1</v>
      </c>
      <c r="Z58" s="5">
        <v>112.1</v>
      </c>
      <c r="AA58" s="5">
        <v>116.8</v>
      </c>
      <c r="AB58" s="5">
        <v>109.2</v>
      </c>
      <c r="AC58" s="5">
        <v>113.3</v>
      </c>
      <c r="AD58" s="12">
        <v>119.2</v>
      </c>
      <c r="AE58" s="26">
        <v>1</v>
      </c>
    </row>
    <row r="59" spans="1:31">
      <c r="A59" s="11" t="s">
        <v>65</v>
      </c>
      <c r="B59" s="5">
        <v>2014</v>
      </c>
      <c r="C59" s="5" t="s">
        <v>76</v>
      </c>
      <c r="D59" s="5">
        <v>121.8</v>
      </c>
      <c r="E59" s="5">
        <v>122.8</v>
      </c>
      <c r="F59" s="5">
        <v>117.8</v>
      </c>
      <c r="G59" s="5">
        <v>121.9</v>
      </c>
      <c r="H59" s="5">
        <v>110.6</v>
      </c>
      <c r="I59" s="5">
        <v>129.69999999999999</v>
      </c>
      <c r="J59" s="5">
        <v>161.1</v>
      </c>
      <c r="K59" s="5">
        <v>114.1</v>
      </c>
      <c r="L59" s="5">
        <v>105.1</v>
      </c>
      <c r="M59" s="5">
        <v>114.6</v>
      </c>
      <c r="N59" s="5">
        <v>115.8</v>
      </c>
      <c r="O59" s="5">
        <v>121.7</v>
      </c>
      <c r="P59" s="5">
        <v>125.3</v>
      </c>
      <c r="Q59" s="5">
        <v>118.8</v>
      </c>
      <c r="R59" s="5">
        <v>120.9</v>
      </c>
      <c r="S59" s="5">
        <v>118.8</v>
      </c>
      <c r="T59" s="5">
        <v>120.7</v>
      </c>
      <c r="U59" s="5" t="s">
        <v>67</v>
      </c>
      <c r="V59" s="5">
        <v>115.4</v>
      </c>
      <c r="W59" s="5">
        <v>115.9</v>
      </c>
      <c r="X59" s="5">
        <v>114</v>
      </c>
      <c r="Y59" s="5">
        <v>113.2</v>
      </c>
      <c r="Z59" s="5">
        <v>112.2</v>
      </c>
      <c r="AA59" s="5">
        <v>116.2</v>
      </c>
      <c r="AB59" s="5">
        <v>109.4</v>
      </c>
      <c r="AC59" s="5">
        <v>113.5</v>
      </c>
      <c r="AD59" s="12">
        <v>120.7</v>
      </c>
      <c r="AE59" s="26">
        <v>1</v>
      </c>
    </row>
    <row r="60" spans="1:31">
      <c r="A60" s="11" t="s">
        <v>68</v>
      </c>
      <c r="B60" s="5">
        <v>2014</v>
      </c>
      <c r="C60" s="5" t="s">
        <v>76</v>
      </c>
      <c r="D60" s="5">
        <v>124.8</v>
      </c>
      <c r="E60" s="5">
        <v>127.3</v>
      </c>
      <c r="F60" s="5">
        <v>116.5</v>
      </c>
      <c r="G60" s="5">
        <v>122.2</v>
      </c>
      <c r="H60" s="5">
        <v>103.6</v>
      </c>
      <c r="I60" s="5">
        <v>132.69999999999999</v>
      </c>
      <c r="J60" s="5">
        <v>181.9</v>
      </c>
      <c r="K60" s="5">
        <v>115.2</v>
      </c>
      <c r="L60" s="5">
        <v>102.7</v>
      </c>
      <c r="M60" s="5">
        <v>122.1</v>
      </c>
      <c r="N60" s="5">
        <v>114.4</v>
      </c>
      <c r="O60" s="5">
        <v>124.7</v>
      </c>
      <c r="P60" s="5">
        <v>128.9</v>
      </c>
      <c r="Q60" s="5">
        <v>123</v>
      </c>
      <c r="R60" s="5">
        <v>118.6</v>
      </c>
      <c r="S60" s="5">
        <v>114.1</v>
      </c>
      <c r="T60" s="5">
        <v>117.9</v>
      </c>
      <c r="U60" s="5">
        <v>115.5</v>
      </c>
      <c r="V60" s="5">
        <v>111.8</v>
      </c>
      <c r="W60" s="5">
        <v>115.3</v>
      </c>
      <c r="X60" s="5">
        <v>112.2</v>
      </c>
      <c r="Y60" s="5">
        <v>112.5</v>
      </c>
      <c r="Z60" s="5">
        <v>112.9</v>
      </c>
      <c r="AA60" s="5">
        <v>119.2</v>
      </c>
      <c r="AB60" s="5">
        <v>110.5</v>
      </c>
      <c r="AC60" s="5">
        <v>113.9</v>
      </c>
      <c r="AD60" s="12">
        <v>119.9</v>
      </c>
      <c r="AE60" s="26">
        <v>1</v>
      </c>
    </row>
    <row r="61" spans="1:31">
      <c r="A61" s="11" t="s">
        <v>69</v>
      </c>
      <c r="B61" s="5">
        <v>2014</v>
      </c>
      <c r="C61" s="5" t="s">
        <v>76</v>
      </c>
      <c r="D61" s="5">
        <v>122.7</v>
      </c>
      <c r="E61" s="5">
        <v>124.4</v>
      </c>
      <c r="F61" s="5">
        <v>117.3</v>
      </c>
      <c r="G61" s="5">
        <v>122</v>
      </c>
      <c r="H61" s="5">
        <v>108</v>
      </c>
      <c r="I61" s="5">
        <v>131.1</v>
      </c>
      <c r="J61" s="5">
        <v>168.2</v>
      </c>
      <c r="K61" s="5">
        <v>114.5</v>
      </c>
      <c r="L61" s="5">
        <v>104.3</v>
      </c>
      <c r="M61" s="5">
        <v>117.1</v>
      </c>
      <c r="N61" s="5">
        <v>115.2</v>
      </c>
      <c r="O61" s="5">
        <v>123.1</v>
      </c>
      <c r="P61" s="5">
        <v>126.6</v>
      </c>
      <c r="Q61" s="5">
        <v>119.9</v>
      </c>
      <c r="R61" s="5">
        <v>120</v>
      </c>
      <c r="S61" s="5">
        <v>116.8</v>
      </c>
      <c r="T61" s="5">
        <v>119.6</v>
      </c>
      <c r="U61" s="5">
        <v>115.5</v>
      </c>
      <c r="V61" s="5">
        <v>114</v>
      </c>
      <c r="W61" s="5">
        <v>115.6</v>
      </c>
      <c r="X61" s="5">
        <v>113.3</v>
      </c>
      <c r="Y61" s="5">
        <v>112.8</v>
      </c>
      <c r="Z61" s="5">
        <v>112.6</v>
      </c>
      <c r="AA61" s="5">
        <v>118</v>
      </c>
      <c r="AB61" s="5">
        <v>109.9</v>
      </c>
      <c r="AC61" s="5">
        <v>113.7</v>
      </c>
      <c r="AD61" s="12">
        <v>120.3</v>
      </c>
      <c r="AE61" s="26">
        <v>1</v>
      </c>
    </row>
    <row r="62" spans="1:31">
      <c r="A62" s="11" t="s">
        <v>65</v>
      </c>
      <c r="B62" s="5">
        <v>2014</v>
      </c>
      <c r="C62" s="5" t="s">
        <v>77</v>
      </c>
      <c r="D62" s="5">
        <v>122.3</v>
      </c>
      <c r="E62" s="5">
        <v>122.4</v>
      </c>
      <c r="F62" s="5">
        <v>117.8</v>
      </c>
      <c r="G62" s="5">
        <v>122.7</v>
      </c>
      <c r="H62" s="5">
        <v>110.4</v>
      </c>
      <c r="I62" s="5">
        <v>129.80000000000001</v>
      </c>
      <c r="J62" s="5">
        <v>158.80000000000001</v>
      </c>
      <c r="K62" s="5">
        <v>115</v>
      </c>
      <c r="L62" s="5">
        <v>104.7</v>
      </c>
      <c r="M62" s="5">
        <v>114.9</v>
      </c>
      <c r="N62" s="5">
        <v>116.5</v>
      </c>
      <c r="O62" s="5">
        <v>122.6</v>
      </c>
      <c r="P62" s="5">
        <v>125.3</v>
      </c>
      <c r="Q62" s="5">
        <v>119.5</v>
      </c>
      <c r="R62" s="5">
        <v>121.7</v>
      </c>
      <c r="S62" s="5">
        <v>119.2</v>
      </c>
      <c r="T62" s="5">
        <v>121.3</v>
      </c>
      <c r="U62" s="5" t="s">
        <v>67</v>
      </c>
      <c r="V62" s="5">
        <v>115.8</v>
      </c>
      <c r="W62" s="5">
        <v>116.7</v>
      </c>
      <c r="X62" s="5">
        <v>114.5</v>
      </c>
      <c r="Y62" s="5">
        <v>112.8</v>
      </c>
      <c r="Z62" s="5">
        <v>112.6</v>
      </c>
      <c r="AA62" s="5">
        <v>116.6</v>
      </c>
      <c r="AB62" s="5">
        <v>109.1</v>
      </c>
      <c r="AC62" s="5">
        <v>113.7</v>
      </c>
      <c r="AD62" s="12">
        <v>120.9</v>
      </c>
      <c r="AE62" s="26">
        <v>1</v>
      </c>
    </row>
    <row r="63" spans="1:31">
      <c r="A63" s="11" t="s">
        <v>68</v>
      </c>
      <c r="B63" s="5">
        <v>2014</v>
      </c>
      <c r="C63" s="5" t="s">
        <v>77</v>
      </c>
      <c r="D63" s="5">
        <v>124.2</v>
      </c>
      <c r="E63" s="5">
        <v>125.4</v>
      </c>
      <c r="F63" s="5">
        <v>116.4</v>
      </c>
      <c r="G63" s="5">
        <v>122.7</v>
      </c>
      <c r="H63" s="5">
        <v>103.5</v>
      </c>
      <c r="I63" s="5">
        <v>124.5</v>
      </c>
      <c r="J63" s="5">
        <v>168.6</v>
      </c>
      <c r="K63" s="5">
        <v>116.9</v>
      </c>
      <c r="L63" s="5">
        <v>101.9</v>
      </c>
      <c r="M63" s="5">
        <v>122.9</v>
      </c>
      <c r="N63" s="5">
        <v>114.8</v>
      </c>
      <c r="O63" s="5">
        <v>125.2</v>
      </c>
      <c r="P63" s="5">
        <v>126.7</v>
      </c>
      <c r="Q63" s="5">
        <v>124.3</v>
      </c>
      <c r="R63" s="5">
        <v>119.2</v>
      </c>
      <c r="S63" s="5">
        <v>114.5</v>
      </c>
      <c r="T63" s="5">
        <v>118.4</v>
      </c>
      <c r="U63" s="5">
        <v>116.1</v>
      </c>
      <c r="V63" s="5">
        <v>111.8</v>
      </c>
      <c r="W63" s="5">
        <v>115.5</v>
      </c>
      <c r="X63" s="5">
        <v>112.3</v>
      </c>
      <c r="Y63" s="5">
        <v>111.2</v>
      </c>
      <c r="Z63" s="5">
        <v>113.4</v>
      </c>
      <c r="AA63" s="5">
        <v>120</v>
      </c>
      <c r="AB63" s="5">
        <v>110</v>
      </c>
      <c r="AC63" s="5">
        <v>113.6</v>
      </c>
      <c r="AD63" s="12">
        <v>119.2</v>
      </c>
      <c r="AE63" s="26">
        <v>1</v>
      </c>
    </row>
    <row r="64" spans="1:31">
      <c r="A64" s="11" t="s">
        <v>69</v>
      </c>
      <c r="B64" s="5">
        <v>2014</v>
      </c>
      <c r="C64" s="5" t="s">
        <v>77</v>
      </c>
      <c r="D64" s="5">
        <v>122.9</v>
      </c>
      <c r="E64" s="5">
        <v>123.5</v>
      </c>
      <c r="F64" s="5">
        <v>117.3</v>
      </c>
      <c r="G64" s="5">
        <v>122.7</v>
      </c>
      <c r="H64" s="5">
        <v>107.9</v>
      </c>
      <c r="I64" s="5">
        <v>127.3</v>
      </c>
      <c r="J64" s="5">
        <v>162.1</v>
      </c>
      <c r="K64" s="5">
        <v>115.6</v>
      </c>
      <c r="L64" s="5">
        <v>103.8</v>
      </c>
      <c r="M64" s="5">
        <v>117.6</v>
      </c>
      <c r="N64" s="5">
        <v>115.8</v>
      </c>
      <c r="O64" s="5">
        <v>123.8</v>
      </c>
      <c r="P64" s="5">
        <v>125.8</v>
      </c>
      <c r="Q64" s="5">
        <v>120.8</v>
      </c>
      <c r="R64" s="5">
        <v>120.7</v>
      </c>
      <c r="S64" s="5">
        <v>117.2</v>
      </c>
      <c r="T64" s="5">
        <v>120.1</v>
      </c>
      <c r="U64" s="5">
        <v>116.1</v>
      </c>
      <c r="V64" s="5">
        <v>114.3</v>
      </c>
      <c r="W64" s="5">
        <v>116.1</v>
      </c>
      <c r="X64" s="5">
        <v>113.7</v>
      </c>
      <c r="Y64" s="5">
        <v>112</v>
      </c>
      <c r="Z64" s="5">
        <v>113.1</v>
      </c>
      <c r="AA64" s="5">
        <v>118.6</v>
      </c>
      <c r="AB64" s="5">
        <v>109.5</v>
      </c>
      <c r="AC64" s="5">
        <v>113.7</v>
      </c>
      <c r="AD64" s="12">
        <v>120.1</v>
      </c>
      <c r="AE64" s="26">
        <v>1</v>
      </c>
    </row>
    <row r="65" spans="1:31">
      <c r="A65" s="11" t="s">
        <v>65</v>
      </c>
      <c r="B65" s="5">
        <v>2014</v>
      </c>
      <c r="C65" s="5" t="s">
        <v>78</v>
      </c>
      <c r="D65" s="5">
        <v>122.6</v>
      </c>
      <c r="E65" s="5">
        <v>122.5</v>
      </c>
      <c r="F65" s="5">
        <v>118.3</v>
      </c>
      <c r="G65" s="5">
        <v>123.2</v>
      </c>
      <c r="H65" s="5">
        <v>110.5</v>
      </c>
      <c r="I65" s="5">
        <v>128.9</v>
      </c>
      <c r="J65" s="5">
        <v>155.30000000000001</v>
      </c>
      <c r="K65" s="5">
        <v>115.5</v>
      </c>
      <c r="L65" s="5">
        <v>104</v>
      </c>
      <c r="M65" s="5">
        <v>115.3</v>
      </c>
      <c r="N65" s="5">
        <v>116.8</v>
      </c>
      <c r="O65" s="5">
        <v>123.2</v>
      </c>
      <c r="P65" s="5">
        <v>125.1</v>
      </c>
      <c r="Q65" s="5">
        <v>120</v>
      </c>
      <c r="R65" s="5">
        <v>122.7</v>
      </c>
      <c r="S65" s="5">
        <v>120.3</v>
      </c>
      <c r="T65" s="5">
        <v>122.3</v>
      </c>
      <c r="U65" s="5" t="s">
        <v>67</v>
      </c>
      <c r="V65" s="5">
        <v>116.4</v>
      </c>
      <c r="W65" s="5">
        <v>117.5</v>
      </c>
      <c r="X65" s="5">
        <v>115.3</v>
      </c>
      <c r="Y65" s="5">
        <v>112.6</v>
      </c>
      <c r="Z65" s="5">
        <v>113</v>
      </c>
      <c r="AA65" s="5">
        <v>116.9</v>
      </c>
      <c r="AB65" s="5">
        <v>109.3</v>
      </c>
      <c r="AC65" s="5">
        <v>114</v>
      </c>
      <c r="AD65" s="12">
        <v>121</v>
      </c>
      <c r="AE65" s="26">
        <v>1</v>
      </c>
    </row>
    <row r="66" spans="1:31">
      <c r="A66" s="11" t="s">
        <v>68</v>
      </c>
      <c r="B66" s="5">
        <v>2014</v>
      </c>
      <c r="C66" s="5" t="s">
        <v>78</v>
      </c>
      <c r="D66" s="5">
        <v>124.6</v>
      </c>
      <c r="E66" s="5">
        <v>126.1</v>
      </c>
      <c r="F66" s="5">
        <v>117.8</v>
      </c>
      <c r="G66" s="5">
        <v>123.1</v>
      </c>
      <c r="H66" s="5">
        <v>103.5</v>
      </c>
      <c r="I66" s="5">
        <v>123.5</v>
      </c>
      <c r="J66" s="5">
        <v>159.6</v>
      </c>
      <c r="K66" s="5">
        <v>117.4</v>
      </c>
      <c r="L66" s="5">
        <v>101.2</v>
      </c>
      <c r="M66" s="5">
        <v>123.8</v>
      </c>
      <c r="N66" s="5">
        <v>115.2</v>
      </c>
      <c r="O66" s="5">
        <v>125.9</v>
      </c>
      <c r="P66" s="5">
        <v>125.8</v>
      </c>
      <c r="Q66" s="5">
        <v>124.3</v>
      </c>
      <c r="R66" s="5">
        <v>119.6</v>
      </c>
      <c r="S66" s="5">
        <v>114.9</v>
      </c>
      <c r="T66" s="5">
        <v>118.9</v>
      </c>
      <c r="U66" s="5">
        <v>116.7</v>
      </c>
      <c r="V66" s="5">
        <v>112</v>
      </c>
      <c r="W66" s="5">
        <v>115.8</v>
      </c>
      <c r="X66" s="5">
        <v>112.6</v>
      </c>
      <c r="Y66" s="5">
        <v>111</v>
      </c>
      <c r="Z66" s="5">
        <v>113.6</v>
      </c>
      <c r="AA66" s="5">
        <v>120.2</v>
      </c>
      <c r="AB66" s="5">
        <v>110.1</v>
      </c>
      <c r="AC66" s="5">
        <v>113.7</v>
      </c>
      <c r="AD66" s="12">
        <v>119.1</v>
      </c>
      <c r="AE66" s="26">
        <v>1</v>
      </c>
    </row>
    <row r="67" spans="1:31">
      <c r="A67" s="11" t="s">
        <v>69</v>
      </c>
      <c r="B67" s="5">
        <v>2014</v>
      </c>
      <c r="C67" s="5" t="s">
        <v>78</v>
      </c>
      <c r="D67" s="5">
        <v>123.2</v>
      </c>
      <c r="E67" s="5">
        <v>123.8</v>
      </c>
      <c r="F67" s="5">
        <v>118.1</v>
      </c>
      <c r="G67" s="5">
        <v>123.2</v>
      </c>
      <c r="H67" s="5">
        <v>107.9</v>
      </c>
      <c r="I67" s="5">
        <v>126.4</v>
      </c>
      <c r="J67" s="5">
        <v>156.80000000000001</v>
      </c>
      <c r="K67" s="5">
        <v>116.1</v>
      </c>
      <c r="L67" s="5">
        <v>103.1</v>
      </c>
      <c r="M67" s="5">
        <v>118.1</v>
      </c>
      <c r="N67" s="5">
        <v>116.1</v>
      </c>
      <c r="O67" s="5">
        <v>124.5</v>
      </c>
      <c r="P67" s="5">
        <v>125.4</v>
      </c>
      <c r="Q67" s="5">
        <v>121.1</v>
      </c>
      <c r="R67" s="5">
        <v>121.5</v>
      </c>
      <c r="S67" s="5">
        <v>118.1</v>
      </c>
      <c r="T67" s="5">
        <v>121</v>
      </c>
      <c r="U67" s="5">
        <v>116.7</v>
      </c>
      <c r="V67" s="5">
        <v>114.7</v>
      </c>
      <c r="W67" s="5">
        <v>116.7</v>
      </c>
      <c r="X67" s="5">
        <v>114.3</v>
      </c>
      <c r="Y67" s="5">
        <v>111.8</v>
      </c>
      <c r="Z67" s="5">
        <v>113.3</v>
      </c>
      <c r="AA67" s="5">
        <v>118.8</v>
      </c>
      <c r="AB67" s="5">
        <v>109.6</v>
      </c>
      <c r="AC67" s="5">
        <v>113.9</v>
      </c>
      <c r="AD67" s="12">
        <v>120.1</v>
      </c>
      <c r="AE67" s="26">
        <v>1</v>
      </c>
    </row>
    <row r="68" spans="1:31">
      <c r="A68" s="11" t="s">
        <v>65</v>
      </c>
      <c r="B68" s="5">
        <v>2014</v>
      </c>
      <c r="C68" s="5" t="s">
        <v>79</v>
      </c>
      <c r="D68" s="5">
        <v>122.7</v>
      </c>
      <c r="E68" s="5">
        <v>122.6</v>
      </c>
      <c r="F68" s="5">
        <v>119.9</v>
      </c>
      <c r="G68" s="5">
        <v>124</v>
      </c>
      <c r="H68" s="5">
        <v>110.5</v>
      </c>
      <c r="I68" s="5">
        <v>128.80000000000001</v>
      </c>
      <c r="J68" s="5">
        <v>152</v>
      </c>
      <c r="K68" s="5">
        <v>116.2</v>
      </c>
      <c r="L68" s="5">
        <v>103.3</v>
      </c>
      <c r="M68" s="5">
        <v>115.8</v>
      </c>
      <c r="N68" s="5">
        <v>116.8</v>
      </c>
      <c r="O68" s="5">
        <v>124.5</v>
      </c>
      <c r="P68" s="5">
        <v>124.9</v>
      </c>
      <c r="Q68" s="5">
        <v>120.8</v>
      </c>
      <c r="R68" s="5">
        <v>123.3</v>
      </c>
      <c r="S68" s="5">
        <v>120.5</v>
      </c>
      <c r="T68" s="5">
        <v>122.9</v>
      </c>
      <c r="U68" s="5" t="s">
        <v>67</v>
      </c>
      <c r="V68" s="5">
        <v>117.3</v>
      </c>
      <c r="W68" s="5">
        <v>118.1</v>
      </c>
      <c r="X68" s="5">
        <v>115.9</v>
      </c>
      <c r="Y68" s="5">
        <v>112</v>
      </c>
      <c r="Z68" s="5">
        <v>113.3</v>
      </c>
      <c r="AA68" s="5">
        <v>117.2</v>
      </c>
      <c r="AB68" s="5">
        <v>108.8</v>
      </c>
      <c r="AC68" s="5">
        <v>114.1</v>
      </c>
      <c r="AD68" s="12">
        <v>121.1</v>
      </c>
      <c r="AE68" s="26">
        <v>1</v>
      </c>
    </row>
    <row r="69" spans="1:31">
      <c r="A69" s="11" t="s">
        <v>68</v>
      </c>
      <c r="B69" s="5">
        <v>2014</v>
      </c>
      <c r="C69" s="5" t="s">
        <v>79</v>
      </c>
      <c r="D69" s="5">
        <v>124.5</v>
      </c>
      <c r="E69" s="5">
        <v>125.6</v>
      </c>
      <c r="F69" s="5">
        <v>122.7</v>
      </c>
      <c r="G69" s="5">
        <v>124.6</v>
      </c>
      <c r="H69" s="5">
        <v>103.2</v>
      </c>
      <c r="I69" s="5">
        <v>122.2</v>
      </c>
      <c r="J69" s="5">
        <v>153.19999999999999</v>
      </c>
      <c r="K69" s="5">
        <v>119.3</v>
      </c>
      <c r="L69" s="5">
        <v>99.8</v>
      </c>
      <c r="M69" s="5">
        <v>124.6</v>
      </c>
      <c r="N69" s="5">
        <v>115.8</v>
      </c>
      <c r="O69" s="5">
        <v>126.9</v>
      </c>
      <c r="P69" s="5">
        <v>125.4</v>
      </c>
      <c r="Q69" s="5">
        <v>125.8</v>
      </c>
      <c r="R69" s="5">
        <v>120.3</v>
      </c>
      <c r="S69" s="5">
        <v>115.4</v>
      </c>
      <c r="T69" s="5">
        <v>119.5</v>
      </c>
      <c r="U69" s="5">
        <v>117.1</v>
      </c>
      <c r="V69" s="5">
        <v>112.6</v>
      </c>
      <c r="W69" s="5">
        <v>116.4</v>
      </c>
      <c r="X69" s="5">
        <v>113</v>
      </c>
      <c r="Y69" s="5">
        <v>109.7</v>
      </c>
      <c r="Z69" s="5">
        <v>114</v>
      </c>
      <c r="AA69" s="5">
        <v>120.3</v>
      </c>
      <c r="AB69" s="5">
        <v>109.6</v>
      </c>
      <c r="AC69" s="5">
        <v>113.4</v>
      </c>
      <c r="AD69" s="12">
        <v>119</v>
      </c>
      <c r="AE69" s="26">
        <v>1</v>
      </c>
    </row>
    <row r="70" spans="1:31">
      <c r="A70" s="11" t="s">
        <v>69</v>
      </c>
      <c r="B70" s="5">
        <v>2014</v>
      </c>
      <c r="C70" s="5" t="s">
        <v>79</v>
      </c>
      <c r="D70" s="5">
        <v>123.3</v>
      </c>
      <c r="E70" s="5">
        <v>123.7</v>
      </c>
      <c r="F70" s="5">
        <v>121</v>
      </c>
      <c r="G70" s="5">
        <v>124.2</v>
      </c>
      <c r="H70" s="5">
        <v>107.8</v>
      </c>
      <c r="I70" s="5">
        <v>125.7</v>
      </c>
      <c r="J70" s="5">
        <v>152.4</v>
      </c>
      <c r="K70" s="5">
        <v>117.2</v>
      </c>
      <c r="L70" s="5">
        <v>102.1</v>
      </c>
      <c r="M70" s="5">
        <v>118.7</v>
      </c>
      <c r="N70" s="5">
        <v>116.4</v>
      </c>
      <c r="O70" s="5">
        <v>125.6</v>
      </c>
      <c r="P70" s="5">
        <v>125.1</v>
      </c>
      <c r="Q70" s="5">
        <v>122.1</v>
      </c>
      <c r="R70" s="5">
        <v>122.1</v>
      </c>
      <c r="S70" s="5">
        <v>118.4</v>
      </c>
      <c r="T70" s="5">
        <v>121.6</v>
      </c>
      <c r="U70" s="5">
        <v>117.1</v>
      </c>
      <c r="V70" s="5">
        <v>115.5</v>
      </c>
      <c r="W70" s="5">
        <v>117.3</v>
      </c>
      <c r="X70" s="5">
        <v>114.8</v>
      </c>
      <c r="Y70" s="5">
        <v>110.8</v>
      </c>
      <c r="Z70" s="5">
        <v>113.7</v>
      </c>
      <c r="AA70" s="5">
        <v>119</v>
      </c>
      <c r="AB70" s="5">
        <v>109.1</v>
      </c>
      <c r="AC70" s="5">
        <v>113.8</v>
      </c>
      <c r="AD70" s="12">
        <v>120.1</v>
      </c>
      <c r="AE70" s="26">
        <v>1</v>
      </c>
    </row>
    <row r="71" spans="1:31">
      <c r="A71" s="11" t="s">
        <v>65</v>
      </c>
      <c r="B71" s="5">
        <v>2014</v>
      </c>
      <c r="C71" s="5" t="s">
        <v>80</v>
      </c>
      <c r="D71" s="5">
        <v>122.4</v>
      </c>
      <c r="E71" s="5">
        <v>122.4</v>
      </c>
      <c r="F71" s="5">
        <v>121.8</v>
      </c>
      <c r="G71" s="5">
        <v>124.2</v>
      </c>
      <c r="H71" s="5">
        <v>110.2</v>
      </c>
      <c r="I71" s="5">
        <v>128.6</v>
      </c>
      <c r="J71" s="5">
        <v>140.30000000000001</v>
      </c>
      <c r="K71" s="5">
        <v>116.3</v>
      </c>
      <c r="L71" s="5">
        <v>102</v>
      </c>
      <c r="M71" s="5">
        <v>116</v>
      </c>
      <c r="N71" s="5">
        <v>117.3</v>
      </c>
      <c r="O71" s="5">
        <v>124.8</v>
      </c>
      <c r="P71" s="5">
        <v>123.3</v>
      </c>
      <c r="Q71" s="5">
        <v>121.7</v>
      </c>
      <c r="R71" s="5">
        <v>123.8</v>
      </c>
      <c r="S71" s="5">
        <v>120.6</v>
      </c>
      <c r="T71" s="5">
        <v>123.3</v>
      </c>
      <c r="U71" s="5" t="s">
        <v>67</v>
      </c>
      <c r="V71" s="5">
        <v>117.4</v>
      </c>
      <c r="W71" s="5">
        <v>118.2</v>
      </c>
      <c r="X71" s="5">
        <v>116.2</v>
      </c>
      <c r="Y71" s="5">
        <v>111.5</v>
      </c>
      <c r="Z71" s="5">
        <v>113.3</v>
      </c>
      <c r="AA71" s="5">
        <v>117.7</v>
      </c>
      <c r="AB71" s="5">
        <v>109.4</v>
      </c>
      <c r="AC71" s="5">
        <v>114.2</v>
      </c>
      <c r="AD71" s="12">
        <v>120.3</v>
      </c>
      <c r="AE71" s="26">
        <v>1</v>
      </c>
    </row>
    <row r="72" spans="1:31">
      <c r="A72" s="11" t="s">
        <v>68</v>
      </c>
      <c r="B72" s="5">
        <v>2014</v>
      </c>
      <c r="C72" s="5" t="s">
        <v>80</v>
      </c>
      <c r="D72" s="5">
        <v>124</v>
      </c>
      <c r="E72" s="5">
        <v>124.7</v>
      </c>
      <c r="F72" s="5">
        <v>126.3</v>
      </c>
      <c r="G72" s="5">
        <v>124.9</v>
      </c>
      <c r="H72" s="5">
        <v>103</v>
      </c>
      <c r="I72" s="5">
        <v>122.3</v>
      </c>
      <c r="J72" s="5">
        <v>141</v>
      </c>
      <c r="K72" s="5">
        <v>120.1</v>
      </c>
      <c r="L72" s="5">
        <v>97.8</v>
      </c>
      <c r="M72" s="5">
        <v>125.4</v>
      </c>
      <c r="N72" s="5">
        <v>116.1</v>
      </c>
      <c r="O72" s="5">
        <v>127.6</v>
      </c>
      <c r="P72" s="5">
        <v>124</v>
      </c>
      <c r="Q72" s="5">
        <v>126.4</v>
      </c>
      <c r="R72" s="5">
        <v>120.7</v>
      </c>
      <c r="S72" s="5">
        <v>115.8</v>
      </c>
      <c r="T72" s="5">
        <v>120</v>
      </c>
      <c r="U72" s="5">
        <v>116.5</v>
      </c>
      <c r="V72" s="5">
        <v>113</v>
      </c>
      <c r="W72" s="5">
        <v>116.8</v>
      </c>
      <c r="X72" s="5">
        <v>113.2</v>
      </c>
      <c r="Y72" s="5">
        <v>108.8</v>
      </c>
      <c r="Z72" s="5">
        <v>114.3</v>
      </c>
      <c r="AA72" s="5">
        <v>120.7</v>
      </c>
      <c r="AB72" s="5">
        <v>110.4</v>
      </c>
      <c r="AC72" s="5">
        <v>113.4</v>
      </c>
      <c r="AD72" s="12">
        <v>118.4</v>
      </c>
      <c r="AE72" s="26">
        <v>1</v>
      </c>
    </row>
    <row r="73" spans="1:31">
      <c r="A73" s="11" t="s">
        <v>69</v>
      </c>
      <c r="B73" s="5">
        <v>2014</v>
      </c>
      <c r="C73" s="5" t="s">
        <v>80</v>
      </c>
      <c r="D73" s="5">
        <v>122.9</v>
      </c>
      <c r="E73" s="5">
        <v>123.2</v>
      </c>
      <c r="F73" s="5">
        <v>123.5</v>
      </c>
      <c r="G73" s="5">
        <v>124.5</v>
      </c>
      <c r="H73" s="5">
        <v>107.6</v>
      </c>
      <c r="I73" s="5">
        <v>125.7</v>
      </c>
      <c r="J73" s="5">
        <v>140.5</v>
      </c>
      <c r="K73" s="5">
        <v>117.6</v>
      </c>
      <c r="L73" s="5">
        <v>100.6</v>
      </c>
      <c r="M73" s="5">
        <v>119.1</v>
      </c>
      <c r="N73" s="5">
        <v>116.8</v>
      </c>
      <c r="O73" s="5">
        <v>126.1</v>
      </c>
      <c r="P73" s="5">
        <v>123.6</v>
      </c>
      <c r="Q73" s="5">
        <v>123</v>
      </c>
      <c r="R73" s="5">
        <v>122.6</v>
      </c>
      <c r="S73" s="5">
        <v>118.6</v>
      </c>
      <c r="T73" s="5">
        <v>122</v>
      </c>
      <c r="U73" s="5">
        <v>116.5</v>
      </c>
      <c r="V73" s="5">
        <v>115.7</v>
      </c>
      <c r="W73" s="5">
        <v>117.5</v>
      </c>
      <c r="X73" s="5">
        <v>115.1</v>
      </c>
      <c r="Y73" s="5">
        <v>110.1</v>
      </c>
      <c r="Z73" s="5">
        <v>113.9</v>
      </c>
      <c r="AA73" s="5">
        <v>119.5</v>
      </c>
      <c r="AB73" s="5">
        <v>109.8</v>
      </c>
      <c r="AC73" s="5">
        <v>113.8</v>
      </c>
      <c r="AD73" s="12">
        <v>119.4</v>
      </c>
      <c r="AE73" s="26">
        <v>1</v>
      </c>
    </row>
    <row r="74" spans="1:31">
      <c r="A74" s="11" t="s">
        <v>65</v>
      </c>
      <c r="B74" s="5">
        <v>2015</v>
      </c>
      <c r="C74" s="5" t="s">
        <v>66</v>
      </c>
      <c r="D74" s="5">
        <v>123.1</v>
      </c>
      <c r="E74" s="5">
        <v>123.1</v>
      </c>
      <c r="F74" s="5">
        <v>122.1</v>
      </c>
      <c r="G74" s="5">
        <v>124.9</v>
      </c>
      <c r="H74" s="5">
        <v>111</v>
      </c>
      <c r="I74" s="5">
        <v>130.4</v>
      </c>
      <c r="J74" s="5">
        <v>132.30000000000001</v>
      </c>
      <c r="K74" s="5">
        <v>117.2</v>
      </c>
      <c r="L74" s="5">
        <v>100.5</v>
      </c>
      <c r="M74" s="5">
        <v>117.2</v>
      </c>
      <c r="N74" s="5">
        <v>117.9</v>
      </c>
      <c r="O74" s="5">
        <v>125.6</v>
      </c>
      <c r="P74" s="5">
        <v>122.8</v>
      </c>
      <c r="Q74" s="5">
        <v>122.7</v>
      </c>
      <c r="R74" s="5">
        <v>124.4</v>
      </c>
      <c r="S74" s="5">
        <v>121.6</v>
      </c>
      <c r="T74" s="5">
        <v>124</v>
      </c>
      <c r="U74" s="5" t="s">
        <v>67</v>
      </c>
      <c r="V74" s="5">
        <v>118.4</v>
      </c>
      <c r="W74" s="5">
        <v>118.9</v>
      </c>
      <c r="X74" s="5">
        <v>116.6</v>
      </c>
      <c r="Y74" s="5">
        <v>111</v>
      </c>
      <c r="Z74" s="5">
        <v>114</v>
      </c>
      <c r="AA74" s="5">
        <v>118.2</v>
      </c>
      <c r="AB74" s="5">
        <v>110.2</v>
      </c>
      <c r="AC74" s="5">
        <v>114.5</v>
      </c>
      <c r="AD74" s="12">
        <v>120.3</v>
      </c>
      <c r="AE74" s="26">
        <v>1</v>
      </c>
    </row>
    <row r="75" spans="1:31">
      <c r="A75" s="11" t="s">
        <v>68</v>
      </c>
      <c r="B75" s="5">
        <v>2015</v>
      </c>
      <c r="C75" s="5" t="s">
        <v>66</v>
      </c>
      <c r="D75" s="5">
        <v>124</v>
      </c>
      <c r="E75" s="5">
        <v>125.5</v>
      </c>
      <c r="F75" s="5">
        <v>126.6</v>
      </c>
      <c r="G75" s="5">
        <v>125.2</v>
      </c>
      <c r="H75" s="5">
        <v>104.3</v>
      </c>
      <c r="I75" s="5">
        <v>121.3</v>
      </c>
      <c r="J75" s="5">
        <v>134.4</v>
      </c>
      <c r="K75" s="5">
        <v>122.9</v>
      </c>
      <c r="L75" s="5">
        <v>96.1</v>
      </c>
      <c r="M75" s="5">
        <v>126.6</v>
      </c>
      <c r="N75" s="5">
        <v>116.5</v>
      </c>
      <c r="O75" s="5">
        <v>128</v>
      </c>
      <c r="P75" s="5">
        <v>123.5</v>
      </c>
      <c r="Q75" s="5">
        <v>127.4</v>
      </c>
      <c r="R75" s="5">
        <v>121</v>
      </c>
      <c r="S75" s="5">
        <v>116.1</v>
      </c>
      <c r="T75" s="5">
        <v>120.2</v>
      </c>
      <c r="U75" s="5">
        <v>117.3</v>
      </c>
      <c r="V75" s="5">
        <v>113.4</v>
      </c>
      <c r="W75" s="5">
        <v>117.2</v>
      </c>
      <c r="X75" s="5">
        <v>113.7</v>
      </c>
      <c r="Y75" s="5">
        <v>107.9</v>
      </c>
      <c r="Z75" s="5">
        <v>114.6</v>
      </c>
      <c r="AA75" s="5">
        <v>120.8</v>
      </c>
      <c r="AB75" s="5">
        <v>111.4</v>
      </c>
      <c r="AC75" s="5">
        <v>113.4</v>
      </c>
      <c r="AD75" s="12">
        <v>118.5</v>
      </c>
      <c r="AE75" s="26">
        <v>1</v>
      </c>
    </row>
    <row r="76" spans="1:31">
      <c r="A76" s="11" t="s">
        <v>69</v>
      </c>
      <c r="B76" s="5">
        <v>2015</v>
      </c>
      <c r="C76" s="5" t="s">
        <v>66</v>
      </c>
      <c r="D76" s="5">
        <v>123.4</v>
      </c>
      <c r="E76" s="5">
        <v>123.9</v>
      </c>
      <c r="F76" s="5">
        <v>123.8</v>
      </c>
      <c r="G76" s="5">
        <v>125</v>
      </c>
      <c r="H76" s="5">
        <v>108.5</v>
      </c>
      <c r="I76" s="5">
        <v>126.2</v>
      </c>
      <c r="J76" s="5">
        <v>133</v>
      </c>
      <c r="K76" s="5">
        <v>119.1</v>
      </c>
      <c r="L76" s="5">
        <v>99</v>
      </c>
      <c r="M76" s="5">
        <v>120.3</v>
      </c>
      <c r="N76" s="5">
        <v>117.3</v>
      </c>
      <c r="O76" s="5">
        <v>126.7</v>
      </c>
      <c r="P76" s="5">
        <v>123.1</v>
      </c>
      <c r="Q76" s="5">
        <v>124</v>
      </c>
      <c r="R76" s="5">
        <v>123.1</v>
      </c>
      <c r="S76" s="5">
        <v>119.3</v>
      </c>
      <c r="T76" s="5">
        <v>122.5</v>
      </c>
      <c r="U76" s="5">
        <v>117.3</v>
      </c>
      <c r="V76" s="5">
        <v>116.5</v>
      </c>
      <c r="W76" s="5">
        <v>118.1</v>
      </c>
      <c r="X76" s="5">
        <v>115.5</v>
      </c>
      <c r="Y76" s="5">
        <v>109.4</v>
      </c>
      <c r="Z76" s="5">
        <v>114.3</v>
      </c>
      <c r="AA76" s="5">
        <v>119.7</v>
      </c>
      <c r="AB76" s="5">
        <v>110.7</v>
      </c>
      <c r="AC76" s="5">
        <v>114</v>
      </c>
      <c r="AD76" s="12">
        <v>119.5</v>
      </c>
      <c r="AE76" s="26">
        <v>1</v>
      </c>
    </row>
    <row r="77" spans="1:31">
      <c r="A77" s="11" t="s">
        <v>65</v>
      </c>
      <c r="B77" s="5">
        <v>2015</v>
      </c>
      <c r="C77" s="5" t="s">
        <v>70</v>
      </c>
      <c r="D77" s="5">
        <v>123.4</v>
      </c>
      <c r="E77" s="5">
        <v>124.4</v>
      </c>
      <c r="F77" s="5">
        <v>122.1</v>
      </c>
      <c r="G77" s="5">
        <v>125.8</v>
      </c>
      <c r="H77" s="5">
        <v>111.5</v>
      </c>
      <c r="I77" s="5">
        <v>129.4</v>
      </c>
      <c r="J77" s="5">
        <v>128.19999999999999</v>
      </c>
      <c r="K77" s="5">
        <v>118.8</v>
      </c>
      <c r="L77" s="5">
        <v>100</v>
      </c>
      <c r="M77" s="5">
        <v>118.6</v>
      </c>
      <c r="N77" s="5">
        <v>118.8</v>
      </c>
      <c r="O77" s="5">
        <v>126.8</v>
      </c>
      <c r="P77" s="5">
        <v>122.8</v>
      </c>
      <c r="Q77" s="5">
        <v>124.2</v>
      </c>
      <c r="R77" s="5">
        <v>125.4</v>
      </c>
      <c r="S77" s="5">
        <v>122.7</v>
      </c>
      <c r="T77" s="5">
        <v>125</v>
      </c>
      <c r="U77" s="5" t="s">
        <v>67</v>
      </c>
      <c r="V77" s="5">
        <v>120</v>
      </c>
      <c r="W77" s="5">
        <v>119.6</v>
      </c>
      <c r="X77" s="5">
        <v>117.7</v>
      </c>
      <c r="Y77" s="5">
        <v>110.9</v>
      </c>
      <c r="Z77" s="5">
        <v>114.8</v>
      </c>
      <c r="AA77" s="5">
        <v>118.7</v>
      </c>
      <c r="AB77" s="5">
        <v>110.8</v>
      </c>
      <c r="AC77" s="5">
        <v>115</v>
      </c>
      <c r="AD77" s="12">
        <v>120.6</v>
      </c>
      <c r="AE77" s="26">
        <v>1</v>
      </c>
    </row>
    <row r="78" spans="1:31">
      <c r="A78" s="11" t="s">
        <v>68</v>
      </c>
      <c r="B78" s="5">
        <v>2015</v>
      </c>
      <c r="C78" s="5" t="s">
        <v>70</v>
      </c>
      <c r="D78" s="5">
        <v>124.3</v>
      </c>
      <c r="E78" s="5">
        <v>126.5</v>
      </c>
      <c r="F78" s="5">
        <v>119.5</v>
      </c>
      <c r="G78" s="5">
        <v>125.6</v>
      </c>
      <c r="H78" s="5">
        <v>104.9</v>
      </c>
      <c r="I78" s="5">
        <v>121.6</v>
      </c>
      <c r="J78" s="5">
        <v>131.80000000000001</v>
      </c>
      <c r="K78" s="5">
        <v>125.1</v>
      </c>
      <c r="L78" s="5">
        <v>95</v>
      </c>
      <c r="M78" s="5">
        <v>127.7</v>
      </c>
      <c r="N78" s="5">
        <v>116.8</v>
      </c>
      <c r="O78" s="5">
        <v>128.6</v>
      </c>
      <c r="P78" s="5">
        <v>123.7</v>
      </c>
      <c r="Q78" s="5">
        <v>128.1</v>
      </c>
      <c r="R78" s="5">
        <v>121.3</v>
      </c>
      <c r="S78" s="5">
        <v>116.5</v>
      </c>
      <c r="T78" s="5">
        <v>120.6</v>
      </c>
      <c r="U78" s="5">
        <v>118.1</v>
      </c>
      <c r="V78" s="5">
        <v>114</v>
      </c>
      <c r="W78" s="5">
        <v>117.7</v>
      </c>
      <c r="X78" s="5">
        <v>114.1</v>
      </c>
      <c r="Y78" s="5">
        <v>106.8</v>
      </c>
      <c r="Z78" s="5">
        <v>114.9</v>
      </c>
      <c r="AA78" s="5">
        <v>120.4</v>
      </c>
      <c r="AB78" s="5">
        <v>111.7</v>
      </c>
      <c r="AC78" s="5">
        <v>113.2</v>
      </c>
      <c r="AD78" s="12">
        <v>118.7</v>
      </c>
      <c r="AE78" s="26">
        <v>1</v>
      </c>
    </row>
    <row r="79" spans="1:31">
      <c r="A79" s="11" t="s">
        <v>69</v>
      </c>
      <c r="B79" s="5">
        <v>2015</v>
      </c>
      <c r="C79" s="5" t="s">
        <v>70</v>
      </c>
      <c r="D79" s="5">
        <v>123.7</v>
      </c>
      <c r="E79" s="5">
        <v>125.1</v>
      </c>
      <c r="F79" s="5">
        <v>121.1</v>
      </c>
      <c r="G79" s="5">
        <v>125.7</v>
      </c>
      <c r="H79" s="5">
        <v>109.1</v>
      </c>
      <c r="I79" s="5">
        <v>125.8</v>
      </c>
      <c r="J79" s="5">
        <v>129.4</v>
      </c>
      <c r="K79" s="5">
        <v>120.9</v>
      </c>
      <c r="L79" s="5">
        <v>98.3</v>
      </c>
      <c r="M79" s="5">
        <v>121.6</v>
      </c>
      <c r="N79" s="5">
        <v>118</v>
      </c>
      <c r="O79" s="5">
        <v>127.6</v>
      </c>
      <c r="P79" s="5">
        <v>123.1</v>
      </c>
      <c r="Q79" s="5">
        <v>125.2</v>
      </c>
      <c r="R79" s="5">
        <v>123.8</v>
      </c>
      <c r="S79" s="5">
        <v>120.1</v>
      </c>
      <c r="T79" s="5">
        <v>123.3</v>
      </c>
      <c r="U79" s="5">
        <v>118.1</v>
      </c>
      <c r="V79" s="5">
        <v>117.7</v>
      </c>
      <c r="W79" s="5">
        <v>118.7</v>
      </c>
      <c r="X79" s="5">
        <v>116.3</v>
      </c>
      <c r="Y79" s="5">
        <v>108.7</v>
      </c>
      <c r="Z79" s="5">
        <v>114.9</v>
      </c>
      <c r="AA79" s="5">
        <v>119.7</v>
      </c>
      <c r="AB79" s="5">
        <v>111.2</v>
      </c>
      <c r="AC79" s="5">
        <v>114.1</v>
      </c>
      <c r="AD79" s="12">
        <v>119.7</v>
      </c>
      <c r="AE79" s="26">
        <v>1</v>
      </c>
    </row>
    <row r="80" spans="1:31">
      <c r="A80" s="11" t="s">
        <v>65</v>
      </c>
      <c r="B80" s="5">
        <v>2015</v>
      </c>
      <c r="C80" s="5" t="s">
        <v>71</v>
      </c>
      <c r="D80" s="5">
        <v>123.3</v>
      </c>
      <c r="E80" s="5">
        <v>124.7</v>
      </c>
      <c r="F80" s="5">
        <v>118.9</v>
      </c>
      <c r="G80" s="5">
        <v>126</v>
      </c>
      <c r="H80" s="5">
        <v>111.8</v>
      </c>
      <c r="I80" s="5">
        <v>130.9</v>
      </c>
      <c r="J80" s="5">
        <v>128</v>
      </c>
      <c r="K80" s="5">
        <v>119.9</v>
      </c>
      <c r="L80" s="5">
        <v>98.9</v>
      </c>
      <c r="M80" s="5">
        <v>119.4</v>
      </c>
      <c r="N80" s="5">
        <v>118.9</v>
      </c>
      <c r="O80" s="5">
        <v>127.7</v>
      </c>
      <c r="P80" s="5">
        <v>123.1</v>
      </c>
      <c r="Q80" s="5">
        <v>124.7</v>
      </c>
      <c r="R80" s="5">
        <v>126</v>
      </c>
      <c r="S80" s="5">
        <v>122.9</v>
      </c>
      <c r="T80" s="5">
        <v>125.5</v>
      </c>
      <c r="U80" s="5" t="s">
        <v>67</v>
      </c>
      <c r="V80" s="5">
        <v>120.6</v>
      </c>
      <c r="W80" s="5">
        <v>120.2</v>
      </c>
      <c r="X80" s="5">
        <v>118.2</v>
      </c>
      <c r="Y80" s="5">
        <v>111.6</v>
      </c>
      <c r="Z80" s="5">
        <v>115.5</v>
      </c>
      <c r="AA80" s="5">
        <v>119.4</v>
      </c>
      <c r="AB80" s="5">
        <v>110.8</v>
      </c>
      <c r="AC80" s="5">
        <v>115.5</v>
      </c>
      <c r="AD80" s="12">
        <v>121.1</v>
      </c>
      <c r="AE80" s="26">
        <v>1</v>
      </c>
    </row>
    <row r="81" spans="1:31">
      <c r="A81" s="11" t="s">
        <v>68</v>
      </c>
      <c r="B81" s="5">
        <v>2015</v>
      </c>
      <c r="C81" s="5" t="s">
        <v>71</v>
      </c>
      <c r="D81" s="5">
        <v>124</v>
      </c>
      <c r="E81" s="5">
        <v>126.7</v>
      </c>
      <c r="F81" s="5">
        <v>113.5</v>
      </c>
      <c r="G81" s="5">
        <v>125.9</v>
      </c>
      <c r="H81" s="5">
        <v>104.8</v>
      </c>
      <c r="I81" s="5">
        <v>123.8</v>
      </c>
      <c r="J81" s="5">
        <v>131.4</v>
      </c>
      <c r="K81" s="5">
        <v>127.2</v>
      </c>
      <c r="L81" s="5">
        <v>93.2</v>
      </c>
      <c r="M81" s="5">
        <v>127.4</v>
      </c>
      <c r="N81" s="5">
        <v>117</v>
      </c>
      <c r="O81" s="5">
        <v>129.19999999999999</v>
      </c>
      <c r="P81" s="5">
        <v>123.9</v>
      </c>
      <c r="Q81" s="5">
        <v>128.80000000000001</v>
      </c>
      <c r="R81" s="5">
        <v>121.7</v>
      </c>
      <c r="S81" s="5">
        <v>116.9</v>
      </c>
      <c r="T81" s="5">
        <v>120.9</v>
      </c>
      <c r="U81" s="5">
        <v>118.6</v>
      </c>
      <c r="V81" s="5">
        <v>114.4</v>
      </c>
      <c r="W81" s="5">
        <v>118</v>
      </c>
      <c r="X81" s="5">
        <v>114.3</v>
      </c>
      <c r="Y81" s="5">
        <v>108.4</v>
      </c>
      <c r="Z81" s="5">
        <v>115.4</v>
      </c>
      <c r="AA81" s="5">
        <v>120.6</v>
      </c>
      <c r="AB81" s="5">
        <v>111.3</v>
      </c>
      <c r="AC81" s="5">
        <v>113.8</v>
      </c>
      <c r="AD81" s="12">
        <v>119.1</v>
      </c>
      <c r="AE81" s="26">
        <v>1</v>
      </c>
    </row>
    <row r="82" spans="1:31">
      <c r="A82" s="11" t="s">
        <v>69</v>
      </c>
      <c r="B82" s="5">
        <v>2015</v>
      </c>
      <c r="C82" s="5" t="s">
        <v>71</v>
      </c>
      <c r="D82" s="5">
        <v>123.5</v>
      </c>
      <c r="E82" s="5">
        <v>125.4</v>
      </c>
      <c r="F82" s="5">
        <v>116.8</v>
      </c>
      <c r="G82" s="5">
        <v>126</v>
      </c>
      <c r="H82" s="5">
        <v>109.2</v>
      </c>
      <c r="I82" s="5">
        <v>127.6</v>
      </c>
      <c r="J82" s="5">
        <v>129.19999999999999</v>
      </c>
      <c r="K82" s="5">
        <v>122.4</v>
      </c>
      <c r="L82" s="5">
        <v>97</v>
      </c>
      <c r="M82" s="5">
        <v>122.1</v>
      </c>
      <c r="N82" s="5">
        <v>118.1</v>
      </c>
      <c r="O82" s="5">
        <v>128.4</v>
      </c>
      <c r="P82" s="5">
        <v>123.4</v>
      </c>
      <c r="Q82" s="5">
        <v>125.8</v>
      </c>
      <c r="R82" s="5">
        <v>124.3</v>
      </c>
      <c r="S82" s="5">
        <v>120.4</v>
      </c>
      <c r="T82" s="5">
        <v>123.7</v>
      </c>
      <c r="U82" s="5">
        <v>118.6</v>
      </c>
      <c r="V82" s="5">
        <v>118.3</v>
      </c>
      <c r="W82" s="5">
        <v>119.2</v>
      </c>
      <c r="X82" s="5">
        <v>116.7</v>
      </c>
      <c r="Y82" s="5">
        <v>109.9</v>
      </c>
      <c r="Z82" s="5">
        <v>115.4</v>
      </c>
      <c r="AA82" s="5">
        <v>120.1</v>
      </c>
      <c r="AB82" s="5">
        <v>111</v>
      </c>
      <c r="AC82" s="5">
        <v>114.7</v>
      </c>
      <c r="AD82" s="12">
        <v>120.2</v>
      </c>
      <c r="AE82" s="26">
        <v>1</v>
      </c>
    </row>
    <row r="83" spans="1:31">
      <c r="A83" s="11" t="s">
        <v>65</v>
      </c>
      <c r="B83" s="5">
        <v>2015</v>
      </c>
      <c r="C83" s="5" t="s">
        <v>72</v>
      </c>
      <c r="D83" s="5">
        <v>123.3</v>
      </c>
      <c r="E83" s="5">
        <v>125.5</v>
      </c>
      <c r="F83" s="5">
        <v>117.2</v>
      </c>
      <c r="G83" s="5">
        <v>126.8</v>
      </c>
      <c r="H83" s="5">
        <v>111.9</v>
      </c>
      <c r="I83" s="5">
        <v>134.19999999999999</v>
      </c>
      <c r="J83" s="5">
        <v>127.5</v>
      </c>
      <c r="K83" s="5">
        <v>121.5</v>
      </c>
      <c r="L83" s="5">
        <v>97.8</v>
      </c>
      <c r="M83" s="5">
        <v>119.8</v>
      </c>
      <c r="N83" s="5">
        <v>119.4</v>
      </c>
      <c r="O83" s="5">
        <v>128.69999999999999</v>
      </c>
      <c r="P83" s="5">
        <v>123.6</v>
      </c>
      <c r="Q83" s="5">
        <v>125.7</v>
      </c>
      <c r="R83" s="5">
        <v>126.4</v>
      </c>
      <c r="S83" s="5">
        <v>123.3</v>
      </c>
      <c r="T83" s="5">
        <v>126</v>
      </c>
      <c r="U83" s="5" t="s">
        <v>67</v>
      </c>
      <c r="V83" s="5">
        <v>121.2</v>
      </c>
      <c r="W83" s="5">
        <v>120.9</v>
      </c>
      <c r="X83" s="5">
        <v>118.6</v>
      </c>
      <c r="Y83" s="5">
        <v>111.9</v>
      </c>
      <c r="Z83" s="5">
        <v>116.2</v>
      </c>
      <c r="AA83" s="5">
        <v>119.9</v>
      </c>
      <c r="AB83" s="5">
        <v>111.6</v>
      </c>
      <c r="AC83" s="5">
        <v>116</v>
      </c>
      <c r="AD83" s="12">
        <v>121.5</v>
      </c>
      <c r="AE83" s="26">
        <v>1</v>
      </c>
    </row>
    <row r="84" spans="1:31">
      <c r="A84" s="11" t="s">
        <v>68</v>
      </c>
      <c r="B84" s="5">
        <v>2015</v>
      </c>
      <c r="C84" s="5" t="s">
        <v>72</v>
      </c>
      <c r="D84" s="5">
        <v>123.8</v>
      </c>
      <c r="E84" s="5">
        <v>128.19999999999999</v>
      </c>
      <c r="F84" s="5">
        <v>110</v>
      </c>
      <c r="G84" s="5">
        <v>126.3</v>
      </c>
      <c r="H84" s="5">
        <v>104.5</v>
      </c>
      <c r="I84" s="5">
        <v>130.6</v>
      </c>
      <c r="J84" s="5">
        <v>130.80000000000001</v>
      </c>
      <c r="K84" s="5">
        <v>131.30000000000001</v>
      </c>
      <c r="L84" s="5">
        <v>91.6</v>
      </c>
      <c r="M84" s="5">
        <v>127.7</v>
      </c>
      <c r="N84" s="5">
        <v>117.2</v>
      </c>
      <c r="O84" s="5">
        <v>129.5</v>
      </c>
      <c r="P84" s="5">
        <v>124.6</v>
      </c>
      <c r="Q84" s="5">
        <v>130.1</v>
      </c>
      <c r="R84" s="5">
        <v>122.1</v>
      </c>
      <c r="S84" s="5">
        <v>117.2</v>
      </c>
      <c r="T84" s="5">
        <v>121.3</v>
      </c>
      <c r="U84" s="5">
        <v>119.2</v>
      </c>
      <c r="V84" s="5">
        <v>114.7</v>
      </c>
      <c r="W84" s="5">
        <v>118.4</v>
      </c>
      <c r="X84" s="5">
        <v>114.6</v>
      </c>
      <c r="Y84" s="5">
        <v>108.4</v>
      </c>
      <c r="Z84" s="5">
        <v>115.6</v>
      </c>
      <c r="AA84" s="5">
        <v>121.7</v>
      </c>
      <c r="AB84" s="5">
        <v>111.8</v>
      </c>
      <c r="AC84" s="5">
        <v>114.2</v>
      </c>
      <c r="AD84" s="12">
        <v>119.7</v>
      </c>
      <c r="AE84" s="26">
        <v>1</v>
      </c>
    </row>
    <row r="85" spans="1:31">
      <c r="A85" s="11" t="s">
        <v>69</v>
      </c>
      <c r="B85" s="5">
        <v>2015</v>
      </c>
      <c r="C85" s="5" t="s">
        <v>72</v>
      </c>
      <c r="D85" s="5">
        <v>123.5</v>
      </c>
      <c r="E85" s="5">
        <v>126.4</v>
      </c>
      <c r="F85" s="5">
        <v>114.4</v>
      </c>
      <c r="G85" s="5">
        <v>126.6</v>
      </c>
      <c r="H85" s="5">
        <v>109.2</v>
      </c>
      <c r="I85" s="5">
        <v>132.5</v>
      </c>
      <c r="J85" s="5">
        <v>128.6</v>
      </c>
      <c r="K85" s="5">
        <v>124.8</v>
      </c>
      <c r="L85" s="5">
        <v>95.7</v>
      </c>
      <c r="M85" s="5">
        <v>122.4</v>
      </c>
      <c r="N85" s="5">
        <v>118.5</v>
      </c>
      <c r="O85" s="5">
        <v>129.1</v>
      </c>
      <c r="P85" s="5">
        <v>124</v>
      </c>
      <c r="Q85" s="5">
        <v>126.9</v>
      </c>
      <c r="R85" s="5">
        <v>124.7</v>
      </c>
      <c r="S85" s="5">
        <v>120.8</v>
      </c>
      <c r="T85" s="5">
        <v>124.1</v>
      </c>
      <c r="U85" s="5">
        <v>119.2</v>
      </c>
      <c r="V85" s="5">
        <v>118.7</v>
      </c>
      <c r="W85" s="5">
        <v>119.7</v>
      </c>
      <c r="X85" s="5">
        <v>117.1</v>
      </c>
      <c r="Y85" s="5">
        <v>110.1</v>
      </c>
      <c r="Z85" s="5">
        <v>115.9</v>
      </c>
      <c r="AA85" s="5">
        <v>121</v>
      </c>
      <c r="AB85" s="5">
        <v>111.7</v>
      </c>
      <c r="AC85" s="5">
        <v>115.1</v>
      </c>
      <c r="AD85" s="12">
        <v>120.7</v>
      </c>
      <c r="AE85" s="26">
        <v>1</v>
      </c>
    </row>
    <row r="86" spans="1:31">
      <c r="A86" s="11" t="s">
        <v>65</v>
      </c>
      <c r="B86" s="5">
        <v>2015</v>
      </c>
      <c r="C86" s="5" t="s">
        <v>73</v>
      </c>
      <c r="D86" s="5">
        <v>123.5</v>
      </c>
      <c r="E86" s="5">
        <v>127.1</v>
      </c>
      <c r="F86" s="5">
        <v>117.3</v>
      </c>
      <c r="G86" s="5">
        <v>127.7</v>
      </c>
      <c r="H86" s="5">
        <v>112.5</v>
      </c>
      <c r="I86" s="5">
        <v>134.1</v>
      </c>
      <c r="J86" s="5">
        <v>128.5</v>
      </c>
      <c r="K86" s="5">
        <v>124.3</v>
      </c>
      <c r="L86" s="5">
        <v>97.6</v>
      </c>
      <c r="M86" s="5">
        <v>120.7</v>
      </c>
      <c r="N86" s="5">
        <v>120.2</v>
      </c>
      <c r="O86" s="5">
        <v>129.80000000000001</v>
      </c>
      <c r="P86" s="5">
        <v>124.4</v>
      </c>
      <c r="Q86" s="5">
        <v>126.7</v>
      </c>
      <c r="R86" s="5">
        <v>127.3</v>
      </c>
      <c r="S86" s="5">
        <v>124.1</v>
      </c>
      <c r="T86" s="5">
        <v>126.8</v>
      </c>
      <c r="U86" s="5" t="s">
        <v>67</v>
      </c>
      <c r="V86" s="5">
        <v>121.9</v>
      </c>
      <c r="W86" s="5">
        <v>121.5</v>
      </c>
      <c r="X86" s="5">
        <v>119.4</v>
      </c>
      <c r="Y86" s="5">
        <v>113.3</v>
      </c>
      <c r="Z86" s="5">
        <v>116.7</v>
      </c>
      <c r="AA86" s="5">
        <v>120.5</v>
      </c>
      <c r="AB86" s="5">
        <v>112.3</v>
      </c>
      <c r="AC86" s="5">
        <v>116.9</v>
      </c>
      <c r="AD86" s="12">
        <v>122.4</v>
      </c>
      <c r="AE86" s="26">
        <v>1</v>
      </c>
    </row>
    <row r="87" spans="1:31">
      <c r="A87" s="11" t="s">
        <v>68</v>
      </c>
      <c r="B87" s="5">
        <v>2015</v>
      </c>
      <c r="C87" s="5" t="s">
        <v>73</v>
      </c>
      <c r="D87" s="5">
        <v>123.8</v>
      </c>
      <c r="E87" s="5">
        <v>129.69999999999999</v>
      </c>
      <c r="F87" s="5">
        <v>111.3</v>
      </c>
      <c r="G87" s="5">
        <v>126.6</v>
      </c>
      <c r="H87" s="5">
        <v>105.2</v>
      </c>
      <c r="I87" s="5">
        <v>130.80000000000001</v>
      </c>
      <c r="J87" s="5">
        <v>135.6</v>
      </c>
      <c r="K87" s="5">
        <v>142.6</v>
      </c>
      <c r="L87" s="5">
        <v>90.8</v>
      </c>
      <c r="M87" s="5">
        <v>128.80000000000001</v>
      </c>
      <c r="N87" s="5">
        <v>117.7</v>
      </c>
      <c r="O87" s="5">
        <v>129.9</v>
      </c>
      <c r="P87" s="5">
        <v>126.1</v>
      </c>
      <c r="Q87" s="5">
        <v>131.30000000000001</v>
      </c>
      <c r="R87" s="5">
        <v>122.4</v>
      </c>
      <c r="S87" s="5">
        <v>117.4</v>
      </c>
      <c r="T87" s="5">
        <v>121.6</v>
      </c>
      <c r="U87" s="5">
        <v>119.6</v>
      </c>
      <c r="V87" s="5">
        <v>114.9</v>
      </c>
      <c r="W87" s="5">
        <v>118.7</v>
      </c>
      <c r="X87" s="5">
        <v>114.9</v>
      </c>
      <c r="Y87" s="5">
        <v>110.8</v>
      </c>
      <c r="Z87" s="5">
        <v>116</v>
      </c>
      <c r="AA87" s="5">
        <v>122</v>
      </c>
      <c r="AB87" s="5">
        <v>112.4</v>
      </c>
      <c r="AC87" s="5">
        <v>115.2</v>
      </c>
      <c r="AD87" s="12">
        <v>120.7</v>
      </c>
      <c r="AE87" s="26">
        <v>1</v>
      </c>
    </row>
    <row r="88" spans="1:31">
      <c r="A88" s="11" t="s">
        <v>69</v>
      </c>
      <c r="B88" s="5">
        <v>2015</v>
      </c>
      <c r="C88" s="5" t="s">
        <v>73</v>
      </c>
      <c r="D88" s="5">
        <v>123.6</v>
      </c>
      <c r="E88" s="5">
        <v>128</v>
      </c>
      <c r="F88" s="5">
        <v>115</v>
      </c>
      <c r="G88" s="5">
        <v>127.3</v>
      </c>
      <c r="H88" s="5">
        <v>109.8</v>
      </c>
      <c r="I88" s="5">
        <v>132.6</v>
      </c>
      <c r="J88" s="5">
        <v>130.9</v>
      </c>
      <c r="K88" s="5">
        <v>130.5</v>
      </c>
      <c r="L88" s="5">
        <v>95.3</v>
      </c>
      <c r="M88" s="5">
        <v>123.4</v>
      </c>
      <c r="N88" s="5">
        <v>119.2</v>
      </c>
      <c r="O88" s="5">
        <v>129.80000000000001</v>
      </c>
      <c r="P88" s="5">
        <v>125</v>
      </c>
      <c r="Q88" s="5">
        <v>127.9</v>
      </c>
      <c r="R88" s="5">
        <v>125.4</v>
      </c>
      <c r="S88" s="5">
        <v>121.3</v>
      </c>
      <c r="T88" s="5">
        <v>124.7</v>
      </c>
      <c r="U88" s="5">
        <v>119.6</v>
      </c>
      <c r="V88" s="5">
        <v>119.2</v>
      </c>
      <c r="W88" s="5">
        <v>120.2</v>
      </c>
      <c r="X88" s="5">
        <v>117.7</v>
      </c>
      <c r="Y88" s="5">
        <v>112</v>
      </c>
      <c r="Z88" s="5">
        <v>116.3</v>
      </c>
      <c r="AA88" s="5">
        <v>121.4</v>
      </c>
      <c r="AB88" s="5">
        <v>112.3</v>
      </c>
      <c r="AC88" s="5">
        <v>116.1</v>
      </c>
      <c r="AD88" s="12">
        <v>121.6</v>
      </c>
      <c r="AE88" s="26">
        <v>1</v>
      </c>
    </row>
    <row r="89" spans="1:31">
      <c r="A89" s="11" t="s">
        <v>65</v>
      </c>
      <c r="B89" s="5">
        <v>2015</v>
      </c>
      <c r="C89" s="5" t="s">
        <v>74</v>
      </c>
      <c r="D89" s="5">
        <v>124.1</v>
      </c>
      <c r="E89" s="5">
        <v>130.4</v>
      </c>
      <c r="F89" s="5">
        <v>122.1</v>
      </c>
      <c r="G89" s="5">
        <v>128.69999999999999</v>
      </c>
      <c r="H89" s="5">
        <v>114.1</v>
      </c>
      <c r="I89" s="5">
        <v>133.19999999999999</v>
      </c>
      <c r="J89" s="5">
        <v>135.19999999999999</v>
      </c>
      <c r="K89" s="5">
        <v>131.9</v>
      </c>
      <c r="L89" s="5">
        <v>96.3</v>
      </c>
      <c r="M89" s="5">
        <v>123</v>
      </c>
      <c r="N89" s="5">
        <v>121.1</v>
      </c>
      <c r="O89" s="5">
        <v>131.19999999999999</v>
      </c>
      <c r="P89" s="5">
        <v>126.6</v>
      </c>
      <c r="Q89" s="5">
        <v>128.19999999999999</v>
      </c>
      <c r="R89" s="5">
        <v>128.4</v>
      </c>
      <c r="S89" s="5">
        <v>125.1</v>
      </c>
      <c r="T89" s="5">
        <v>128</v>
      </c>
      <c r="U89" s="5" t="s">
        <v>67</v>
      </c>
      <c r="V89" s="5">
        <v>122.6</v>
      </c>
      <c r="W89" s="5">
        <v>122.8</v>
      </c>
      <c r="X89" s="5">
        <v>120.4</v>
      </c>
      <c r="Y89" s="5">
        <v>114.2</v>
      </c>
      <c r="Z89" s="5">
        <v>117.9</v>
      </c>
      <c r="AA89" s="5">
        <v>122</v>
      </c>
      <c r="AB89" s="5">
        <v>113</v>
      </c>
      <c r="AC89" s="5">
        <v>117.9</v>
      </c>
      <c r="AD89" s="12">
        <v>124.1</v>
      </c>
      <c r="AE89" s="26">
        <v>1</v>
      </c>
    </row>
    <row r="90" spans="1:31">
      <c r="A90" s="11" t="s">
        <v>68</v>
      </c>
      <c r="B90" s="5">
        <v>2015</v>
      </c>
      <c r="C90" s="5" t="s">
        <v>74</v>
      </c>
      <c r="D90" s="5">
        <v>123.6</v>
      </c>
      <c r="E90" s="5">
        <v>134.4</v>
      </c>
      <c r="F90" s="5">
        <v>120.9</v>
      </c>
      <c r="G90" s="5">
        <v>127.3</v>
      </c>
      <c r="H90" s="5">
        <v>106</v>
      </c>
      <c r="I90" s="5">
        <v>132.30000000000001</v>
      </c>
      <c r="J90" s="5">
        <v>146.69999999999999</v>
      </c>
      <c r="K90" s="5">
        <v>148.1</v>
      </c>
      <c r="L90" s="5">
        <v>89.8</v>
      </c>
      <c r="M90" s="5">
        <v>130.5</v>
      </c>
      <c r="N90" s="5">
        <v>118</v>
      </c>
      <c r="O90" s="5">
        <v>130.5</v>
      </c>
      <c r="P90" s="5">
        <v>128.5</v>
      </c>
      <c r="Q90" s="5">
        <v>132.1</v>
      </c>
      <c r="R90" s="5">
        <v>123.2</v>
      </c>
      <c r="S90" s="5">
        <v>117.6</v>
      </c>
      <c r="T90" s="5">
        <v>122.3</v>
      </c>
      <c r="U90" s="5">
        <v>119</v>
      </c>
      <c r="V90" s="5">
        <v>115.1</v>
      </c>
      <c r="W90" s="5">
        <v>119.2</v>
      </c>
      <c r="X90" s="5">
        <v>115.4</v>
      </c>
      <c r="Y90" s="5">
        <v>111.7</v>
      </c>
      <c r="Z90" s="5">
        <v>116.2</v>
      </c>
      <c r="AA90" s="5">
        <v>123.8</v>
      </c>
      <c r="AB90" s="5">
        <v>112.5</v>
      </c>
      <c r="AC90" s="5">
        <v>116</v>
      </c>
      <c r="AD90" s="12">
        <v>121.7</v>
      </c>
      <c r="AE90" s="26">
        <v>1</v>
      </c>
    </row>
    <row r="91" spans="1:31">
      <c r="A91" s="11" t="s">
        <v>69</v>
      </c>
      <c r="B91" s="5">
        <v>2015</v>
      </c>
      <c r="C91" s="5" t="s">
        <v>74</v>
      </c>
      <c r="D91" s="5">
        <v>123.9</v>
      </c>
      <c r="E91" s="5">
        <v>131.80000000000001</v>
      </c>
      <c r="F91" s="5">
        <v>121.6</v>
      </c>
      <c r="G91" s="5">
        <v>128.19999999999999</v>
      </c>
      <c r="H91" s="5">
        <v>111.1</v>
      </c>
      <c r="I91" s="5">
        <v>132.80000000000001</v>
      </c>
      <c r="J91" s="5">
        <v>139.1</v>
      </c>
      <c r="K91" s="5">
        <v>137.4</v>
      </c>
      <c r="L91" s="5">
        <v>94.1</v>
      </c>
      <c r="M91" s="5">
        <v>125.5</v>
      </c>
      <c r="N91" s="5">
        <v>119.8</v>
      </c>
      <c r="O91" s="5">
        <v>130.9</v>
      </c>
      <c r="P91" s="5">
        <v>127.3</v>
      </c>
      <c r="Q91" s="5">
        <v>129.19999999999999</v>
      </c>
      <c r="R91" s="5">
        <v>126.4</v>
      </c>
      <c r="S91" s="5">
        <v>122</v>
      </c>
      <c r="T91" s="5">
        <v>125.7</v>
      </c>
      <c r="U91" s="5">
        <v>119</v>
      </c>
      <c r="V91" s="5">
        <v>119.8</v>
      </c>
      <c r="W91" s="5">
        <v>121.1</v>
      </c>
      <c r="X91" s="5">
        <v>118.5</v>
      </c>
      <c r="Y91" s="5">
        <v>112.9</v>
      </c>
      <c r="Z91" s="5">
        <v>116.9</v>
      </c>
      <c r="AA91" s="5">
        <v>123.1</v>
      </c>
      <c r="AB91" s="5">
        <v>112.8</v>
      </c>
      <c r="AC91" s="5">
        <v>117</v>
      </c>
      <c r="AD91" s="12">
        <v>123</v>
      </c>
      <c r="AE91" s="26">
        <v>1</v>
      </c>
    </row>
    <row r="92" spans="1:31">
      <c r="A92" s="11" t="s">
        <v>65</v>
      </c>
      <c r="B92" s="5">
        <v>2015</v>
      </c>
      <c r="C92" s="5" t="s">
        <v>75</v>
      </c>
      <c r="D92" s="5">
        <v>124</v>
      </c>
      <c r="E92" s="5">
        <v>131.5</v>
      </c>
      <c r="F92" s="5">
        <v>122</v>
      </c>
      <c r="G92" s="5">
        <v>128.69999999999999</v>
      </c>
      <c r="H92" s="5">
        <v>113.5</v>
      </c>
      <c r="I92" s="5">
        <v>133.30000000000001</v>
      </c>
      <c r="J92" s="5">
        <v>140.80000000000001</v>
      </c>
      <c r="K92" s="5">
        <v>133.80000000000001</v>
      </c>
      <c r="L92" s="5">
        <v>94.1</v>
      </c>
      <c r="M92" s="5">
        <v>123.4</v>
      </c>
      <c r="N92" s="5">
        <v>121</v>
      </c>
      <c r="O92" s="5">
        <v>131.69999999999999</v>
      </c>
      <c r="P92" s="5">
        <v>127.5</v>
      </c>
      <c r="Q92" s="5">
        <v>129.4</v>
      </c>
      <c r="R92" s="5">
        <v>128.80000000000001</v>
      </c>
      <c r="S92" s="5">
        <v>125.5</v>
      </c>
      <c r="T92" s="5">
        <v>128.30000000000001</v>
      </c>
      <c r="U92" s="5" t="s">
        <v>67</v>
      </c>
      <c r="V92" s="5">
        <v>123</v>
      </c>
      <c r="W92" s="5">
        <v>123</v>
      </c>
      <c r="X92" s="5">
        <v>120.8</v>
      </c>
      <c r="Y92" s="5">
        <v>114.1</v>
      </c>
      <c r="Z92" s="5">
        <v>118</v>
      </c>
      <c r="AA92" s="5">
        <v>122.9</v>
      </c>
      <c r="AB92" s="5">
        <v>112.7</v>
      </c>
      <c r="AC92" s="5">
        <v>118.1</v>
      </c>
      <c r="AD92" s="12">
        <v>124.7</v>
      </c>
      <c r="AE92" s="26">
        <v>1</v>
      </c>
    </row>
    <row r="93" spans="1:31">
      <c r="A93" s="11" t="s">
        <v>68</v>
      </c>
      <c r="B93" s="5">
        <v>2015</v>
      </c>
      <c r="C93" s="5" t="s">
        <v>75</v>
      </c>
      <c r="D93" s="5">
        <v>123.2</v>
      </c>
      <c r="E93" s="5">
        <v>134.30000000000001</v>
      </c>
      <c r="F93" s="5">
        <v>119.5</v>
      </c>
      <c r="G93" s="5">
        <v>127.7</v>
      </c>
      <c r="H93" s="5">
        <v>106.3</v>
      </c>
      <c r="I93" s="5">
        <v>132.80000000000001</v>
      </c>
      <c r="J93" s="5">
        <v>153.5</v>
      </c>
      <c r="K93" s="5">
        <v>149.5</v>
      </c>
      <c r="L93" s="5">
        <v>85.7</v>
      </c>
      <c r="M93" s="5">
        <v>131.5</v>
      </c>
      <c r="N93" s="5">
        <v>118.3</v>
      </c>
      <c r="O93" s="5">
        <v>131.1</v>
      </c>
      <c r="P93" s="5">
        <v>129.5</v>
      </c>
      <c r="Q93" s="5">
        <v>133.1</v>
      </c>
      <c r="R93" s="5">
        <v>123.5</v>
      </c>
      <c r="S93" s="5">
        <v>117.9</v>
      </c>
      <c r="T93" s="5">
        <v>122.7</v>
      </c>
      <c r="U93" s="5">
        <v>119.9</v>
      </c>
      <c r="V93" s="5">
        <v>115.3</v>
      </c>
      <c r="W93" s="5">
        <v>119.5</v>
      </c>
      <c r="X93" s="5">
        <v>116</v>
      </c>
      <c r="Y93" s="5">
        <v>111.5</v>
      </c>
      <c r="Z93" s="5">
        <v>116.6</v>
      </c>
      <c r="AA93" s="5">
        <v>125.4</v>
      </c>
      <c r="AB93" s="5">
        <v>111.7</v>
      </c>
      <c r="AC93" s="5">
        <v>116.3</v>
      </c>
      <c r="AD93" s="12">
        <v>122.4</v>
      </c>
      <c r="AE93" s="26">
        <v>1</v>
      </c>
    </row>
    <row r="94" spans="1:31">
      <c r="A94" s="11" t="s">
        <v>69</v>
      </c>
      <c r="B94" s="5">
        <v>2015</v>
      </c>
      <c r="C94" s="5" t="s">
        <v>75</v>
      </c>
      <c r="D94" s="5">
        <v>123.7</v>
      </c>
      <c r="E94" s="5">
        <v>132.5</v>
      </c>
      <c r="F94" s="5">
        <v>121</v>
      </c>
      <c r="G94" s="5">
        <v>128.30000000000001</v>
      </c>
      <c r="H94" s="5">
        <v>110.9</v>
      </c>
      <c r="I94" s="5">
        <v>133.1</v>
      </c>
      <c r="J94" s="5">
        <v>145.1</v>
      </c>
      <c r="K94" s="5">
        <v>139.1</v>
      </c>
      <c r="L94" s="5">
        <v>91.3</v>
      </c>
      <c r="M94" s="5">
        <v>126.1</v>
      </c>
      <c r="N94" s="5">
        <v>119.9</v>
      </c>
      <c r="O94" s="5">
        <v>131.4</v>
      </c>
      <c r="P94" s="5">
        <v>128.19999999999999</v>
      </c>
      <c r="Q94" s="5">
        <v>130.4</v>
      </c>
      <c r="R94" s="5">
        <v>126.7</v>
      </c>
      <c r="S94" s="5">
        <v>122.3</v>
      </c>
      <c r="T94" s="5">
        <v>126.1</v>
      </c>
      <c r="U94" s="5">
        <v>119.9</v>
      </c>
      <c r="V94" s="5">
        <v>120.1</v>
      </c>
      <c r="W94" s="5">
        <v>121.3</v>
      </c>
      <c r="X94" s="5">
        <v>119</v>
      </c>
      <c r="Y94" s="5">
        <v>112.7</v>
      </c>
      <c r="Z94" s="5">
        <v>117.2</v>
      </c>
      <c r="AA94" s="5">
        <v>124.4</v>
      </c>
      <c r="AB94" s="5">
        <v>112.3</v>
      </c>
      <c r="AC94" s="5">
        <v>117.2</v>
      </c>
      <c r="AD94" s="12">
        <v>123.6</v>
      </c>
      <c r="AE94" s="26">
        <v>1</v>
      </c>
    </row>
    <row r="95" spans="1:31">
      <c r="A95" s="11" t="s">
        <v>65</v>
      </c>
      <c r="B95" s="5">
        <v>2015</v>
      </c>
      <c r="C95" s="5" t="s">
        <v>76</v>
      </c>
      <c r="D95" s="5">
        <v>124.7</v>
      </c>
      <c r="E95" s="5">
        <v>131.30000000000001</v>
      </c>
      <c r="F95" s="5">
        <v>121.3</v>
      </c>
      <c r="G95" s="5">
        <v>128.80000000000001</v>
      </c>
      <c r="H95" s="5">
        <v>114</v>
      </c>
      <c r="I95" s="5">
        <v>134.19999999999999</v>
      </c>
      <c r="J95" s="5">
        <v>153.6</v>
      </c>
      <c r="K95" s="5">
        <v>137.9</v>
      </c>
      <c r="L95" s="5">
        <v>93.1</v>
      </c>
      <c r="M95" s="5">
        <v>123.9</v>
      </c>
      <c r="N95" s="5">
        <v>121.5</v>
      </c>
      <c r="O95" s="5">
        <v>132.5</v>
      </c>
      <c r="P95" s="5">
        <v>129.80000000000001</v>
      </c>
      <c r="Q95" s="5">
        <v>130.1</v>
      </c>
      <c r="R95" s="5">
        <v>129.5</v>
      </c>
      <c r="S95" s="5">
        <v>126.3</v>
      </c>
      <c r="T95" s="5">
        <v>129</v>
      </c>
      <c r="U95" s="5" t="s">
        <v>67</v>
      </c>
      <c r="V95" s="5">
        <v>123.8</v>
      </c>
      <c r="W95" s="5">
        <v>123.7</v>
      </c>
      <c r="X95" s="5">
        <v>121.1</v>
      </c>
      <c r="Y95" s="5">
        <v>113.6</v>
      </c>
      <c r="Z95" s="5">
        <v>118.5</v>
      </c>
      <c r="AA95" s="5">
        <v>123.6</v>
      </c>
      <c r="AB95" s="5">
        <v>112.5</v>
      </c>
      <c r="AC95" s="5">
        <v>118.2</v>
      </c>
      <c r="AD95" s="12">
        <v>126.1</v>
      </c>
      <c r="AE95" s="26">
        <v>1</v>
      </c>
    </row>
    <row r="96" spans="1:31">
      <c r="A96" s="11" t="s">
        <v>68</v>
      </c>
      <c r="B96" s="5">
        <v>2015</v>
      </c>
      <c r="C96" s="5" t="s">
        <v>76</v>
      </c>
      <c r="D96" s="5">
        <v>123.1</v>
      </c>
      <c r="E96" s="5">
        <v>131.69999999999999</v>
      </c>
      <c r="F96" s="5">
        <v>118.1</v>
      </c>
      <c r="G96" s="5">
        <v>128</v>
      </c>
      <c r="H96" s="5">
        <v>106.8</v>
      </c>
      <c r="I96" s="5">
        <v>130.1</v>
      </c>
      <c r="J96" s="5">
        <v>165.5</v>
      </c>
      <c r="K96" s="5">
        <v>156</v>
      </c>
      <c r="L96" s="5">
        <v>85.3</v>
      </c>
      <c r="M96" s="5">
        <v>132.69999999999999</v>
      </c>
      <c r="N96" s="5">
        <v>118.8</v>
      </c>
      <c r="O96" s="5">
        <v>131.69999999999999</v>
      </c>
      <c r="P96" s="5">
        <v>131.1</v>
      </c>
      <c r="Q96" s="5">
        <v>134.19999999999999</v>
      </c>
      <c r="R96" s="5">
        <v>123.7</v>
      </c>
      <c r="S96" s="5">
        <v>118.2</v>
      </c>
      <c r="T96" s="5">
        <v>122.9</v>
      </c>
      <c r="U96" s="5">
        <v>120.9</v>
      </c>
      <c r="V96" s="5">
        <v>115.3</v>
      </c>
      <c r="W96" s="5">
        <v>120</v>
      </c>
      <c r="X96" s="5">
        <v>116.6</v>
      </c>
      <c r="Y96" s="5">
        <v>109.9</v>
      </c>
      <c r="Z96" s="5">
        <v>117.2</v>
      </c>
      <c r="AA96" s="5">
        <v>126.2</v>
      </c>
      <c r="AB96" s="5">
        <v>112</v>
      </c>
      <c r="AC96" s="5">
        <v>116.2</v>
      </c>
      <c r="AD96" s="12">
        <v>123.2</v>
      </c>
      <c r="AE96" s="26">
        <v>1</v>
      </c>
    </row>
    <row r="97" spans="1:31">
      <c r="A97" s="11" t="s">
        <v>69</v>
      </c>
      <c r="B97" s="5">
        <v>2015</v>
      </c>
      <c r="C97" s="5" t="s">
        <v>76</v>
      </c>
      <c r="D97" s="5">
        <v>124.2</v>
      </c>
      <c r="E97" s="5">
        <v>131.4</v>
      </c>
      <c r="F97" s="5">
        <v>120.1</v>
      </c>
      <c r="G97" s="5">
        <v>128.5</v>
      </c>
      <c r="H97" s="5">
        <v>111.4</v>
      </c>
      <c r="I97" s="5">
        <v>132.30000000000001</v>
      </c>
      <c r="J97" s="5">
        <v>157.6</v>
      </c>
      <c r="K97" s="5">
        <v>144</v>
      </c>
      <c r="L97" s="5">
        <v>90.5</v>
      </c>
      <c r="M97" s="5">
        <v>126.8</v>
      </c>
      <c r="N97" s="5">
        <v>120.4</v>
      </c>
      <c r="O97" s="5">
        <v>132.1</v>
      </c>
      <c r="P97" s="5">
        <v>130.30000000000001</v>
      </c>
      <c r="Q97" s="5">
        <v>131.19999999999999</v>
      </c>
      <c r="R97" s="5">
        <v>127.2</v>
      </c>
      <c r="S97" s="5">
        <v>122.9</v>
      </c>
      <c r="T97" s="5">
        <v>126.6</v>
      </c>
      <c r="U97" s="5">
        <v>120.9</v>
      </c>
      <c r="V97" s="5">
        <v>120.6</v>
      </c>
      <c r="W97" s="5">
        <v>122</v>
      </c>
      <c r="X97" s="5">
        <v>119.4</v>
      </c>
      <c r="Y97" s="5">
        <v>111.7</v>
      </c>
      <c r="Z97" s="5">
        <v>117.8</v>
      </c>
      <c r="AA97" s="5">
        <v>125.1</v>
      </c>
      <c r="AB97" s="5">
        <v>112.3</v>
      </c>
      <c r="AC97" s="5">
        <v>117.2</v>
      </c>
      <c r="AD97" s="12">
        <v>124.8</v>
      </c>
      <c r="AE97" s="26">
        <v>1</v>
      </c>
    </row>
    <row r="98" spans="1:31">
      <c r="A98" s="11" t="s">
        <v>65</v>
      </c>
      <c r="B98" s="5">
        <v>2015</v>
      </c>
      <c r="C98" s="5" t="s">
        <v>77</v>
      </c>
      <c r="D98" s="5">
        <v>125.1</v>
      </c>
      <c r="E98" s="5">
        <v>131.1</v>
      </c>
      <c r="F98" s="5">
        <v>120.7</v>
      </c>
      <c r="G98" s="5">
        <v>129.19999999999999</v>
      </c>
      <c r="H98" s="5">
        <v>114.7</v>
      </c>
      <c r="I98" s="5">
        <v>132.30000000000001</v>
      </c>
      <c r="J98" s="5">
        <v>158.9</v>
      </c>
      <c r="K98" s="5">
        <v>142.1</v>
      </c>
      <c r="L98" s="5">
        <v>92.5</v>
      </c>
      <c r="M98" s="5">
        <v>125.4</v>
      </c>
      <c r="N98" s="5">
        <v>121.9</v>
      </c>
      <c r="O98" s="5">
        <v>132.69999999999999</v>
      </c>
      <c r="P98" s="5">
        <v>131</v>
      </c>
      <c r="Q98" s="5">
        <v>131</v>
      </c>
      <c r="R98" s="5">
        <v>130.4</v>
      </c>
      <c r="S98" s="5">
        <v>126.8</v>
      </c>
      <c r="T98" s="5">
        <v>129.9</v>
      </c>
      <c r="U98" s="5" t="s">
        <v>67</v>
      </c>
      <c r="V98" s="5">
        <v>123.7</v>
      </c>
      <c r="W98" s="5">
        <v>124.5</v>
      </c>
      <c r="X98" s="5">
        <v>121.4</v>
      </c>
      <c r="Y98" s="5">
        <v>113.8</v>
      </c>
      <c r="Z98" s="5">
        <v>119.6</v>
      </c>
      <c r="AA98" s="5">
        <v>124.5</v>
      </c>
      <c r="AB98" s="5">
        <v>113.7</v>
      </c>
      <c r="AC98" s="5">
        <v>118.8</v>
      </c>
      <c r="AD98" s="12">
        <v>127</v>
      </c>
      <c r="AE98" s="26">
        <v>1</v>
      </c>
    </row>
    <row r="99" spans="1:31">
      <c r="A99" s="11" t="s">
        <v>68</v>
      </c>
      <c r="B99" s="5">
        <v>2015</v>
      </c>
      <c r="C99" s="5" t="s">
        <v>77</v>
      </c>
      <c r="D99" s="5">
        <v>123.4</v>
      </c>
      <c r="E99" s="5">
        <v>129</v>
      </c>
      <c r="F99" s="5">
        <v>115.6</v>
      </c>
      <c r="G99" s="5">
        <v>128.30000000000001</v>
      </c>
      <c r="H99" s="5">
        <v>107</v>
      </c>
      <c r="I99" s="5">
        <v>124</v>
      </c>
      <c r="J99" s="5">
        <v>168.5</v>
      </c>
      <c r="K99" s="5">
        <v>165.4</v>
      </c>
      <c r="L99" s="5">
        <v>86.3</v>
      </c>
      <c r="M99" s="5">
        <v>134.4</v>
      </c>
      <c r="N99" s="5">
        <v>119.1</v>
      </c>
      <c r="O99" s="5">
        <v>132.30000000000001</v>
      </c>
      <c r="P99" s="5">
        <v>131.5</v>
      </c>
      <c r="Q99" s="5">
        <v>134.69999999999999</v>
      </c>
      <c r="R99" s="5">
        <v>124</v>
      </c>
      <c r="S99" s="5">
        <v>118.6</v>
      </c>
      <c r="T99" s="5">
        <v>123.2</v>
      </c>
      <c r="U99" s="5">
        <v>121.6</v>
      </c>
      <c r="V99" s="5">
        <v>115.1</v>
      </c>
      <c r="W99" s="5">
        <v>120.4</v>
      </c>
      <c r="X99" s="5">
        <v>117.1</v>
      </c>
      <c r="Y99" s="5">
        <v>109.1</v>
      </c>
      <c r="Z99" s="5">
        <v>117.3</v>
      </c>
      <c r="AA99" s="5">
        <v>126.5</v>
      </c>
      <c r="AB99" s="5">
        <v>112.9</v>
      </c>
      <c r="AC99" s="5">
        <v>116.2</v>
      </c>
      <c r="AD99" s="12">
        <v>123.5</v>
      </c>
      <c r="AE99" s="26">
        <v>1</v>
      </c>
    </row>
    <row r="100" spans="1:31">
      <c r="A100" s="11" t="s">
        <v>69</v>
      </c>
      <c r="B100" s="5">
        <v>2015</v>
      </c>
      <c r="C100" s="5" t="s">
        <v>77</v>
      </c>
      <c r="D100" s="5">
        <v>124.6</v>
      </c>
      <c r="E100" s="5">
        <v>130.4</v>
      </c>
      <c r="F100" s="5">
        <v>118.7</v>
      </c>
      <c r="G100" s="5">
        <v>128.9</v>
      </c>
      <c r="H100" s="5">
        <v>111.9</v>
      </c>
      <c r="I100" s="5">
        <v>128.4</v>
      </c>
      <c r="J100" s="5">
        <v>162.19999999999999</v>
      </c>
      <c r="K100" s="5">
        <v>150</v>
      </c>
      <c r="L100" s="5">
        <v>90.4</v>
      </c>
      <c r="M100" s="5">
        <v>128.4</v>
      </c>
      <c r="N100" s="5">
        <v>120.7</v>
      </c>
      <c r="O100" s="5">
        <v>132.5</v>
      </c>
      <c r="P100" s="5">
        <v>131.19999999999999</v>
      </c>
      <c r="Q100" s="5">
        <v>132</v>
      </c>
      <c r="R100" s="5">
        <v>127.9</v>
      </c>
      <c r="S100" s="5">
        <v>123.4</v>
      </c>
      <c r="T100" s="5">
        <v>127.2</v>
      </c>
      <c r="U100" s="5">
        <v>121.6</v>
      </c>
      <c r="V100" s="5">
        <v>120.4</v>
      </c>
      <c r="W100" s="5">
        <v>122.6</v>
      </c>
      <c r="X100" s="5">
        <v>119.8</v>
      </c>
      <c r="Y100" s="5">
        <v>111.3</v>
      </c>
      <c r="Z100" s="5">
        <v>118.3</v>
      </c>
      <c r="AA100" s="5">
        <v>125.7</v>
      </c>
      <c r="AB100" s="5">
        <v>113.4</v>
      </c>
      <c r="AC100" s="5">
        <v>117.5</v>
      </c>
      <c r="AD100" s="12">
        <v>125.4</v>
      </c>
      <c r="AE100" s="26">
        <v>1</v>
      </c>
    </row>
    <row r="101" spans="1:31">
      <c r="A101" s="11" t="s">
        <v>65</v>
      </c>
      <c r="B101" s="5">
        <v>2015</v>
      </c>
      <c r="C101" s="5" t="s">
        <v>78</v>
      </c>
      <c r="D101" s="5">
        <v>125.6</v>
      </c>
      <c r="E101" s="5">
        <v>130.4</v>
      </c>
      <c r="F101" s="5">
        <v>120.8</v>
      </c>
      <c r="G101" s="5">
        <v>129.4</v>
      </c>
      <c r="H101" s="5">
        <v>115.8</v>
      </c>
      <c r="I101" s="5">
        <v>133.19999999999999</v>
      </c>
      <c r="J101" s="5">
        <v>157.69999999999999</v>
      </c>
      <c r="K101" s="5">
        <v>154.19999999999999</v>
      </c>
      <c r="L101" s="5">
        <v>93.7</v>
      </c>
      <c r="M101" s="5">
        <v>126.6</v>
      </c>
      <c r="N101" s="5">
        <v>122.3</v>
      </c>
      <c r="O101" s="5">
        <v>133.1</v>
      </c>
      <c r="P101" s="5">
        <v>131.80000000000001</v>
      </c>
      <c r="Q101" s="5">
        <v>131.5</v>
      </c>
      <c r="R101" s="5">
        <v>131.1</v>
      </c>
      <c r="S101" s="5">
        <v>127.3</v>
      </c>
      <c r="T101" s="5">
        <v>130.6</v>
      </c>
      <c r="U101" s="5" t="s">
        <v>67</v>
      </c>
      <c r="V101" s="5">
        <v>124.4</v>
      </c>
      <c r="W101" s="5">
        <v>125.1</v>
      </c>
      <c r="X101" s="5">
        <v>122</v>
      </c>
      <c r="Y101" s="5">
        <v>113.8</v>
      </c>
      <c r="Z101" s="5">
        <v>120.1</v>
      </c>
      <c r="AA101" s="5">
        <v>125.1</v>
      </c>
      <c r="AB101" s="5">
        <v>114.2</v>
      </c>
      <c r="AC101" s="5">
        <v>119.2</v>
      </c>
      <c r="AD101" s="12">
        <v>127.7</v>
      </c>
      <c r="AE101" s="26">
        <v>1</v>
      </c>
    </row>
    <row r="102" spans="1:31">
      <c r="A102" s="11" t="s">
        <v>68</v>
      </c>
      <c r="B102" s="5">
        <v>2015</v>
      </c>
      <c r="C102" s="5" t="s">
        <v>78</v>
      </c>
      <c r="D102" s="5">
        <v>123.6</v>
      </c>
      <c r="E102" s="5">
        <v>128.6</v>
      </c>
      <c r="F102" s="5">
        <v>115.9</v>
      </c>
      <c r="G102" s="5">
        <v>128.5</v>
      </c>
      <c r="H102" s="5">
        <v>109</v>
      </c>
      <c r="I102" s="5">
        <v>124.1</v>
      </c>
      <c r="J102" s="5">
        <v>165.8</v>
      </c>
      <c r="K102" s="5">
        <v>187.2</v>
      </c>
      <c r="L102" s="5">
        <v>89.4</v>
      </c>
      <c r="M102" s="5">
        <v>135.80000000000001</v>
      </c>
      <c r="N102" s="5">
        <v>119.4</v>
      </c>
      <c r="O102" s="5">
        <v>132.9</v>
      </c>
      <c r="P102" s="5">
        <v>132.6</v>
      </c>
      <c r="Q102" s="5">
        <v>135.30000000000001</v>
      </c>
      <c r="R102" s="5">
        <v>124.4</v>
      </c>
      <c r="S102" s="5">
        <v>118.8</v>
      </c>
      <c r="T102" s="5">
        <v>123.6</v>
      </c>
      <c r="U102" s="5">
        <v>122.4</v>
      </c>
      <c r="V102" s="5">
        <v>114.9</v>
      </c>
      <c r="W102" s="5">
        <v>120.7</v>
      </c>
      <c r="X102" s="5">
        <v>117.7</v>
      </c>
      <c r="Y102" s="5">
        <v>109.3</v>
      </c>
      <c r="Z102" s="5">
        <v>117.7</v>
      </c>
      <c r="AA102" s="5">
        <v>126.5</v>
      </c>
      <c r="AB102" s="5">
        <v>113.5</v>
      </c>
      <c r="AC102" s="5">
        <v>116.5</v>
      </c>
      <c r="AD102" s="12">
        <v>124.2</v>
      </c>
      <c r="AE102" s="26">
        <v>1</v>
      </c>
    </row>
    <row r="103" spans="1:31">
      <c r="A103" s="11" t="s">
        <v>69</v>
      </c>
      <c r="B103" s="5">
        <v>2015</v>
      </c>
      <c r="C103" s="5" t="s">
        <v>78</v>
      </c>
      <c r="D103" s="5">
        <v>125</v>
      </c>
      <c r="E103" s="5">
        <v>129.80000000000001</v>
      </c>
      <c r="F103" s="5">
        <v>118.9</v>
      </c>
      <c r="G103" s="5">
        <v>129.1</v>
      </c>
      <c r="H103" s="5">
        <v>113.3</v>
      </c>
      <c r="I103" s="5">
        <v>129</v>
      </c>
      <c r="J103" s="5">
        <v>160.4</v>
      </c>
      <c r="K103" s="5">
        <v>165.3</v>
      </c>
      <c r="L103" s="5">
        <v>92.3</v>
      </c>
      <c r="M103" s="5">
        <v>129.69999999999999</v>
      </c>
      <c r="N103" s="5">
        <v>121.1</v>
      </c>
      <c r="O103" s="5">
        <v>133</v>
      </c>
      <c r="P103" s="5">
        <v>132.1</v>
      </c>
      <c r="Q103" s="5">
        <v>132.5</v>
      </c>
      <c r="R103" s="5">
        <v>128.5</v>
      </c>
      <c r="S103" s="5">
        <v>123.8</v>
      </c>
      <c r="T103" s="5">
        <v>127.8</v>
      </c>
      <c r="U103" s="5">
        <v>122.4</v>
      </c>
      <c r="V103" s="5">
        <v>120.8</v>
      </c>
      <c r="W103" s="5">
        <v>123</v>
      </c>
      <c r="X103" s="5">
        <v>120.4</v>
      </c>
      <c r="Y103" s="5">
        <v>111.4</v>
      </c>
      <c r="Z103" s="5">
        <v>118.7</v>
      </c>
      <c r="AA103" s="5">
        <v>125.9</v>
      </c>
      <c r="AB103" s="5">
        <v>113.9</v>
      </c>
      <c r="AC103" s="5">
        <v>117.9</v>
      </c>
      <c r="AD103" s="12">
        <v>126.1</v>
      </c>
      <c r="AE103" s="26">
        <v>1</v>
      </c>
    </row>
    <row r="104" spans="1:31">
      <c r="A104" s="11" t="s">
        <v>65</v>
      </c>
      <c r="B104" s="5">
        <v>2015</v>
      </c>
      <c r="C104" s="5" t="s">
        <v>79</v>
      </c>
      <c r="D104" s="5">
        <v>126.1</v>
      </c>
      <c r="E104" s="5">
        <v>130.6</v>
      </c>
      <c r="F104" s="5">
        <v>121.7</v>
      </c>
      <c r="G104" s="5">
        <v>129.5</v>
      </c>
      <c r="H104" s="5">
        <v>117.8</v>
      </c>
      <c r="I104" s="5">
        <v>132.1</v>
      </c>
      <c r="J104" s="5">
        <v>155.19999999999999</v>
      </c>
      <c r="K104" s="5">
        <v>160.80000000000001</v>
      </c>
      <c r="L104" s="5">
        <v>94.5</v>
      </c>
      <c r="M104" s="5">
        <v>128.30000000000001</v>
      </c>
      <c r="N104" s="5">
        <v>123.1</v>
      </c>
      <c r="O104" s="5">
        <v>134.19999999999999</v>
      </c>
      <c r="P104" s="5">
        <v>132.4</v>
      </c>
      <c r="Q104" s="5">
        <v>132.19999999999999</v>
      </c>
      <c r="R104" s="5">
        <v>132.1</v>
      </c>
      <c r="S104" s="5">
        <v>128.19999999999999</v>
      </c>
      <c r="T104" s="5">
        <v>131.5</v>
      </c>
      <c r="U104" s="5" t="s">
        <v>67</v>
      </c>
      <c r="V104" s="5">
        <v>125.6</v>
      </c>
      <c r="W104" s="5">
        <v>125.6</v>
      </c>
      <c r="X104" s="5">
        <v>122.6</v>
      </c>
      <c r="Y104" s="5">
        <v>114</v>
      </c>
      <c r="Z104" s="5">
        <v>120.9</v>
      </c>
      <c r="AA104" s="5">
        <v>125.8</v>
      </c>
      <c r="AB104" s="5">
        <v>114.2</v>
      </c>
      <c r="AC104" s="5">
        <v>119.6</v>
      </c>
      <c r="AD104" s="12">
        <v>128.30000000000001</v>
      </c>
      <c r="AE104" s="26">
        <v>1</v>
      </c>
    </row>
    <row r="105" spans="1:31">
      <c r="A105" s="11" t="s">
        <v>68</v>
      </c>
      <c r="B105" s="5">
        <v>2015</v>
      </c>
      <c r="C105" s="5" t="s">
        <v>79</v>
      </c>
      <c r="D105" s="5">
        <v>124</v>
      </c>
      <c r="E105" s="5">
        <v>129.80000000000001</v>
      </c>
      <c r="F105" s="5">
        <v>121.5</v>
      </c>
      <c r="G105" s="5">
        <v>128.6</v>
      </c>
      <c r="H105" s="5">
        <v>110</v>
      </c>
      <c r="I105" s="5">
        <v>123.7</v>
      </c>
      <c r="J105" s="5">
        <v>164.6</v>
      </c>
      <c r="K105" s="5">
        <v>191.6</v>
      </c>
      <c r="L105" s="5">
        <v>90.8</v>
      </c>
      <c r="M105" s="5">
        <v>137.1</v>
      </c>
      <c r="N105" s="5">
        <v>119.8</v>
      </c>
      <c r="O105" s="5">
        <v>133.69999999999999</v>
      </c>
      <c r="P105" s="5">
        <v>133.30000000000001</v>
      </c>
      <c r="Q105" s="5">
        <v>137.6</v>
      </c>
      <c r="R105" s="5">
        <v>125</v>
      </c>
      <c r="S105" s="5">
        <v>119.3</v>
      </c>
      <c r="T105" s="5">
        <v>124.2</v>
      </c>
      <c r="U105" s="5">
        <v>122.9</v>
      </c>
      <c r="V105" s="5">
        <v>115.1</v>
      </c>
      <c r="W105" s="5">
        <v>121</v>
      </c>
      <c r="X105" s="5">
        <v>118.1</v>
      </c>
      <c r="Y105" s="5">
        <v>109.3</v>
      </c>
      <c r="Z105" s="5">
        <v>117.9</v>
      </c>
      <c r="AA105" s="5">
        <v>126.6</v>
      </c>
      <c r="AB105" s="5">
        <v>113.3</v>
      </c>
      <c r="AC105" s="5">
        <v>116.6</v>
      </c>
      <c r="AD105" s="12">
        <v>124.6</v>
      </c>
      <c r="AE105" s="26">
        <v>1</v>
      </c>
    </row>
    <row r="106" spans="1:31">
      <c r="A106" s="11" t="s">
        <v>69</v>
      </c>
      <c r="B106" s="5">
        <v>2015</v>
      </c>
      <c r="C106" s="5" t="s">
        <v>79</v>
      </c>
      <c r="D106" s="5">
        <v>125.4</v>
      </c>
      <c r="E106" s="5">
        <v>130.30000000000001</v>
      </c>
      <c r="F106" s="5">
        <v>121.6</v>
      </c>
      <c r="G106" s="5">
        <v>129.19999999999999</v>
      </c>
      <c r="H106" s="5">
        <v>114.9</v>
      </c>
      <c r="I106" s="5">
        <v>128.19999999999999</v>
      </c>
      <c r="J106" s="5">
        <v>158.4</v>
      </c>
      <c r="K106" s="5">
        <v>171.2</v>
      </c>
      <c r="L106" s="5">
        <v>93.3</v>
      </c>
      <c r="M106" s="5">
        <v>131.19999999999999</v>
      </c>
      <c r="N106" s="5">
        <v>121.7</v>
      </c>
      <c r="O106" s="5">
        <v>134</v>
      </c>
      <c r="P106" s="5">
        <v>132.69999999999999</v>
      </c>
      <c r="Q106" s="5">
        <v>133.6</v>
      </c>
      <c r="R106" s="5">
        <v>129.30000000000001</v>
      </c>
      <c r="S106" s="5">
        <v>124.5</v>
      </c>
      <c r="T106" s="5">
        <v>128.6</v>
      </c>
      <c r="U106" s="5">
        <v>122.9</v>
      </c>
      <c r="V106" s="5">
        <v>121.6</v>
      </c>
      <c r="W106" s="5">
        <v>123.4</v>
      </c>
      <c r="X106" s="5">
        <v>120.9</v>
      </c>
      <c r="Y106" s="5">
        <v>111.5</v>
      </c>
      <c r="Z106" s="5">
        <v>119.2</v>
      </c>
      <c r="AA106" s="5">
        <v>126.3</v>
      </c>
      <c r="AB106" s="5">
        <v>113.8</v>
      </c>
      <c r="AC106" s="5">
        <v>118.1</v>
      </c>
      <c r="AD106" s="12">
        <v>126.6</v>
      </c>
      <c r="AE106" s="26">
        <v>1</v>
      </c>
    </row>
    <row r="107" spans="1:31">
      <c r="A107" s="11" t="s">
        <v>65</v>
      </c>
      <c r="B107" s="5">
        <v>2015</v>
      </c>
      <c r="C107" s="5" t="s">
        <v>80</v>
      </c>
      <c r="D107" s="5">
        <v>126.3</v>
      </c>
      <c r="E107" s="5">
        <v>131.30000000000001</v>
      </c>
      <c r="F107" s="5">
        <v>123.3</v>
      </c>
      <c r="G107" s="5">
        <v>129.80000000000001</v>
      </c>
      <c r="H107" s="5">
        <v>118.3</v>
      </c>
      <c r="I107" s="5">
        <v>131.6</v>
      </c>
      <c r="J107" s="5">
        <v>145.5</v>
      </c>
      <c r="K107" s="5">
        <v>162.1</v>
      </c>
      <c r="L107" s="5">
        <v>95.4</v>
      </c>
      <c r="M107" s="5">
        <v>128.9</v>
      </c>
      <c r="N107" s="5">
        <v>123.3</v>
      </c>
      <c r="O107" s="5">
        <v>135.1</v>
      </c>
      <c r="P107" s="5">
        <v>131.4</v>
      </c>
      <c r="Q107" s="5">
        <v>133.1</v>
      </c>
      <c r="R107" s="5">
        <v>132.5</v>
      </c>
      <c r="S107" s="5">
        <v>128.5</v>
      </c>
      <c r="T107" s="5">
        <v>131.9</v>
      </c>
      <c r="U107" s="5" t="s">
        <v>67</v>
      </c>
      <c r="V107" s="5">
        <v>125.7</v>
      </c>
      <c r="W107" s="5">
        <v>126</v>
      </c>
      <c r="X107" s="5">
        <v>123.1</v>
      </c>
      <c r="Y107" s="5">
        <v>114</v>
      </c>
      <c r="Z107" s="5">
        <v>121.6</v>
      </c>
      <c r="AA107" s="5">
        <v>125.6</v>
      </c>
      <c r="AB107" s="5">
        <v>114.1</v>
      </c>
      <c r="AC107" s="5">
        <v>119.8</v>
      </c>
      <c r="AD107" s="12">
        <v>127.9</v>
      </c>
      <c r="AE107" s="26">
        <v>1</v>
      </c>
    </row>
    <row r="108" spans="1:31">
      <c r="A108" s="11" t="s">
        <v>68</v>
      </c>
      <c r="B108" s="5">
        <v>2015</v>
      </c>
      <c r="C108" s="5" t="s">
        <v>80</v>
      </c>
      <c r="D108" s="5">
        <v>124.3</v>
      </c>
      <c r="E108" s="5">
        <v>131.69999999999999</v>
      </c>
      <c r="F108" s="5">
        <v>127.1</v>
      </c>
      <c r="G108" s="5">
        <v>128.6</v>
      </c>
      <c r="H108" s="5">
        <v>110</v>
      </c>
      <c r="I108" s="5">
        <v>120.8</v>
      </c>
      <c r="J108" s="5">
        <v>149</v>
      </c>
      <c r="K108" s="5">
        <v>190.1</v>
      </c>
      <c r="L108" s="5">
        <v>92.7</v>
      </c>
      <c r="M108" s="5">
        <v>138.6</v>
      </c>
      <c r="N108" s="5">
        <v>120.2</v>
      </c>
      <c r="O108" s="5">
        <v>134.19999999999999</v>
      </c>
      <c r="P108" s="5">
        <v>131.5</v>
      </c>
      <c r="Q108" s="5">
        <v>138.19999999999999</v>
      </c>
      <c r="R108" s="5">
        <v>125.4</v>
      </c>
      <c r="S108" s="5">
        <v>119.5</v>
      </c>
      <c r="T108" s="5">
        <v>124.5</v>
      </c>
      <c r="U108" s="5">
        <v>122.4</v>
      </c>
      <c r="V108" s="5">
        <v>116</v>
      </c>
      <c r="W108" s="5">
        <v>121</v>
      </c>
      <c r="X108" s="5">
        <v>118.6</v>
      </c>
      <c r="Y108" s="5">
        <v>109.3</v>
      </c>
      <c r="Z108" s="5">
        <v>118.1</v>
      </c>
      <c r="AA108" s="5">
        <v>126.6</v>
      </c>
      <c r="AB108" s="5">
        <v>113.2</v>
      </c>
      <c r="AC108" s="5">
        <v>116.7</v>
      </c>
      <c r="AD108" s="12">
        <v>124</v>
      </c>
      <c r="AE108" s="26">
        <v>1</v>
      </c>
    </row>
    <row r="109" spans="1:31">
      <c r="A109" s="11" t="s">
        <v>69</v>
      </c>
      <c r="B109" s="5">
        <v>2015</v>
      </c>
      <c r="C109" s="5" t="s">
        <v>80</v>
      </c>
      <c r="D109" s="5">
        <v>125.7</v>
      </c>
      <c r="E109" s="5">
        <v>131.4</v>
      </c>
      <c r="F109" s="5">
        <v>124.8</v>
      </c>
      <c r="G109" s="5">
        <v>129.4</v>
      </c>
      <c r="H109" s="5">
        <v>115.3</v>
      </c>
      <c r="I109" s="5">
        <v>126.6</v>
      </c>
      <c r="J109" s="5">
        <v>146.69999999999999</v>
      </c>
      <c r="K109" s="5">
        <v>171.5</v>
      </c>
      <c r="L109" s="5">
        <v>94.5</v>
      </c>
      <c r="M109" s="5">
        <v>132.1</v>
      </c>
      <c r="N109" s="5">
        <v>122</v>
      </c>
      <c r="O109" s="5">
        <v>134.69999999999999</v>
      </c>
      <c r="P109" s="5">
        <v>131.4</v>
      </c>
      <c r="Q109" s="5">
        <v>134.5</v>
      </c>
      <c r="R109" s="5">
        <v>129.69999999999999</v>
      </c>
      <c r="S109" s="5">
        <v>124.8</v>
      </c>
      <c r="T109" s="5">
        <v>129</v>
      </c>
      <c r="U109" s="5">
        <v>122.4</v>
      </c>
      <c r="V109" s="5">
        <v>122</v>
      </c>
      <c r="W109" s="5">
        <v>123.6</v>
      </c>
      <c r="X109" s="5">
        <v>121.4</v>
      </c>
      <c r="Y109" s="5">
        <v>111.5</v>
      </c>
      <c r="Z109" s="5">
        <v>119.6</v>
      </c>
      <c r="AA109" s="5">
        <v>126.2</v>
      </c>
      <c r="AB109" s="5">
        <v>113.7</v>
      </c>
      <c r="AC109" s="5">
        <v>118.3</v>
      </c>
      <c r="AD109" s="12">
        <v>126.1</v>
      </c>
      <c r="AE109" s="26">
        <v>1</v>
      </c>
    </row>
    <row r="110" spans="1:31">
      <c r="A110" s="11" t="s">
        <v>65</v>
      </c>
      <c r="B110" s="5">
        <v>2016</v>
      </c>
      <c r="C110" s="5" t="s">
        <v>66</v>
      </c>
      <c r="D110" s="5">
        <v>126.8</v>
      </c>
      <c r="E110" s="5">
        <v>133.19999999999999</v>
      </c>
      <c r="F110" s="5">
        <v>126.5</v>
      </c>
      <c r="G110" s="5">
        <v>130.30000000000001</v>
      </c>
      <c r="H110" s="5">
        <v>118.9</v>
      </c>
      <c r="I110" s="5">
        <v>131.6</v>
      </c>
      <c r="J110" s="5">
        <v>140.1</v>
      </c>
      <c r="K110" s="5">
        <v>163.80000000000001</v>
      </c>
      <c r="L110" s="5">
        <v>97.7</v>
      </c>
      <c r="M110" s="5">
        <v>129.6</v>
      </c>
      <c r="N110" s="5">
        <v>124.3</v>
      </c>
      <c r="O110" s="5">
        <v>135.9</v>
      </c>
      <c r="P110" s="5">
        <v>131.4</v>
      </c>
      <c r="Q110" s="5">
        <v>133.6</v>
      </c>
      <c r="R110" s="5">
        <v>133.19999999999999</v>
      </c>
      <c r="S110" s="5">
        <v>128.9</v>
      </c>
      <c r="T110" s="5">
        <v>132.6</v>
      </c>
      <c r="U110" s="5" t="s">
        <v>67</v>
      </c>
      <c r="V110" s="5">
        <v>126.2</v>
      </c>
      <c r="W110" s="5">
        <v>126.6</v>
      </c>
      <c r="X110" s="5">
        <v>123.7</v>
      </c>
      <c r="Y110" s="5">
        <v>113.6</v>
      </c>
      <c r="Z110" s="5">
        <v>121.4</v>
      </c>
      <c r="AA110" s="5">
        <v>126.2</v>
      </c>
      <c r="AB110" s="5">
        <v>114.9</v>
      </c>
      <c r="AC110" s="5">
        <v>120.1</v>
      </c>
      <c r="AD110" s="12">
        <v>128.1</v>
      </c>
      <c r="AE110" s="26">
        <v>1</v>
      </c>
    </row>
    <row r="111" spans="1:31">
      <c r="A111" s="11" t="s">
        <v>68</v>
      </c>
      <c r="B111" s="5">
        <v>2016</v>
      </c>
      <c r="C111" s="5" t="s">
        <v>66</v>
      </c>
      <c r="D111" s="5">
        <v>124.7</v>
      </c>
      <c r="E111" s="5">
        <v>135.9</v>
      </c>
      <c r="F111" s="5">
        <v>132</v>
      </c>
      <c r="G111" s="5">
        <v>129.19999999999999</v>
      </c>
      <c r="H111" s="5">
        <v>109.7</v>
      </c>
      <c r="I111" s="5">
        <v>119</v>
      </c>
      <c r="J111" s="5">
        <v>144.1</v>
      </c>
      <c r="K111" s="5">
        <v>184.2</v>
      </c>
      <c r="L111" s="5">
        <v>96.7</v>
      </c>
      <c r="M111" s="5">
        <v>139.5</v>
      </c>
      <c r="N111" s="5">
        <v>120.5</v>
      </c>
      <c r="O111" s="5">
        <v>134.69999999999999</v>
      </c>
      <c r="P111" s="5">
        <v>131.19999999999999</v>
      </c>
      <c r="Q111" s="5">
        <v>139.5</v>
      </c>
      <c r="R111" s="5">
        <v>125.8</v>
      </c>
      <c r="S111" s="5">
        <v>119.8</v>
      </c>
      <c r="T111" s="5">
        <v>124.9</v>
      </c>
      <c r="U111" s="5">
        <v>123.4</v>
      </c>
      <c r="V111" s="5">
        <v>116.9</v>
      </c>
      <c r="W111" s="5">
        <v>121.6</v>
      </c>
      <c r="X111" s="5">
        <v>119.1</v>
      </c>
      <c r="Y111" s="5">
        <v>108.9</v>
      </c>
      <c r="Z111" s="5">
        <v>118.5</v>
      </c>
      <c r="AA111" s="5">
        <v>126.4</v>
      </c>
      <c r="AB111" s="5">
        <v>114</v>
      </c>
      <c r="AC111" s="5">
        <v>116.8</v>
      </c>
      <c r="AD111" s="12">
        <v>124.2</v>
      </c>
      <c r="AE111" s="26">
        <v>1</v>
      </c>
    </row>
    <row r="112" spans="1:31">
      <c r="A112" s="11" t="s">
        <v>69</v>
      </c>
      <c r="B112" s="5">
        <v>2016</v>
      </c>
      <c r="C112" s="5" t="s">
        <v>66</v>
      </c>
      <c r="D112" s="5">
        <v>126.1</v>
      </c>
      <c r="E112" s="5">
        <v>134.1</v>
      </c>
      <c r="F112" s="5">
        <v>128.6</v>
      </c>
      <c r="G112" s="5">
        <v>129.9</v>
      </c>
      <c r="H112" s="5">
        <v>115.5</v>
      </c>
      <c r="I112" s="5">
        <v>125.7</v>
      </c>
      <c r="J112" s="5">
        <v>141.5</v>
      </c>
      <c r="K112" s="5">
        <v>170.7</v>
      </c>
      <c r="L112" s="5">
        <v>97.4</v>
      </c>
      <c r="M112" s="5">
        <v>132.9</v>
      </c>
      <c r="N112" s="5">
        <v>122.7</v>
      </c>
      <c r="O112" s="5">
        <v>135.30000000000001</v>
      </c>
      <c r="P112" s="5">
        <v>131.30000000000001</v>
      </c>
      <c r="Q112" s="5">
        <v>135.19999999999999</v>
      </c>
      <c r="R112" s="5">
        <v>130.30000000000001</v>
      </c>
      <c r="S112" s="5">
        <v>125.1</v>
      </c>
      <c r="T112" s="5">
        <v>129.5</v>
      </c>
      <c r="U112" s="5">
        <v>123.4</v>
      </c>
      <c r="V112" s="5">
        <v>122.7</v>
      </c>
      <c r="W112" s="5">
        <v>124.2</v>
      </c>
      <c r="X112" s="5">
        <v>122</v>
      </c>
      <c r="Y112" s="5">
        <v>111.1</v>
      </c>
      <c r="Z112" s="5">
        <v>119.8</v>
      </c>
      <c r="AA112" s="5">
        <v>126.3</v>
      </c>
      <c r="AB112" s="5">
        <v>114.5</v>
      </c>
      <c r="AC112" s="5">
        <v>118.5</v>
      </c>
      <c r="AD112" s="12">
        <v>126.3</v>
      </c>
      <c r="AE112" s="26">
        <v>1</v>
      </c>
    </row>
    <row r="113" spans="1:31">
      <c r="A113" s="11" t="s">
        <v>65</v>
      </c>
      <c r="B113" s="5">
        <v>2016</v>
      </c>
      <c r="C113" s="5" t="s">
        <v>70</v>
      </c>
      <c r="D113" s="5">
        <v>127.1</v>
      </c>
      <c r="E113" s="5">
        <v>133.69999999999999</v>
      </c>
      <c r="F113" s="5">
        <v>127.7</v>
      </c>
      <c r="G113" s="5">
        <v>130.69999999999999</v>
      </c>
      <c r="H113" s="5">
        <v>118.5</v>
      </c>
      <c r="I113" s="5">
        <v>130.4</v>
      </c>
      <c r="J113" s="5">
        <v>130.9</v>
      </c>
      <c r="K113" s="5">
        <v>162.80000000000001</v>
      </c>
      <c r="L113" s="5">
        <v>98.7</v>
      </c>
      <c r="M113" s="5">
        <v>130.6</v>
      </c>
      <c r="N113" s="5">
        <v>124.8</v>
      </c>
      <c r="O113" s="5">
        <v>136.4</v>
      </c>
      <c r="P113" s="5">
        <v>130.30000000000001</v>
      </c>
      <c r="Q113" s="5">
        <v>134.4</v>
      </c>
      <c r="R113" s="5">
        <v>133.9</v>
      </c>
      <c r="S113" s="5">
        <v>129.80000000000001</v>
      </c>
      <c r="T113" s="5">
        <v>133.4</v>
      </c>
      <c r="U113" s="5" t="s">
        <v>67</v>
      </c>
      <c r="V113" s="5">
        <v>127.5</v>
      </c>
      <c r="W113" s="5">
        <v>127.1</v>
      </c>
      <c r="X113" s="5">
        <v>124.3</v>
      </c>
      <c r="Y113" s="5">
        <v>113.9</v>
      </c>
      <c r="Z113" s="5">
        <v>122.3</v>
      </c>
      <c r="AA113" s="5">
        <v>127.1</v>
      </c>
      <c r="AB113" s="5">
        <v>116.8</v>
      </c>
      <c r="AC113" s="5">
        <v>120.9</v>
      </c>
      <c r="AD113" s="12">
        <v>127.9</v>
      </c>
      <c r="AE113" s="26">
        <v>1</v>
      </c>
    </row>
    <row r="114" spans="1:31">
      <c r="A114" s="11" t="s">
        <v>68</v>
      </c>
      <c r="B114" s="5">
        <v>2016</v>
      </c>
      <c r="C114" s="5" t="s">
        <v>70</v>
      </c>
      <c r="D114" s="5">
        <v>124.8</v>
      </c>
      <c r="E114" s="5">
        <v>135.1</v>
      </c>
      <c r="F114" s="5">
        <v>130.30000000000001</v>
      </c>
      <c r="G114" s="5">
        <v>129.6</v>
      </c>
      <c r="H114" s="5">
        <v>108.4</v>
      </c>
      <c r="I114" s="5">
        <v>118.6</v>
      </c>
      <c r="J114" s="5">
        <v>129.19999999999999</v>
      </c>
      <c r="K114" s="5">
        <v>176.4</v>
      </c>
      <c r="L114" s="5">
        <v>99.1</v>
      </c>
      <c r="M114" s="5">
        <v>139.69999999999999</v>
      </c>
      <c r="N114" s="5">
        <v>120.6</v>
      </c>
      <c r="O114" s="5">
        <v>135.19999999999999</v>
      </c>
      <c r="P114" s="5">
        <v>129.1</v>
      </c>
      <c r="Q114" s="5">
        <v>140</v>
      </c>
      <c r="R114" s="5">
        <v>126.2</v>
      </c>
      <c r="S114" s="5">
        <v>120.1</v>
      </c>
      <c r="T114" s="5">
        <v>125.3</v>
      </c>
      <c r="U114" s="5">
        <v>124.4</v>
      </c>
      <c r="V114" s="5">
        <v>116</v>
      </c>
      <c r="W114" s="5">
        <v>121.8</v>
      </c>
      <c r="X114" s="5">
        <v>119.5</v>
      </c>
      <c r="Y114" s="5">
        <v>109.1</v>
      </c>
      <c r="Z114" s="5">
        <v>118.8</v>
      </c>
      <c r="AA114" s="5">
        <v>126.3</v>
      </c>
      <c r="AB114" s="5">
        <v>116.2</v>
      </c>
      <c r="AC114" s="5">
        <v>117.2</v>
      </c>
      <c r="AD114" s="12">
        <v>123.8</v>
      </c>
      <c r="AE114" s="26">
        <v>1</v>
      </c>
    </row>
    <row r="115" spans="1:31">
      <c r="A115" s="11" t="s">
        <v>69</v>
      </c>
      <c r="B115" s="5">
        <v>2016</v>
      </c>
      <c r="C115" s="5" t="s">
        <v>70</v>
      </c>
      <c r="D115" s="5">
        <v>126.4</v>
      </c>
      <c r="E115" s="5">
        <v>134.19999999999999</v>
      </c>
      <c r="F115" s="5">
        <v>128.69999999999999</v>
      </c>
      <c r="G115" s="5">
        <v>130.30000000000001</v>
      </c>
      <c r="H115" s="5">
        <v>114.8</v>
      </c>
      <c r="I115" s="5">
        <v>124.9</v>
      </c>
      <c r="J115" s="5">
        <v>130.30000000000001</v>
      </c>
      <c r="K115" s="5">
        <v>167.4</v>
      </c>
      <c r="L115" s="5">
        <v>98.8</v>
      </c>
      <c r="M115" s="5">
        <v>133.6</v>
      </c>
      <c r="N115" s="5">
        <v>123</v>
      </c>
      <c r="O115" s="5">
        <v>135.80000000000001</v>
      </c>
      <c r="P115" s="5">
        <v>129.9</v>
      </c>
      <c r="Q115" s="5">
        <v>135.9</v>
      </c>
      <c r="R115" s="5">
        <v>130.9</v>
      </c>
      <c r="S115" s="5">
        <v>125.8</v>
      </c>
      <c r="T115" s="5">
        <v>130.19999999999999</v>
      </c>
      <c r="U115" s="5">
        <v>124.4</v>
      </c>
      <c r="V115" s="5">
        <v>123.1</v>
      </c>
      <c r="W115" s="5">
        <v>124.6</v>
      </c>
      <c r="X115" s="5">
        <v>122.5</v>
      </c>
      <c r="Y115" s="5">
        <v>111.4</v>
      </c>
      <c r="Z115" s="5">
        <v>120.3</v>
      </c>
      <c r="AA115" s="5">
        <v>126.6</v>
      </c>
      <c r="AB115" s="5">
        <v>116.6</v>
      </c>
      <c r="AC115" s="5">
        <v>119.1</v>
      </c>
      <c r="AD115" s="12">
        <v>126</v>
      </c>
      <c r="AE115" s="26">
        <v>1</v>
      </c>
    </row>
    <row r="116" spans="1:31">
      <c r="A116" s="11" t="s">
        <v>65</v>
      </c>
      <c r="B116" s="5">
        <v>2016</v>
      </c>
      <c r="C116" s="5" t="s">
        <v>71</v>
      </c>
      <c r="D116" s="5">
        <v>127.3</v>
      </c>
      <c r="E116" s="5">
        <v>134.4</v>
      </c>
      <c r="F116" s="5">
        <v>125.1</v>
      </c>
      <c r="G116" s="5">
        <v>130.5</v>
      </c>
      <c r="H116" s="5">
        <v>118.3</v>
      </c>
      <c r="I116" s="5">
        <v>131.69999999999999</v>
      </c>
      <c r="J116" s="5">
        <v>130.69999999999999</v>
      </c>
      <c r="K116" s="5">
        <v>161.19999999999999</v>
      </c>
      <c r="L116" s="5">
        <v>100.4</v>
      </c>
      <c r="M116" s="5">
        <v>130.80000000000001</v>
      </c>
      <c r="N116" s="5">
        <v>124.9</v>
      </c>
      <c r="O116" s="5">
        <v>137</v>
      </c>
      <c r="P116" s="5">
        <v>130.4</v>
      </c>
      <c r="Q116" s="5">
        <v>135</v>
      </c>
      <c r="R116" s="5">
        <v>134.4</v>
      </c>
      <c r="S116" s="5">
        <v>130.19999999999999</v>
      </c>
      <c r="T116" s="5">
        <v>133.80000000000001</v>
      </c>
      <c r="U116" s="5" t="s">
        <v>67</v>
      </c>
      <c r="V116" s="5">
        <v>127</v>
      </c>
      <c r="W116" s="5">
        <v>127.7</v>
      </c>
      <c r="X116" s="5">
        <v>124.8</v>
      </c>
      <c r="Y116" s="5">
        <v>113.6</v>
      </c>
      <c r="Z116" s="5">
        <v>122.5</v>
      </c>
      <c r="AA116" s="5">
        <v>127.5</v>
      </c>
      <c r="AB116" s="5">
        <v>117.4</v>
      </c>
      <c r="AC116" s="5">
        <v>121.1</v>
      </c>
      <c r="AD116" s="12">
        <v>128</v>
      </c>
      <c r="AE116" s="26">
        <v>1</v>
      </c>
    </row>
    <row r="117" spans="1:31">
      <c r="A117" s="11" t="s">
        <v>68</v>
      </c>
      <c r="B117" s="5">
        <v>2016</v>
      </c>
      <c r="C117" s="5" t="s">
        <v>71</v>
      </c>
      <c r="D117" s="5">
        <v>124.8</v>
      </c>
      <c r="E117" s="5">
        <v>136.30000000000001</v>
      </c>
      <c r="F117" s="5">
        <v>123.7</v>
      </c>
      <c r="G117" s="5">
        <v>129.69999999999999</v>
      </c>
      <c r="H117" s="5">
        <v>107.9</v>
      </c>
      <c r="I117" s="5">
        <v>119.9</v>
      </c>
      <c r="J117" s="5">
        <v>128.1</v>
      </c>
      <c r="K117" s="5">
        <v>170.3</v>
      </c>
      <c r="L117" s="5">
        <v>101.8</v>
      </c>
      <c r="M117" s="5">
        <v>140.1</v>
      </c>
      <c r="N117" s="5">
        <v>120.7</v>
      </c>
      <c r="O117" s="5">
        <v>135.4</v>
      </c>
      <c r="P117" s="5">
        <v>128.9</v>
      </c>
      <c r="Q117" s="5">
        <v>140.6</v>
      </c>
      <c r="R117" s="5">
        <v>126.4</v>
      </c>
      <c r="S117" s="5">
        <v>120.3</v>
      </c>
      <c r="T117" s="5">
        <v>125.5</v>
      </c>
      <c r="U117" s="5">
        <v>124.9</v>
      </c>
      <c r="V117" s="5">
        <v>114.8</v>
      </c>
      <c r="W117" s="5">
        <v>122.3</v>
      </c>
      <c r="X117" s="5">
        <v>119.7</v>
      </c>
      <c r="Y117" s="5">
        <v>108.5</v>
      </c>
      <c r="Z117" s="5">
        <v>119.1</v>
      </c>
      <c r="AA117" s="5">
        <v>126.4</v>
      </c>
      <c r="AB117" s="5">
        <v>117.1</v>
      </c>
      <c r="AC117" s="5">
        <v>117.3</v>
      </c>
      <c r="AD117" s="12">
        <v>123.8</v>
      </c>
      <c r="AE117" s="26">
        <v>1</v>
      </c>
    </row>
    <row r="118" spans="1:31">
      <c r="A118" s="11" t="s">
        <v>69</v>
      </c>
      <c r="B118" s="5">
        <v>2016</v>
      </c>
      <c r="C118" s="5" t="s">
        <v>71</v>
      </c>
      <c r="D118" s="5">
        <v>126.5</v>
      </c>
      <c r="E118" s="5">
        <v>135.1</v>
      </c>
      <c r="F118" s="5">
        <v>124.6</v>
      </c>
      <c r="G118" s="5">
        <v>130.19999999999999</v>
      </c>
      <c r="H118" s="5">
        <v>114.5</v>
      </c>
      <c r="I118" s="5">
        <v>126.2</v>
      </c>
      <c r="J118" s="5">
        <v>129.80000000000001</v>
      </c>
      <c r="K118" s="5">
        <v>164.3</v>
      </c>
      <c r="L118" s="5">
        <v>100.9</v>
      </c>
      <c r="M118" s="5">
        <v>133.9</v>
      </c>
      <c r="N118" s="5">
        <v>123.1</v>
      </c>
      <c r="O118" s="5">
        <v>136.30000000000001</v>
      </c>
      <c r="P118" s="5">
        <v>129.80000000000001</v>
      </c>
      <c r="Q118" s="5">
        <v>136.5</v>
      </c>
      <c r="R118" s="5">
        <v>131.30000000000001</v>
      </c>
      <c r="S118" s="5">
        <v>126.1</v>
      </c>
      <c r="T118" s="5">
        <v>130.5</v>
      </c>
      <c r="U118" s="5">
        <v>124.9</v>
      </c>
      <c r="V118" s="5">
        <v>122.4</v>
      </c>
      <c r="W118" s="5">
        <v>125.1</v>
      </c>
      <c r="X118" s="5">
        <v>122.9</v>
      </c>
      <c r="Y118" s="5">
        <v>110.9</v>
      </c>
      <c r="Z118" s="5">
        <v>120.6</v>
      </c>
      <c r="AA118" s="5">
        <v>126.9</v>
      </c>
      <c r="AB118" s="5">
        <v>117.3</v>
      </c>
      <c r="AC118" s="5">
        <v>119.3</v>
      </c>
      <c r="AD118" s="12">
        <v>126</v>
      </c>
      <c r="AE118" s="26">
        <v>1</v>
      </c>
    </row>
    <row r="119" spans="1:31">
      <c r="A119" s="11" t="s">
        <v>65</v>
      </c>
      <c r="B119" s="5">
        <v>2016</v>
      </c>
      <c r="C119" s="5" t="s">
        <v>72</v>
      </c>
      <c r="D119" s="5">
        <v>127.4</v>
      </c>
      <c r="E119" s="5">
        <v>135.4</v>
      </c>
      <c r="F119" s="5">
        <v>123.4</v>
      </c>
      <c r="G119" s="5">
        <v>131.30000000000001</v>
      </c>
      <c r="H119" s="5">
        <v>118.2</v>
      </c>
      <c r="I119" s="5">
        <v>138.1</v>
      </c>
      <c r="J119" s="5">
        <v>134.1</v>
      </c>
      <c r="K119" s="5">
        <v>162.69999999999999</v>
      </c>
      <c r="L119" s="5">
        <v>105</v>
      </c>
      <c r="M119" s="5">
        <v>131.4</v>
      </c>
      <c r="N119" s="5">
        <v>125.4</v>
      </c>
      <c r="O119" s="5">
        <v>137.4</v>
      </c>
      <c r="P119" s="5">
        <v>131.80000000000001</v>
      </c>
      <c r="Q119" s="5">
        <v>135.5</v>
      </c>
      <c r="R119" s="5">
        <v>135</v>
      </c>
      <c r="S119" s="5">
        <v>130.6</v>
      </c>
      <c r="T119" s="5">
        <v>134.4</v>
      </c>
      <c r="U119" s="5" t="s">
        <v>67</v>
      </c>
      <c r="V119" s="5">
        <v>127</v>
      </c>
      <c r="W119" s="5">
        <v>128</v>
      </c>
      <c r="X119" s="5">
        <v>125.2</v>
      </c>
      <c r="Y119" s="5">
        <v>114.4</v>
      </c>
      <c r="Z119" s="5">
        <v>123.2</v>
      </c>
      <c r="AA119" s="5">
        <v>127.9</v>
      </c>
      <c r="AB119" s="5">
        <v>118.4</v>
      </c>
      <c r="AC119" s="5">
        <v>121.7</v>
      </c>
      <c r="AD119" s="12">
        <v>129</v>
      </c>
      <c r="AE119" s="26">
        <v>1</v>
      </c>
    </row>
    <row r="120" spans="1:31">
      <c r="A120" s="11" t="s">
        <v>68</v>
      </c>
      <c r="B120" s="5">
        <v>2016</v>
      </c>
      <c r="C120" s="5" t="s">
        <v>72</v>
      </c>
      <c r="D120" s="5">
        <v>124.9</v>
      </c>
      <c r="E120" s="5">
        <v>139.30000000000001</v>
      </c>
      <c r="F120" s="5">
        <v>119.9</v>
      </c>
      <c r="G120" s="5">
        <v>130.19999999999999</v>
      </c>
      <c r="H120" s="5">
        <v>108.9</v>
      </c>
      <c r="I120" s="5">
        <v>131.1</v>
      </c>
      <c r="J120" s="5">
        <v>136.80000000000001</v>
      </c>
      <c r="K120" s="5">
        <v>176.9</v>
      </c>
      <c r="L120" s="5">
        <v>109.1</v>
      </c>
      <c r="M120" s="5">
        <v>140.4</v>
      </c>
      <c r="N120" s="5">
        <v>121.1</v>
      </c>
      <c r="O120" s="5">
        <v>135.9</v>
      </c>
      <c r="P120" s="5">
        <v>131.80000000000001</v>
      </c>
      <c r="Q120" s="5">
        <v>141.5</v>
      </c>
      <c r="R120" s="5">
        <v>126.8</v>
      </c>
      <c r="S120" s="5">
        <v>120.5</v>
      </c>
      <c r="T120" s="5">
        <v>125.8</v>
      </c>
      <c r="U120" s="5">
        <v>125.6</v>
      </c>
      <c r="V120" s="5">
        <v>114.6</v>
      </c>
      <c r="W120" s="5">
        <v>122.8</v>
      </c>
      <c r="X120" s="5">
        <v>120</v>
      </c>
      <c r="Y120" s="5">
        <v>110</v>
      </c>
      <c r="Z120" s="5">
        <v>119.5</v>
      </c>
      <c r="AA120" s="5">
        <v>127.6</v>
      </c>
      <c r="AB120" s="5">
        <v>117.6</v>
      </c>
      <c r="AC120" s="5">
        <v>118.2</v>
      </c>
      <c r="AD120" s="12">
        <v>125.3</v>
      </c>
      <c r="AE120" s="26">
        <v>1</v>
      </c>
    </row>
    <row r="121" spans="1:31">
      <c r="A121" s="11" t="s">
        <v>69</v>
      </c>
      <c r="B121" s="5">
        <v>2016</v>
      </c>
      <c r="C121" s="5" t="s">
        <v>72</v>
      </c>
      <c r="D121" s="5">
        <v>126.6</v>
      </c>
      <c r="E121" s="5">
        <v>136.80000000000001</v>
      </c>
      <c r="F121" s="5">
        <v>122</v>
      </c>
      <c r="G121" s="5">
        <v>130.9</v>
      </c>
      <c r="H121" s="5">
        <v>114.8</v>
      </c>
      <c r="I121" s="5">
        <v>134.80000000000001</v>
      </c>
      <c r="J121" s="5">
        <v>135</v>
      </c>
      <c r="K121" s="5">
        <v>167.5</v>
      </c>
      <c r="L121" s="5">
        <v>106.4</v>
      </c>
      <c r="M121" s="5">
        <v>134.4</v>
      </c>
      <c r="N121" s="5">
        <v>123.6</v>
      </c>
      <c r="O121" s="5">
        <v>136.69999999999999</v>
      </c>
      <c r="P121" s="5">
        <v>131.80000000000001</v>
      </c>
      <c r="Q121" s="5">
        <v>137.1</v>
      </c>
      <c r="R121" s="5">
        <v>131.80000000000001</v>
      </c>
      <c r="S121" s="5">
        <v>126.4</v>
      </c>
      <c r="T121" s="5">
        <v>131</v>
      </c>
      <c r="U121" s="5">
        <v>125.6</v>
      </c>
      <c r="V121" s="5">
        <v>122.3</v>
      </c>
      <c r="W121" s="5">
        <v>125.5</v>
      </c>
      <c r="X121" s="5">
        <v>123.2</v>
      </c>
      <c r="Y121" s="5">
        <v>112.1</v>
      </c>
      <c r="Z121" s="5">
        <v>121.1</v>
      </c>
      <c r="AA121" s="5">
        <v>127.7</v>
      </c>
      <c r="AB121" s="5">
        <v>118.1</v>
      </c>
      <c r="AC121" s="5">
        <v>120</v>
      </c>
      <c r="AD121" s="12">
        <v>127.3</v>
      </c>
      <c r="AE121" s="26">
        <v>1</v>
      </c>
    </row>
    <row r="122" spans="1:31">
      <c r="A122" s="11" t="s">
        <v>65</v>
      </c>
      <c r="B122" s="5">
        <v>2016</v>
      </c>
      <c r="C122" s="5" t="s">
        <v>73</v>
      </c>
      <c r="D122" s="5">
        <v>127.6</v>
      </c>
      <c r="E122" s="5">
        <v>137.5</v>
      </c>
      <c r="F122" s="5">
        <v>124.4</v>
      </c>
      <c r="G122" s="5">
        <v>132.4</v>
      </c>
      <c r="H122" s="5">
        <v>118.2</v>
      </c>
      <c r="I122" s="5">
        <v>138.1</v>
      </c>
      <c r="J122" s="5">
        <v>141.80000000000001</v>
      </c>
      <c r="K122" s="5">
        <v>166</v>
      </c>
      <c r="L122" s="5">
        <v>107.5</v>
      </c>
      <c r="M122" s="5">
        <v>132.19999999999999</v>
      </c>
      <c r="N122" s="5">
        <v>126.1</v>
      </c>
      <c r="O122" s="5">
        <v>138.30000000000001</v>
      </c>
      <c r="P122" s="5">
        <v>133.6</v>
      </c>
      <c r="Q122" s="5">
        <v>136</v>
      </c>
      <c r="R122" s="5">
        <v>135.4</v>
      </c>
      <c r="S122" s="5">
        <v>131.1</v>
      </c>
      <c r="T122" s="5">
        <v>134.80000000000001</v>
      </c>
      <c r="U122" s="5" t="s">
        <v>67</v>
      </c>
      <c r="V122" s="5">
        <v>127.4</v>
      </c>
      <c r="W122" s="5">
        <v>128.5</v>
      </c>
      <c r="X122" s="5">
        <v>125.8</v>
      </c>
      <c r="Y122" s="5">
        <v>115.1</v>
      </c>
      <c r="Z122" s="5">
        <v>123.6</v>
      </c>
      <c r="AA122" s="5">
        <v>129.1</v>
      </c>
      <c r="AB122" s="5">
        <v>119.7</v>
      </c>
      <c r="AC122" s="5">
        <v>122.5</v>
      </c>
      <c r="AD122" s="12">
        <v>130.30000000000001</v>
      </c>
      <c r="AE122" s="26">
        <v>1</v>
      </c>
    </row>
    <row r="123" spans="1:31">
      <c r="A123" s="11" t="s">
        <v>68</v>
      </c>
      <c r="B123" s="5">
        <v>2016</v>
      </c>
      <c r="C123" s="5" t="s">
        <v>73</v>
      </c>
      <c r="D123" s="5">
        <v>125</v>
      </c>
      <c r="E123" s="5">
        <v>142.1</v>
      </c>
      <c r="F123" s="5">
        <v>127</v>
      </c>
      <c r="G123" s="5">
        <v>130.4</v>
      </c>
      <c r="H123" s="5">
        <v>109.6</v>
      </c>
      <c r="I123" s="5">
        <v>133.5</v>
      </c>
      <c r="J123" s="5">
        <v>151.4</v>
      </c>
      <c r="K123" s="5">
        <v>182.8</v>
      </c>
      <c r="L123" s="5">
        <v>111.1</v>
      </c>
      <c r="M123" s="5">
        <v>141.5</v>
      </c>
      <c r="N123" s="5">
        <v>121.5</v>
      </c>
      <c r="O123" s="5">
        <v>136.30000000000001</v>
      </c>
      <c r="P123" s="5">
        <v>134.6</v>
      </c>
      <c r="Q123" s="5">
        <v>142.19999999999999</v>
      </c>
      <c r="R123" s="5">
        <v>127.2</v>
      </c>
      <c r="S123" s="5">
        <v>120.7</v>
      </c>
      <c r="T123" s="5">
        <v>126.2</v>
      </c>
      <c r="U123" s="5">
        <v>126</v>
      </c>
      <c r="V123" s="5">
        <v>115</v>
      </c>
      <c r="W123" s="5">
        <v>123.2</v>
      </c>
      <c r="X123" s="5">
        <v>120.3</v>
      </c>
      <c r="Y123" s="5">
        <v>110.7</v>
      </c>
      <c r="Z123" s="5">
        <v>119.8</v>
      </c>
      <c r="AA123" s="5">
        <v>128</v>
      </c>
      <c r="AB123" s="5">
        <v>118.5</v>
      </c>
      <c r="AC123" s="5">
        <v>118.7</v>
      </c>
      <c r="AD123" s="12">
        <v>126.6</v>
      </c>
      <c r="AE123" s="26">
        <v>1</v>
      </c>
    </row>
    <row r="124" spans="1:31">
      <c r="A124" s="11" t="s">
        <v>69</v>
      </c>
      <c r="B124" s="5">
        <v>2016</v>
      </c>
      <c r="C124" s="5" t="s">
        <v>73</v>
      </c>
      <c r="D124" s="5">
        <v>126.8</v>
      </c>
      <c r="E124" s="5">
        <v>139.1</v>
      </c>
      <c r="F124" s="5">
        <v>125.4</v>
      </c>
      <c r="G124" s="5">
        <v>131.69999999999999</v>
      </c>
      <c r="H124" s="5">
        <v>115</v>
      </c>
      <c r="I124" s="5">
        <v>136</v>
      </c>
      <c r="J124" s="5">
        <v>145.1</v>
      </c>
      <c r="K124" s="5">
        <v>171.7</v>
      </c>
      <c r="L124" s="5">
        <v>108.7</v>
      </c>
      <c r="M124" s="5">
        <v>135.30000000000001</v>
      </c>
      <c r="N124" s="5">
        <v>124.2</v>
      </c>
      <c r="O124" s="5">
        <v>137.4</v>
      </c>
      <c r="P124" s="5">
        <v>134</v>
      </c>
      <c r="Q124" s="5">
        <v>137.69999999999999</v>
      </c>
      <c r="R124" s="5">
        <v>132.19999999999999</v>
      </c>
      <c r="S124" s="5">
        <v>126.8</v>
      </c>
      <c r="T124" s="5">
        <v>131.4</v>
      </c>
      <c r="U124" s="5">
        <v>126</v>
      </c>
      <c r="V124" s="5">
        <v>122.7</v>
      </c>
      <c r="W124" s="5">
        <v>126</v>
      </c>
      <c r="X124" s="5">
        <v>123.7</v>
      </c>
      <c r="Y124" s="5">
        <v>112.8</v>
      </c>
      <c r="Z124" s="5">
        <v>121.5</v>
      </c>
      <c r="AA124" s="5">
        <v>128.5</v>
      </c>
      <c r="AB124" s="5">
        <v>119.2</v>
      </c>
      <c r="AC124" s="5">
        <v>120.7</v>
      </c>
      <c r="AD124" s="12">
        <v>128.6</v>
      </c>
      <c r="AE124" s="26">
        <v>1</v>
      </c>
    </row>
    <row r="125" spans="1:31">
      <c r="A125" s="11" t="s">
        <v>65</v>
      </c>
      <c r="B125" s="5">
        <v>2016</v>
      </c>
      <c r="C125" s="5" t="s">
        <v>74</v>
      </c>
      <c r="D125" s="5">
        <v>128.6</v>
      </c>
      <c r="E125" s="5">
        <v>138.6</v>
      </c>
      <c r="F125" s="5">
        <v>126.6</v>
      </c>
      <c r="G125" s="5">
        <v>133.6</v>
      </c>
      <c r="H125" s="5">
        <v>118.6</v>
      </c>
      <c r="I125" s="5">
        <v>137.4</v>
      </c>
      <c r="J125" s="5">
        <v>152.5</v>
      </c>
      <c r="K125" s="5">
        <v>169.2</v>
      </c>
      <c r="L125" s="5">
        <v>108.8</v>
      </c>
      <c r="M125" s="5">
        <v>133.1</v>
      </c>
      <c r="N125" s="5">
        <v>126.4</v>
      </c>
      <c r="O125" s="5">
        <v>139.19999999999999</v>
      </c>
      <c r="P125" s="5">
        <v>136</v>
      </c>
      <c r="Q125" s="5">
        <v>137.19999999999999</v>
      </c>
      <c r="R125" s="5">
        <v>136.30000000000001</v>
      </c>
      <c r="S125" s="5">
        <v>131.6</v>
      </c>
      <c r="T125" s="5">
        <v>135.6</v>
      </c>
      <c r="U125" s="5" t="s">
        <v>67</v>
      </c>
      <c r="V125" s="5">
        <v>128</v>
      </c>
      <c r="W125" s="5">
        <v>129.30000000000001</v>
      </c>
      <c r="X125" s="5">
        <v>126.2</v>
      </c>
      <c r="Y125" s="5">
        <v>116.3</v>
      </c>
      <c r="Z125" s="5">
        <v>124.1</v>
      </c>
      <c r="AA125" s="5">
        <v>130.19999999999999</v>
      </c>
      <c r="AB125" s="5">
        <v>119.9</v>
      </c>
      <c r="AC125" s="5">
        <v>123.3</v>
      </c>
      <c r="AD125" s="12">
        <v>131.9</v>
      </c>
      <c r="AE125" s="26">
        <v>1</v>
      </c>
    </row>
    <row r="126" spans="1:31">
      <c r="A126" s="11" t="s">
        <v>68</v>
      </c>
      <c r="B126" s="5">
        <v>2016</v>
      </c>
      <c r="C126" s="5" t="s">
        <v>74</v>
      </c>
      <c r="D126" s="5">
        <v>125.9</v>
      </c>
      <c r="E126" s="5">
        <v>143.9</v>
      </c>
      <c r="F126" s="5">
        <v>130.9</v>
      </c>
      <c r="G126" s="5">
        <v>131</v>
      </c>
      <c r="H126" s="5">
        <v>110.2</v>
      </c>
      <c r="I126" s="5">
        <v>135.5</v>
      </c>
      <c r="J126" s="5">
        <v>173.7</v>
      </c>
      <c r="K126" s="5">
        <v>184.4</v>
      </c>
      <c r="L126" s="5">
        <v>112</v>
      </c>
      <c r="M126" s="5">
        <v>142.80000000000001</v>
      </c>
      <c r="N126" s="5">
        <v>121.6</v>
      </c>
      <c r="O126" s="5">
        <v>136.9</v>
      </c>
      <c r="P126" s="5">
        <v>138.19999999999999</v>
      </c>
      <c r="Q126" s="5">
        <v>142.69999999999999</v>
      </c>
      <c r="R126" s="5">
        <v>127.6</v>
      </c>
      <c r="S126" s="5">
        <v>121.1</v>
      </c>
      <c r="T126" s="5">
        <v>126.6</v>
      </c>
      <c r="U126" s="5">
        <v>125.5</v>
      </c>
      <c r="V126" s="5">
        <v>115.5</v>
      </c>
      <c r="W126" s="5">
        <v>123.2</v>
      </c>
      <c r="X126" s="5">
        <v>120.6</v>
      </c>
      <c r="Y126" s="5">
        <v>112.3</v>
      </c>
      <c r="Z126" s="5">
        <v>119.9</v>
      </c>
      <c r="AA126" s="5">
        <v>129.30000000000001</v>
      </c>
      <c r="AB126" s="5">
        <v>118.8</v>
      </c>
      <c r="AC126" s="5">
        <v>119.6</v>
      </c>
      <c r="AD126" s="12">
        <v>128.1</v>
      </c>
      <c r="AE126" s="26">
        <v>1</v>
      </c>
    </row>
    <row r="127" spans="1:31">
      <c r="A127" s="11" t="s">
        <v>69</v>
      </c>
      <c r="B127" s="5">
        <v>2016</v>
      </c>
      <c r="C127" s="5" t="s">
        <v>74</v>
      </c>
      <c r="D127" s="5">
        <v>127.7</v>
      </c>
      <c r="E127" s="5">
        <v>140.5</v>
      </c>
      <c r="F127" s="5">
        <v>128.30000000000001</v>
      </c>
      <c r="G127" s="5">
        <v>132.6</v>
      </c>
      <c r="H127" s="5">
        <v>115.5</v>
      </c>
      <c r="I127" s="5">
        <v>136.5</v>
      </c>
      <c r="J127" s="5">
        <v>159.69999999999999</v>
      </c>
      <c r="K127" s="5">
        <v>174.3</v>
      </c>
      <c r="L127" s="5">
        <v>109.9</v>
      </c>
      <c r="M127" s="5">
        <v>136.30000000000001</v>
      </c>
      <c r="N127" s="5">
        <v>124.4</v>
      </c>
      <c r="O127" s="5">
        <v>138.1</v>
      </c>
      <c r="P127" s="5">
        <v>136.80000000000001</v>
      </c>
      <c r="Q127" s="5">
        <v>138.69999999999999</v>
      </c>
      <c r="R127" s="5">
        <v>132.9</v>
      </c>
      <c r="S127" s="5">
        <v>127.2</v>
      </c>
      <c r="T127" s="5">
        <v>132</v>
      </c>
      <c r="U127" s="5">
        <v>125.5</v>
      </c>
      <c r="V127" s="5">
        <v>123.3</v>
      </c>
      <c r="W127" s="5">
        <v>126.4</v>
      </c>
      <c r="X127" s="5">
        <v>124.1</v>
      </c>
      <c r="Y127" s="5">
        <v>114.2</v>
      </c>
      <c r="Z127" s="5">
        <v>121.7</v>
      </c>
      <c r="AA127" s="5">
        <v>129.69999999999999</v>
      </c>
      <c r="AB127" s="5">
        <v>119.4</v>
      </c>
      <c r="AC127" s="5">
        <v>121.5</v>
      </c>
      <c r="AD127" s="12">
        <v>130.1</v>
      </c>
      <c r="AE127" s="26">
        <v>1</v>
      </c>
    </row>
    <row r="128" spans="1:31">
      <c r="A128" s="11" t="s">
        <v>65</v>
      </c>
      <c r="B128" s="5">
        <v>2016</v>
      </c>
      <c r="C128" s="5" t="s">
        <v>75</v>
      </c>
      <c r="D128" s="5">
        <v>129.30000000000001</v>
      </c>
      <c r="E128" s="5">
        <v>139.5</v>
      </c>
      <c r="F128" s="5">
        <v>129.6</v>
      </c>
      <c r="G128" s="5">
        <v>134.5</v>
      </c>
      <c r="H128" s="5">
        <v>119.5</v>
      </c>
      <c r="I128" s="5">
        <v>138.5</v>
      </c>
      <c r="J128" s="5">
        <v>158.19999999999999</v>
      </c>
      <c r="K128" s="5">
        <v>171.8</v>
      </c>
      <c r="L128" s="5">
        <v>110.3</v>
      </c>
      <c r="M128" s="5">
        <v>134.30000000000001</v>
      </c>
      <c r="N128" s="5">
        <v>127.3</v>
      </c>
      <c r="O128" s="5">
        <v>139.9</v>
      </c>
      <c r="P128" s="5">
        <v>137.6</v>
      </c>
      <c r="Q128" s="5">
        <v>138</v>
      </c>
      <c r="R128" s="5">
        <v>137.19999999999999</v>
      </c>
      <c r="S128" s="5">
        <v>132.19999999999999</v>
      </c>
      <c r="T128" s="5">
        <v>136.5</v>
      </c>
      <c r="U128" s="5" t="s">
        <v>67</v>
      </c>
      <c r="V128" s="5">
        <v>128.19999999999999</v>
      </c>
      <c r="W128" s="5">
        <v>130</v>
      </c>
      <c r="X128" s="5">
        <v>126.7</v>
      </c>
      <c r="Y128" s="5">
        <v>116.4</v>
      </c>
      <c r="Z128" s="5">
        <v>125.2</v>
      </c>
      <c r="AA128" s="5">
        <v>130.80000000000001</v>
      </c>
      <c r="AB128" s="5">
        <v>120.9</v>
      </c>
      <c r="AC128" s="5">
        <v>123.8</v>
      </c>
      <c r="AD128" s="12">
        <v>133</v>
      </c>
      <c r="AE128" s="26">
        <v>1</v>
      </c>
    </row>
    <row r="129" spans="1:31">
      <c r="A129" s="11" t="s">
        <v>68</v>
      </c>
      <c r="B129" s="5">
        <v>2016</v>
      </c>
      <c r="C129" s="5" t="s">
        <v>75</v>
      </c>
      <c r="D129" s="5">
        <v>126.8</v>
      </c>
      <c r="E129" s="5">
        <v>144.19999999999999</v>
      </c>
      <c r="F129" s="5">
        <v>136.6</v>
      </c>
      <c r="G129" s="5">
        <v>131.80000000000001</v>
      </c>
      <c r="H129" s="5">
        <v>111</v>
      </c>
      <c r="I129" s="5">
        <v>137</v>
      </c>
      <c r="J129" s="5">
        <v>179.5</v>
      </c>
      <c r="K129" s="5">
        <v>188.4</v>
      </c>
      <c r="L129" s="5">
        <v>113.3</v>
      </c>
      <c r="M129" s="5">
        <v>143.9</v>
      </c>
      <c r="N129" s="5">
        <v>121.7</v>
      </c>
      <c r="O129" s="5">
        <v>137.5</v>
      </c>
      <c r="P129" s="5">
        <v>139.80000000000001</v>
      </c>
      <c r="Q129" s="5">
        <v>142.9</v>
      </c>
      <c r="R129" s="5">
        <v>127.9</v>
      </c>
      <c r="S129" s="5">
        <v>121.1</v>
      </c>
      <c r="T129" s="5">
        <v>126.9</v>
      </c>
      <c r="U129" s="5">
        <v>126.4</v>
      </c>
      <c r="V129" s="5">
        <v>115.5</v>
      </c>
      <c r="W129" s="5">
        <v>123.5</v>
      </c>
      <c r="X129" s="5">
        <v>120.9</v>
      </c>
      <c r="Y129" s="5">
        <v>111.7</v>
      </c>
      <c r="Z129" s="5">
        <v>120.3</v>
      </c>
      <c r="AA129" s="5">
        <v>130.80000000000001</v>
      </c>
      <c r="AB129" s="5">
        <v>120</v>
      </c>
      <c r="AC129" s="5">
        <v>119.9</v>
      </c>
      <c r="AD129" s="12">
        <v>129</v>
      </c>
      <c r="AE129" s="26">
        <v>1</v>
      </c>
    </row>
    <row r="130" spans="1:31">
      <c r="A130" s="11" t="s">
        <v>69</v>
      </c>
      <c r="B130" s="5">
        <v>2016</v>
      </c>
      <c r="C130" s="5" t="s">
        <v>75</v>
      </c>
      <c r="D130" s="5">
        <v>128.5</v>
      </c>
      <c r="E130" s="5">
        <v>141.19999999999999</v>
      </c>
      <c r="F130" s="5">
        <v>132.30000000000001</v>
      </c>
      <c r="G130" s="5">
        <v>133.5</v>
      </c>
      <c r="H130" s="5">
        <v>116.4</v>
      </c>
      <c r="I130" s="5">
        <v>137.80000000000001</v>
      </c>
      <c r="J130" s="5">
        <v>165.4</v>
      </c>
      <c r="K130" s="5">
        <v>177.4</v>
      </c>
      <c r="L130" s="5">
        <v>111.3</v>
      </c>
      <c r="M130" s="5">
        <v>137.5</v>
      </c>
      <c r="N130" s="5">
        <v>125</v>
      </c>
      <c r="O130" s="5">
        <v>138.80000000000001</v>
      </c>
      <c r="P130" s="5">
        <v>138.4</v>
      </c>
      <c r="Q130" s="5">
        <v>139.30000000000001</v>
      </c>
      <c r="R130" s="5">
        <v>133.5</v>
      </c>
      <c r="S130" s="5">
        <v>127.6</v>
      </c>
      <c r="T130" s="5">
        <v>132.69999999999999</v>
      </c>
      <c r="U130" s="5">
        <v>126.4</v>
      </c>
      <c r="V130" s="5">
        <v>123.4</v>
      </c>
      <c r="W130" s="5">
        <v>126.9</v>
      </c>
      <c r="X130" s="5">
        <v>124.5</v>
      </c>
      <c r="Y130" s="5">
        <v>113.9</v>
      </c>
      <c r="Z130" s="5">
        <v>122.4</v>
      </c>
      <c r="AA130" s="5">
        <v>130.80000000000001</v>
      </c>
      <c r="AB130" s="5">
        <v>120.5</v>
      </c>
      <c r="AC130" s="5">
        <v>121.9</v>
      </c>
      <c r="AD130" s="12">
        <v>131.1</v>
      </c>
      <c r="AE130" s="26">
        <v>1</v>
      </c>
    </row>
    <row r="131" spans="1:31">
      <c r="A131" s="11" t="s">
        <v>65</v>
      </c>
      <c r="B131" s="5">
        <v>2016</v>
      </c>
      <c r="C131" s="5" t="s">
        <v>76</v>
      </c>
      <c r="D131" s="5">
        <v>130.1</v>
      </c>
      <c r="E131" s="5">
        <v>138.80000000000001</v>
      </c>
      <c r="F131" s="5">
        <v>130.30000000000001</v>
      </c>
      <c r="G131" s="5">
        <v>135.30000000000001</v>
      </c>
      <c r="H131" s="5">
        <v>119.9</v>
      </c>
      <c r="I131" s="5">
        <v>140.19999999999999</v>
      </c>
      <c r="J131" s="5">
        <v>156.9</v>
      </c>
      <c r="K131" s="5">
        <v>172.2</v>
      </c>
      <c r="L131" s="5">
        <v>112.1</v>
      </c>
      <c r="M131" s="5">
        <v>134.9</v>
      </c>
      <c r="N131" s="5">
        <v>128.1</v>
      </c>
      <c r="O131" s="5">
        <v>140.69999999999999</v>
      </c>
      <c r="P131" s="5">
        <v>138</v>
      </c>
      <c r="Q131" s="5">
        <v>138.9</v>
      </c>
      <c r="R131" s="5">
        <v>137.80000000000001</v>
      </c>
      <c r="S131" s="5">
        <v>133</v>
      </c>
      <c r="T131" s="5">
        <v>137.1</v>
      </c>
      <c r="U131" s="5" t="s">
        <v>67</v>
      </c>
      <c r="V131" s="5">
        <v>129.1</v>
      </c>
      <c r="W131" s="5">
        <v>130.6</v>
      </c>
      <c r="X131" s="5">
        <v>127</v>
      </c>
      <c r="Y131" s="5">
        <v>116</v>
      </c>
      <c r="Z131" s="5">
        <v>125.5</v>
      </c>
      <c r="AA131" s="5">
        <v>131.9</v>
      </c>
      <c r="AB131" s="5">
        <v>122</v>
      </c>
      <c r="AC131" s="5">
        <v>124.2</v>
      </c>
      <c r="AD131" s="12">
        <v>133.5</v>
      </c>
      <c r="AE131" s="26">
        <v>1</v>
      </c>
    </row>
    <row r="132" spans="1:31">
      <c r="A132" s="11" t="s">
        <v>68</v>
      </c>
      <c r="B132" s="5">
        <v>2016</v>
      </c>
      <c r="C132" s="5" t="s">
        <v>76</v>
      </c>
      <c r="D132" s="5">
        <v>127.6</v>
      </c>
      <c r="E132" s="5">
        <v>140.30000000000001</v>
      </c>
      <c r="F132" s="5">
        <v>133.69999999999999</v>
      </c>
      <c r="G132" s="5">
        <v>132.19999999999999</v>
      </c>
      <c r="H132" s="5">
        <v>111.8</v>
      </c>
      <c r="I132" s="5">
        <v>135.80000000000001</v>
      </c>
      <c r="J132" s="5">
        <v>163.5</v>
      </c>
      <c r="K132" s="5">
        <v>182.3</v>
      </c>
      <c r="L132" s="5">
        <v>114.6</v>
      </c>
      <c r="M132" s="5">
        <v>144.6</v>
      </c>
      <c r="N132" s="5">
        <v>121.9</v>
      </c>
      <c r="O132" s="5">
        <v>138.1</v>
      </c>
      <c r="P132" s="5">
        <v>137.6</v>
      </c>
      <c r="Q132" s="5">
        <v>143.6</v>
      </c>
      <c r="R132" s="5">
        <v>128.30000000000001</v>
      </c>
      <c r="S132" s="5">
        <v>121.4</v>
      </c>
      <c r="T132" s="5">
        <v>127.3</v>
      </c>
      <c r="U132" s="5">
        <v>127.3</v>
      </c>
      <c r="V132" s="5">
        <v>114.7</v>
      </c>
      <c r="W132" s="5">
        <v>123.9</v>
      </c>
      <c r="X132" s="5">
        <v>121.2</v>
      </c>
      <c r="Y132" s="5">
        <v>110.4</v>
      </c>
      <c r="Z132" s="5">
        <v>120.6</v>
      </c>
      <c r="AA132" s="5">
        <v>131.5</v>
      </c>
      <c r="AB132" s="5">
        <v>120.9</v>
      </c>
      <c r="AC132" s="5">
        <v>119.9</v>
      </c>
      <c r="AD132" s="12">
        <v>128.4</v>
      </c>
      <c r="AE132" s="26">
        <v>1</v>
      </c>
    </row>
    <row r="133" spans="1:31">
      <c r="A133" s="11" t="s">
        <v>69</v>
      </c>
      <c r="B133" s="5">
        <v>2016</v>
      </c>
      <c r="C133" s="5" t="s">
        <v>76</v>
      </c>
      <c r="D133" s="5">
        <v>129.30000000000001</v>
      </c>
      <c r="E133" s="5">
        <v>139.30000000000001</v>
      </c>
      <c r="F133" s="5">
        <v>131.6</v>
      </c>
      <c r="G133" s="5">
        <v>134.1</v>
      </c>
      <c r="H133" s="5">
        <v>116.9</v>
      </c>
      <c r="I133" s="5">
        <v>138.1</v>
      </c>
      <c r="J133" s="5">
        <v>159.1</v>
      </c>
      <c r="K133" s="5">
        <v>175.6</v>
      </c>
      <c r="L133" s="5">
        <v>112.9</v>
      </c>
      <c r="M133" s="5">
        <v>138.1</v>
      </c>
      <c r="N133" s="5">
        <v>125.5</v>
      </c>
      <c r="O133" s="5">
        <v>139.5</v>
      </c>
      <c r="P133" s="5">
        <v>137.9</v>
      </c>
      <c r="Q133" s="5">
        <v>140.19999999999999</v>
      </c>
      <c r="R133" s="5">
        <v>134.1</v>
      </c>
      <c r="S133" s="5">
        <v>128.19999999999999</v>
      </c>
      <c r="T133" s="5">
        <v>133.19999999999999</v>
      </c>
      <c r="U133" s="5">
        <v>127.3</v>
      </c>
      <c r="V133" s="5">
        <v>123.6</v>
      </c>
      <c r="W133" s="5">
        <v>127.4</v>
      </c>
      <c r="X133" s="5">
        <v>124.8</v>
      </c>
      <c r="Y133" s="5">
        <v>113.1</v>
      </c>
      <c r="Z133" s="5">
        <v>122.7</v>
      </c>
      <c r="AA133" s="5">
        <v>131.69999999999999</v>
      </c>
      <c r="AB133" s="5">
        <v>121.5</v>
      </c>
      <c r="AC133" s="5">
        <v>122.1</v>
      </c>
      <c r="AD133" s="12">
        <v>131.1</v>
      </c>
      <c r="AE133" s="26">
        <v>1</v>
      </c>
    </row>
    <row r="134" spans="1:31">
      <c r="A134" s="11" t="s">
        <v>65</v>
      </c>
      <c r="B134" s="5">
        <v>2016</v>
      </c>
      <c r="C134" s="5" t="s">
        <v>77</v>
      </c>
      <c r="D134" s="5">
        <v>130.80000000000001</v>
      </c>
      <c r="E134" s="5">
        <v>138.19999999999999</v>
      </c>
      <c r="F134" s="5">
        <v>130.5</v>
      </c>
      <c r="G134" s="5">
        <v>135.5</v>
      </c>
      <c r="H134" s="5">
        <v>120.2</v>
      </c>
      <c r="I134" s="5">
        <v>139.19999999999999</v>
      </c>
      <c r="J134" s="5">
        <v>149.5</v>
      </c>
      <c r="K134" s="5">
        <v>170.4</v>
      </c>
      <c r="L134" s="5">
        <v>113.1</v>
      </c>
      <c r="M134" s="5">
        <v>135.80000000000001</v>
      </c>
      <c r="N134" s="5">
        <v>128.80000000000001</v>
      </c>
      <c r="O134" s="5">
        <v>141.5</v>
      </c>
      <c r="P134" s="5">
        <v>137.19999999999999</v>
      </c>
      <c r="Q134" s="5">
        <v>139.9</v>
      </c>
      <c r="R134" s="5">
        <v>138.5</v>
      </c>
      <c r="S134" s="5">
        <v>133.5</v>
      </c>
      <c r="T134" s="5">
        <v>137.80000000000001</v>
      </c>
      <c r="U134" s="5" t="s">
        <v>67</v>
      </c>
      <c r="V134" s="5">
        <v>129.69999999999999</v>
      </c>
      <c r="W134" s="5">
        <v>131.1</v>
      </c>
      <c r="X134" s="5">
        <v>127.8</v>
      </c>
      <c r="Y134" s="5">
        <v>117</v>
      </c>
      <c r="Z134" s="5">
        <v>125.7</v>
      </c>
      <c r="AA134" s="5">
        <v>132.19999999999999</v>
      </c>
      <c r="AB134" s="5">
        <v>122.8</v>
      </c>
      <c r="AC134" s="5">
        <v>124.9</v>
      </c>
      <c r="AD134" s="12">
        <v>133.4</v>
      </c>
      <c r="AE134" s="26">
        <v>1</v>
      </c>
    </row>
    <row r="135" spans="1:31">
      <c r="A135" s="11" t="s">
        <v>68</v>
      </c>
      <c r="B135" s="5">
        <v>2016</v>
      </c>
      <c r="C135" s="5" t="s">
        <v>77</v>
      </c>
      <c r="D135" s="5">
        <v>128.1</v>
      </c>
      <c r="E135" s="5">
        <v>137.69999999999999</v>
      </c>
      <c r="F135" s="5">
        <v>130.6</v>
      </c>
      <c r="G135" s="5">
        <v>132.6</v>
      </c>
      <c r="H135" s="5">
        <v>111.9</v>
      </c>
      <c r="I135" s="5">
        <v>132.5</v>
      </c>
      <c r="J135" s="5">
        <v>152.9</v>
      </c>
      <c r="K135" s="5">
        <v>173.6</v>
      </c>
      <c r="L135" s="5">
        <v>115.1</v>
      </c>
      <c r="M135" s="5">
        <v>144.80000000000001</v>
      </c>
      <c r="N135" s="5">
        <v>122.1</v>
      </c>
      <c r="O135" s="5">
        <v>138.80000000000001</v>
      </c>
      <c r="P135" s="5">
        <v>135.69999999999999</v>
      </c>
      <c r="Q135" s="5">
        <v>143.9</v>
      </c>
      <c r="R135" s="5">
        <v>128.69999999999999</v>
      </c>
      <c r="S135" s="5">
        <v>121.6</v>
      </c>
      <c r="T135" s="5">
        <v>127.7</v>
      </c>
      <c r="U135" s="5">
        <v>127.9</v>
      </c>
      <c r="V135" s="5">
        <v>114.8</v>
      </c>
      <c r="W135" s="5">
        <v>124.3</v>
      </c>
      <c r="X135" s="5">
        <v>121.4</v>
      </c>
      <c r="Y135" s="5">
        <v>111.8</v>
      </c>
      <c r="Z135" s="5">
        <v>120.8</v>
      </c>
      <c r="AA135" s="5">
        <v>131.6</v>
      </c>
      <c r="AB135" s="5">
        <v>121.2</v>
      </c>
      <c r="AC135" s="5">
        <v>120.5</v>
      </c>
      <c r="AD135" s="12">
        <v>128</v>
      </c>
      <c r="AE135" s="26">
        <v>1</v>
      </c>
    </row>
    <row r="136" spans="1:31">
      <c r="A136" s="11" t="s">
        <v>69</v>
      </c>
      <c r="B136" s="5">
        <v>2016</v>
      </c>
      <c r="C136" s="5" t="s">
        <v>77</v>
      </c>
      <c r="D136" s="5">
        <v>129.9</v>
      </c>
      <c r="E136" s="5">
        <v>138</v>
      </c>
      <c r="F136" s="5">
        <v>130.5</v>
      </c>
      <c r="G136" s="5">
        <v>134.4</v>
      </c>
      <c r="H136" s="5">
        <v>117.2</v>
      </c>
      <c r="I136" s="5">
        <v>136.1</v>
      </c>
      <c r="J136" s="5">
        <v>150.69999999999999</v>
      </c>
      <c r="K136" s="5">
        <v>171.5</v>
      </c>
      <c r="L136" s="5">
        <v>113.8</v>
      </c>
      <c r="M136" s="5">
        <v>138.80000000000001</v>
      </c>
      <c r="N136" s="5">
        <v>126</v>
      </c>
      <c r="O136" s="5">
        <v>140.19999999999999</v>
      </c>
      <c r="P136" s="5">
        <v>136.6</v>
      </c>
      <c r="Q136" s="5">
        <v>141</v>
      </c>
      <c r="R136" s="5">
        <v>134.6</v>
      </c>
      <c r="S136" s="5">
        <v>128.6</v>
      </c>
      <c r="T136" s="5">
        <v>133.80000000000001</v>
      </c>
      <c r="U136" s="5">
        <v>127.9</v>
      </c>
      <c r="V136" s="5">
        <v>124.1</v>
      </c>
      <c r="W136" s="5">
        <v>127.9</v>
      </c>
      <c r="X136" s="5">
        <v>125.4</v>
      </c>
      <c r="Y136" s="5">
        <v>114.3</v>
      </c>
      <c r="Z136" s="5">
        <v>122.9</v>
      </c>
      <c r="AA136" s="5">
        <v>131.80000000000001</v>
      </c>
      <c r="AB136" s="5">
        <v>122.1</v>
      </c>
      <c r="AC136" s="5">
        <v>122.8</v>
      </c>
      <c r="AD136" s="12">
        <v>130.9</v>
      </c>
      <c r="AE136" s="26">
        <v>1</v>
      </c>
    </row>
    <row r="137" spans="1:31">
      <c r="A137" s="11" t="s">
        <v>65</v>
      </c>
      <c r="B137" s="5">
        <v>2016</v>
      </c>
      <c r="C137" s="5" t="s">
        <v>78</v>
      </c>
      <c r="D137" s="5">
        <v>131.30000000000001</v>
      </c>
      <c r="E137" s="5">
        <v>137.6</v>
      </c>
      <c r="F137" s="5">
        <v>130.1</v>
      </c>
      <c r="G137" s="5">
        <v>136</v>
      </c>
      <c r="H137" s="5">
        <v>120.8</v>
      </c>
      <c r="I137" s="5">
        <v>138.4</v>
      </c>
      <c r="J137" s="5">
        <v>149.19999999999999</v>
      </c>
      <c r="K137" s="5">
        <v>170.2</v>
      </c>
      <c r="L137" s="5">
        <v>113.4</v>
      </c>
      <c r="M137" s="5">
        <v>136.30000000000001</v>
      </c>
      <c r="N137" s="5">
        <v>128.69999999999999</v>
      </c>
      <c r="O137" s="5">
        <v>142.4</v>
      </c>
      <c r="P137" s="5">
        <v>137.4</v>
      </c>
      <c r="Q137" s="5">
        <v>140.9</v>
      </c>
      <c r="R137" s="5">
        <v>139.6</v>
      </c>
      <c r="S137" s="5">
        <v>134.30000000000001</v>
      </c>
      <c r="T137" s="5">
        <v>138.80000000000001</v>
      </c>
      <c r="U137" s="5" t="s">
        <v>67</v>
      </c>
      <c r="V137" s="5">
        <v>129.80000000000001</v>
      </c>
      <c r="W137" s="5">
        <v>131.80000000000001</v>
      </c>
      <c r="X137" s="5">
        <v>128.69999999999999</v>
      </c>
      <c r="Y137" s="5">
        <v>117.8</v>
      </c>
      <c r="Z137" s="5">
        <v>126.5</v>
      </c>
      <c r="AA137" s="5">
        <v>133</v>
      </c>
      <c r="AB137" s="5">
        <v>123</v>
      </c>
      <c r="AC137" s="5">
        <v>125.7</v>
      </c>
      <c r="AD137" s="12">
        <v>133.80000000000001</v>
      </c>
      <c r="AE137" s="26">
        <v>1</v>
      </c>
    </row>
    <row r="138" spans="1:31">
      <c r="A138" s="11" t="s">
        <v>68</v>
      </c>
      <c r="B138" s="5">
        <v>2016</v>
      </c>
      <c r="C138" s="5" t="s">
        <v>78</v>
      </c>
      <c r="D138" s="5">
        <v>128.69999999999999</v>
      </c>
      <c r="E138" s="5">
        <v>138.4</v>
      </c>
      <c r="F138" s="5">
        <v>130.30000000000001</v>
      </c>
      <c r="G138" s="5">
        <v>132.69999999999999</v>
      </c>
      <c r="H138" s="5">
        <v>112.5</v>
      </c>
      <c r="I138" s="5">
        <v>130.4</v>
      </c>
      <c r="J138" s="5">
        <v>155.1</v>
      </c>
      <c r="K138" s="5">
        <v>175.7</v>
      </c>
      <c r="L138" s="5">
        <v>115.4</v>
      </c>
      <c r="M138" s="5">
        <v>145.30000000000001</v>
      </c>
      <c r="N138" s="5">
        <v>122.5</v>
      </c>
      <c r="O138" s="5">
        <v>139.6</v>
      </c>
      <c r="P138" s="5">
        <v>136.30000000000001</v>
      </c>
      <c r="Q138" s="5">
        <v>144.30000000000001</v>
      </c>
      <c r="R138" s="5">
        <v>129.1</v>
      </c>
      <c r="S138" s="5">
        <v>121.9</v>
      </c>
      <c r="T138" s="5">
        <v>128</v>
      </c>
      <c r="U138" s="5">
        <v>128.69999999999999</v>
      </c>
      <c r="V138" s="5">
        <v>115.2</v>
      </c>
      <c r="W138" s="5">
        <v>124.5</v>
      </c>
      <c r="X138" s="5">
        <v>121.8</v>
      </c>
      <c r="Y138" s="5">
        <v>112.8</v>
      </c>
      <c r="Z138" s="5">
        <v>121.2</v>
      </c>
      <c r="AA138" s="5">
        <v>131.9</v>
      </c>
      <c r="AB138" s="5">
        <v>120.8</v>
      </c>
      <c r="AC138" s="5">
        <v>120.9</v>
      </c>
      <c r="AD138" s="12">
        <v>128.6</v>
      </c>
      <c r="AE138" s="26">
        <v>1</v>
      </c>
    </row>
    <row r="139" spans="1:31">
      <c r="A139" s="11" t="s">
        <v>69</v>
      </c>
      <c r="B139" s="5">
        <v>2016</v>
      </c>
      <c r="C139" s="5" t="s">
        <v>78</v>
      </c>
      <c r="D139" s="5">
        <v>130.5</v>
      </c>
      <c r="E139" s="5">
        <v>137.9</v>
      </c>
      <c r="F139" s="5">
        <v>130.19999999999999</v>
      </c>
      <c r="G139" s="5">
        <v>134.80000000000001</v>
      </c>
      <c r="H139" s="5">
        <v>117.8</v>
      </c>
      <c r="I139" s="5">
        <v>134.69999999999999</v>
      </c>
      <c r="J139" s="5">
        <v>151.19999999999999</v>
      </c>
      <c r="K139" s="5">
        <v>172.1</v>
      </c>
      <c r="L139" s="5">
        <v>114.1</v>
      </c>
      <c r="M139" s="5">
        <v>139.30000000000001</v>
      </c>
      <c r="N139" s="5">
        <v>126.1</v>
      </c>
      <c r="O139" s="5">
        <v>141.1</v>
      </c>
      <c r="P139" s="5">
        <v>137</v>
      </c>
      <c r="Q139" s="5">
        <v>141.80000000000001</v>
      </c>
      <c r="R139" s="5">
        <v>135.5</v>
      </c>
      <c r="S139" s="5">
        <v>129.1</v>
      </c>
      <c r="T139" s="5">
        <v>134.5</v>
      </c>
      <c r="U139" s="5">
        <v>128.69999999999999</v>
      </c>
      <c r="V139" s="5">
        <v>124.3</v>
      </c>
      <c r="W139" s="5">
        <v>128.4</v>
      </c>
      <c r="X139" s="5">
        <v>126.1</v>
      </c>
      <c r="Y139" s="5">
        <v>115.2</v>
      </c>
      <c r="Z139" s="5">
        <v>123.5</v>
      </c>
      <c r="AA139" s="5">
        <v>132.4</v>
      </c>
      <c r="AB139" s="5">
        <v>122.1</v>
      </c>
      <c r="AC139" s="5">
        <v>123.4</v>
      </c>
      <c r="AD139" s="12">
        <v>131.4</v>
      </c>
      <c r="AE139" s="26">
        <v>1</v>
      </c>
    </row>
    <row r="140" spans="1:31">
      <c r="A140" s="11" t="s">
        <v>65</v>
      </c>
      <c r="B140" s="5">
        <v>2016</v>
      </c>
      <c r="C140" s="5" t="s">
        <v>79</v>
      </c>
      <c r="D140" s="5">
        <v>132</v>
      </c>
      <c r="E140" s="5">
        <v>137.4</v>
      </c>
      <c r="F140" s="5">
        <v>130.6</v>
      </c>
      <c r="G140" s="5">
        <v>136.19999999999999</v>
      </c>
      <c r="H140" s="5">
        <v>121.1</v>
      </c>
      <c r="I140" s="5">
        <v>136.9</v>
      </c>
      <c r="J140" s="5">
        <v>141.80000000000001</v>
      </c>
      <c r="K140" s="5">
        <v>170</v>
      </c>
      <c r="L140" s="5">
        <v>113.4</v>
      </c>
      <c r="M140" s="5">
        <v>136.80000000000001</v>
      </c>
      <c r="N140" s="5">
        <v>128.69999999999999</v>
      </c>
      <c r="O140" s="5">
        <v>143.1</v>
      </c>
      <c r="P140" s="5">
        <v>136.6</v>
      </c>
      <c r="Q140" s="5">
        <v>141.19999999999999</v>
      </c>
      <c r="R140" s="5">
        <v>139.9</v>
      </c>
      <c r="S140" s="5">
        <v>134.5</v>
      </c>
      <c r="T140" s="5">
        <v>139.19999999999999</v>
      </c>
      <c r="U140" s="5" t="s">
        <v>67</v>
      </c>
      <c r="V140" s="5">
        <v>130.30000000000001</v>
      </c>
      <c r="W140" s="5">
        <v>132.1</v>
      </c>
      <c r="X140" s="5">
        <v>129.1</v>
      </c>
      <c r="Y140" s="5">
        <v>118.2</v>
      </c>
      <c r="Z140" s="5">
        <v>126.9</v>
      </c>
      <c r="AA140" s="5">
        <v>133.69999999999999</v>
      </c>
      <c r="AB140" s="5">
        <v>123.5</v>
      </c>
      <c r="AC140" s="5">
        <v>126.1</v>
      </c>
      <c r="AD140" s="12">
        <v>133.6</v>
      </c>
      <c r="AE140" s="26">
        <v>1</v>
      </c>
    </row>
    <row r="141" spans="1:31">
      <c r="A141" s="11" t="s">
        <v>68</v>
      </c>
      <c r="B141" s="5">
        <v>2016</v>
      </c>
      <c r="C141" s="5" t="s">
        <v>79</v>
      </c>
      <c r="D141" s="5">
        <v>130.19999999999999</v>
      </c>
      <c r="E141" s="5">
        <v>138.5</v>
      </c>
      <c r="F141" s="5">
        <v>134.1</v>
      </c>
      <c r="G141" s="5">
        <v>132.9</v>
      </c>
      <c r="H141" s="5">
        <v>112.6</v>
      </c>
      <c r="I141" s="5">
        <v>130.80000000000001</v>
      </c>
      <c r="J141" s="5">
        <v>142</v>
      </c>
      <c r="K141" s="5">
        <v>174.9</v>
      </c>
      <c r="L141" s="5">
        <v>115.6</v>
      </c>
      <c r="M141" s="5">
        <v>145.4</v>
      </c>
      <c r="N141" s="5">
        <v>122.7</v>
      </c>
      <c r="O141" s="5">
        <v>140.30000000000001</v>
      </c>
      <c r="P141" s="5">
        <v>135.19999999999999</v>
      </c>
      <c r="Q141" s="5">
        <v>144.30000000000001</v>
      </c>
      <c r="R141" s="5">
        <v>129.6</v>
      </c>
      <c r="S141" s="5">
        <v>122.1</v>
      </c>
      <c r="T141" s="5">
        <v>128.5</v>
      </c>
      <c r="U141" s="5">
        <v>129.1</v>
      </c>
      <c r="V141" s="5">
        <v>116.2</v>
      </c>
      <c r="W141" s="5">
        <v>124.7</v>
      </c>
      <c r="X141" s="5">
        <v>122.1</v>
      </c>
      <c r="Y141" s="5">
        <v>113.4</v>
      </c>
      <c r="Z141" s="5">
        <v>121.7</v>
      </c>
      <c r="AA141" s="5">
        <v>132.1</v>
      </c>
      <c r="AB141" s="5">
        <v>121.3</v>
      </c>
      <c r="AC141" s="5">
        <v>121.3</v>
      </c>
      <c r="AD141" s="12">
        <v>128.5</v>
      </c>
      <c r="AE141" s="26">
        <v>1</v>
      </c>
    </row>
    <row r="142" spans="1:31">
      <c r="A142" s="11" t="s">
        <v>69</v>
      </c>
      <c r="B142" s="5">
        <v>2016</v>
      </c>
      <c r="C142" s="5" t="s">
        <v>79</v>
      </c>
      <c r="D142" s="5">
        <v>131.4</v>
      </c>
      <c r="E142" s="5">
        <v>137.80000000000001</v>
      </c>
      <c r="F142" s="5">
        <v>132</v>
      </c>
      <c r="G142" s="5">
        <v>135</v>
      </c>
      <c r="H142" s="5">
        <v>118</v>
      </c>
      <c r="I142" s="5">
        <v>134.1</v>
      </c>
      <c r="J142" s="5">
        <v>141.9</v>
      </c>
      <c r="K142" s="5">
        <v>171.7</v>
      </c>
      <c r="L142" s="5">
        <v>114.1</v>
      </c>
      <c r="M142" s="5">
        <v>139.69999999999999</v>
      </c>
      <c r="N142" s="5">
        <v>126.2</v>
      </c>
      <c r="O142" s="5">
        <v>141.80000000000001</v>
      </c>
      <c r="P142" s="5">
        <v>136.1</v>
      </c>
      <c r="Q142" s="5">
        <v>142</v>
      </c>
      <c r="R142" s="5">
        <v>135.80000000000001</v>
      </c>
      <c r="S142" s="5">
        <v>129.30000000000001</v>
      </c>
      <c r="T142" s="5">
        <v>135</v>
      </c>
      <c r="U142" s="5">
        <v>129.1</v>
      </c>
      <c r="V142" s="5">
        <v>125</v>
      </c>
      <c r="W142" s="5">
        <v>128.6</v>
      </c>
      <c r="X142" s="5">
        <v>126.4</v>
      </c>
      <c r="Y142" s="5">
        <v>115.7</v>
      </c>
      <c r="Z142" s="5">
        <v>124</v>
      </c>
      <c r="AA142" s="5">
        <v>132.80000000000001</v>
      </c>
      <c r="AB142" s="5">
        <v>122.6</v>
      </c>
      <c r="AC142" s="5">
        <v>123.8</v>
      </c>
      <c r="AD142" s="12">
        <v>131.19999999999999</v>
      </c>
      <c r="AE142" s="26">
        <v>1</v>
      </c>
    </row>
    <row r="143" spans="1:31">
      <c r="A143" s="11" t="s">
        <v>65</v>
      </c>
      <c r="B143" s="5">
        <v>2016</v>
      </c>
      <c r="C143" s="5" t="s">
        <v>80</v>
      </c>
      <c r="D143" s="5">
        <v>132.6</v>
      </c>
      <c r="E143" s="5">
        <v>137.30000000000001</v>
      </c>
      <c r="F143" s="5">
        <v>131.6</v>
      </c>
      <c r="G143" s="5">
        <v>136.30000000000001</v>
      </c>
      <c r="H143" s="5">
        <v>121.6</v>
      </c>
      <c r="I143" s="5">
        <v>135.6</v>
      </c>
      <c r="J143" s="5">
        <v>127.5</v>
      </c>
      <c r="K143" s="5">
        <v>167.9</v>
      </c>
      <c r="L143" s="5">
        <v>113.8</v>
      </c>
      <c r="M143" s="5">
        <v>137.5</v>
      </c>
      <c r="N143" s="5">
        <v>129.1</v>
      </c>
      <c r="O143" s="5">
        <v>143.6</v>
      </c>
      <c r="P143" s="5">
        <v>134.69999999999999</v>
      </c>
      <c r="Q143" s="5">
        <v>142.4</v>
      </c>
      <c r="R143" s="5">
        <v>140.4</v>
      </c>
      <c r="S143" s="5">
        <v>135.19999999999999</v>
      </c>
      <c r="T143" s="5">
        <v>139.69999999999999</v>
      </c>
      <c r="U143" s="5" t="s">
        <v>67</v>
      </c>
      <c r="V143" s="5">
        <v>132</v>
      </c>
      <c r="W143" s="5">
        <v>132.9</v>
      </c>
      <c r="X143" s="5">
        <v>129.69999999999999</v>
      </c>
      <c r="Y143" s="5">
        <v>118.6</v>
      </c>
      <c r="Z143" s="5">
        <v>127.3</v>
      </c>
      <c r="AA143" s="5">
        <v>134.19999999999999</v>
      </c>
      <c r="AB143" s="5">
        <v>121.9</v>
      </c>
      <c r="AC143" s="5">
        <v>126.3</v>
      </c>
      <c r="AD143" s="12">
        <v>132.80000000000001</v>
      </c>
      <c r="AE143" s="26">
        <v>1</v>
      </c>
    </row>
    <row r="144" spans="1:31">
      <c r="A144" s="11" t="s">
        <v>68</v>
      </c>
      <c r="B144" s="5">
        <v>2016</v>
      </c>
      <c r="C144" s="5" t="s">
        <v>80</v>
      </c>
      <c r="D144" s="5">
        <v>131.6</v>
      </c>
      <c r="E144" s="5">
        <v>138.19999999999999</v>
      </c>
      <c r="F144" s="5">
        <v>134.9</v>
      </c>
      <c r="G144" s="5">
        <v>133.1</v>
      </c>
      <c r="H144" s="5">
        <v>113.5</v>
      </c>
      <c r="I144" s="5">
        <v>129.30000000000001</v>
      </c>
      <c r="J144" s="5">
        <v>121.1</v>
      </c>
      <c r="K144" s="5">
        <v>170.3</v>
      </c>
      <c r="L144" s="5">
        <v>115.5</v>
      </c>
      <c r="M144" s="5">
        <v>145.5</v>
      </c>
      <c r="N144" s="5">
        <v>123.1</v>
      </c>
      <c r="O144" s="5">
        <v>140.9</v>
      </c>
      <c r="P144" s="5">
        <v>132.80000000000001</v>
      </c>
      <c r="Q144" s="5">
        <v>145</v>
      </c>
      <c r="R144" s="5">
        <v>130</v>
      </c>
      <c r="S144" s="5">
        <v>122.2</v>
      </c>
      <c r="T144" s="5">
        <v>128.80000000000001</v>
      </c>
      <c r="U144" s="5">
        <v>128.5</v>
      </c>
      <c r="V144" s="5">
        <v>117.8</v>
      </c>
      <c r="W144" s="5">
        <v>125</v>
      </c>
      <c r="X144" s="5">
        <v>122.3</v>
      </c>
      <c r="Y144" s="5">
        <v>113.7</v>
      </c>
      <c r="Z144" s="5">
        <v>121.8</v>
      </c>
      <c r="AA144" s="5">
        <v>132.30000000000001</v>
      </c>
      <c r="AB144" s="5">
        <v>119.9</v>
      </c>
      <c r="AC144" s="5">
        <v>121.4</v>
      </c>
      <c r="AD144" s="12">
        <v>127.6</v>
      </c>
      <c r="AE144" s="26">
        <v>1</v>
      </c>
    </row>
    <row r="145" spans="1:31">
      <c r="A145" s="11" t="s">
        <v>69</v>
      </c>
      <c r="B145" s="5">
        <v>2016</v>
      </c>
      <c r="C145" s="5" t="s">
        <v>80</v>
      </c>
      <c r="D145" s="5">
        <v>132.30000000000001</v>
      </c>
      <c r="E145" s="5">
        <v>137.6</v>
      </c>
      <c r="F145" s="5">
        <v>132.9</v>
      </c>
      <c r="G145" s="5">
        <v>135.1</v>
      </c>
      <c r="H145" s="5">
        <v>118.6</v>
      </c>
      <c r="I145" s="5">
        <v>132.69999999999999</v>
      </c>
      <c r="J145" s="5">
        <v>125.3</v>
      </c>
      <c r="K145" s="5">
        <v>168.7</v>
      </c>
      <c r="L145" s="5">
        <v>114.4</v>
      </c>
      <c r="M145" s="5">
        <v>140.19999999999999</v>
      </c>
      <c r="N145" s="5">
        <v>126.6</v>
      </c>
      <c r="O145" s="5">
        <v>142.30000000000001</v>
      </c>
      <c r="P145" s="5">
        <v>134</v>
      </c>
      <c r="Q145" s="5">
        <v>143.1</v>
      </c>
      <c r="R145" s="5">
        <v>136.30000000000001</v>
      </c>
      <c r="S145" s="5">
        <v>129.80000000000001</v>
      </c>
      <c r="T145" s="5">
        <v>135.4</v>
      </c>
      <c r="U145" s="5">
        <v>128.5</v>
      </c>
      <c r="V145" s="5">
        <v>126.6</v>
      </c>
      <c r="W145" s="5">
        <v>129.19999999999999</v>
      </c>
      <c r="X145" s="5">
        <v>126.9</v>
      </c>
      <c r="Y145" s="5">
        <v>116</v>
      </c>
      <c r="Z145" s="5">
        <v>124.2</v>
      </c>
      <c r="AA145" s="5">
        <v>133.1</v>
      </c>
      <c r="AB145" s="5">
        <v>121.1</v>
      </c>
      <c r="AC145" s="5">
        <v>123.9</v>
      </c>
      <c r="AD145" s="12">
        <v>130.4</v>
      </c>
      <c r="AE145" s="26">
        <v>1</v>
      </c>
    </row>
    <row r="146" spans="1:31">
      <c r="A146" s="11" t="s">
        <v>65</v>
      </c>
      <c r="B146" s="5">
        <v>2017</v>
      </c>
      <c r="C146" s="5" t="s">
        <v>66</v>
      </c>
      <c r="D146" s="5">
        <v>133.1</v>
      </c>
      <c r="E146" s="5">
        <v>137.80000000000001</v>
      </c>
      <c r="F146" s="5">
        <v>131.9</v>
      </c>
      <c r="G146" s="5">
        <v>136.69999999999999</v>
      </c>
      <c r="H146" s="5">
        <v>122</v>
      </c>
      <c r="I146" s="5">
        <v>136</v>
      </c>
      <c r="J146" s="5">
        <v>119.8</v>
      </c>
      <c r="K146" s="5">
        <v>161.69999999999999</v>
      </c>
      <c r="L146" s="5">
        <v>114.8</v>
      </c>
      <c r="M146" s="5">
        <v>136.9</v>
      </c>
      <c r="N146" s="5">
        <v>129</v>
      </c>
      <c r="O146" s="5">
        <v>143.9</v>
      </c>
      <c r="P146" s="5">
        <v>133.69999999999999</v>
      </c>
      <c r="Q146" s="5">
        <v>143.1</v>
      </c>
      <c r="R146" s="5">
        <v>140.69999999999999</v>
      </c>
      <c r="S146" s="5">
        <v>135.80000000000001</v>
      </c>
      <c r="T146" s="5">
        <v>140</v>
      </c>
      <c r="U146" s="5" t="s">
        <v>67</v>
      </c>
      <c r="V146" s="5">
        <v>132.1</v>
      </c>
      <c r="W146" s="5">
        <v>133.19999999999999</v>
      </c>
      <c r="X146" s="5">
        <v>129.9</v>
      </c>
      <c r="Y146" s="5">
        <v>119.1</v>
      </c>
      <c r="Z146" s="5">
        <v>127</v>
      </c>
      <c r="AA146" s="5">
        <v>134.6</v>
      </c>
      <c r="AB146" s="5">
        <v>122.3</v>
      </c>
      <c r="AC146" s="5">
        <v>126.6</v>
      </c>
      <c r="AD146" s="12">
        <v>132.4</v>
      </c>
      <c r="AE146" s="26">
        <v>1</v>
      </c>
    </row>
    <row r="147" spans="1:31">
      <c r="A147" s="11" t="s">
        <v>68</v>
      </c>
      <c r="B147" s="5">
        <v>2017</v>
      </c>
      <c r="C147" s="5" t="s">
        <v>66</v>
      </c>
      <c r="D147" s="5">
        <v>132.19999999999999</v>
      </c>
      <c r="E147" s="5">
        <v>138.9</v>
      </c>
      <c r="F147" s="5">
        <v>132.6</v>
      </c>
      <c r="G147" s="5">
        <v>133.1</v>
      </c>
      <c r="H147" s="5">
        <v>114</v>
      </c>
      <c r="I147" s="5">
        <v>129.6</v>
      </c>
      <c r="J147" s="5">
        <v>118.7</v>
      </c>
      <c r="K147" s="5">
        <v>155.1</v>
      </c>
      <c r="L147" s="5">
        <v>117.3</v>
      </c>
      <c r="M147" s="5">
        <v>144.9</v>
      </c>
      <c r="N147" s="5">
        <v>123.2</v>
      </c>
      <c r="O147" s="5">
        <v>141.6</v>
      </c>
      <c r="P147" s="5">
        <v>132</v>
      </c>
      <c r="Q147" s="5">
        <v>145.6</v>
      </c>
      <c r="R147" s="5">
        <v>130.19999999999999</v>
      </c>
      <c r="S147" s="5">
        <v>122.3</v>
      </c>
      <c r="T147" s="5">
        <v>129</v>
      </c>
      <c r="U147" s="5">
        <v>129.6</v>
      </c>
      <c r="V147" s="5">
        <v>118</v>
      </c>
      <c r="W147" s="5">
        <v>125.1</v>
      </c>
      <c r="X147" s="5">
        <v>122.6</v>
      </c>
      <c r="Y147" s="5">
        <v>115.2</v>
      </c>
      <c r="Z147" s="5">
        <v>122</v>
      </c>
      <c r="AA147" s="5">
        <v>132.4</v>
      </c>
      <c r="AB147" s="5">
        <v>120.9</v>
      </c>
      <c r="AC147" s="5">
        <v>122.1</v>
      </c>
      <c r="AD147" s="12">
        <v>127.8</v>
      </c>
      <c r="AE147" s="26">
        <v>1</v>
      </c>
    </row>
    <row r="148" spans="1:31">
      <c r="A148" s="11" t="s">
        <v>69</v>
      </c>
      <c r="B148" s="5">
        <v>2017</v>
      </c>
      <c r="C148" s="5" t="s">
        <v>66</v>
      </c>
      <c r="D148" s="5">
        <v>132.80000000000001</v>
      </c>
      <c r="E148" s="5">
        <v>138.19999999999999</v>
      </c>
      <c r="F148" s="5">
        <v>132.19999999999999</v>
      </c>
      <c r="G148" s="5">
        <v>135.4</v>
      </c>
      <c r="H148" s="5">
        <v>119.1</v>
      </c>
      <c r="I148" s="5">
        <v>133</v>
      </c>
      <c r="J148" s="5">
        <v>119.4</v>
      </c>
      <c r="K148" s="5">
        <v>159.5</v>
      </c>
      <c r="L148" s="5">
        <v>115.6</v>
      </c>
      <c r="M148" s="5">
        <v>139.6</v>
      </c>
      <c r="N148" s="5">
        <v>126.6</v>
      </c>
      <c r="O148" s="5">
        <v>142.80000000000001</v>
      </c>
      <c r="P148" s="5">
        <v>133.1</v>
      </c>
      <c r="Q148" s="5">
        <v>143.80000000000001</v>
      </c>
      <c r="R148" s="5">
        <v>136.6</v>
      </c>
      <c r="S148" s="5">
        <v>130.19999999999999</v>
      </c>
      <c r="T148" s="5">
        <v>135.6</v>
      </c>
      <c r="U148" s="5">
        <v>129.6</v>
      </c>
      <c r="V148" s="5">
        <v>126.8</v>
      </c>
      <c r="W148" s="5">
        <v>129.4</v>
      </c>
      <c r="X148" s="5">
        <v>127.1</v>
      </c>
      <c r="Y148" s="5">
        <v>117</v>
      </c>
      <c r="Z148" s="5">
        <v>124.2</v>
      </c>
      <c r="AA148" s="5">
        <v>133.30000000000001</v>
      </c>
      <c r="AB148" s="5">
        <v>121.7</v>
      </c>
      <c r="AC148" s="5">
        <v>124.4</v>
      </c>
      <c r="AD148" s="12">
        <v>130.30000000000001</v>
      </c>
      <c r="AE148" s="26">
        <v>1</v>
      </c>
    </row>
    <row r="149" spans="1:31">
      <c r="A149" s="11" t="s">
        <v>65</v>
      </c>
      <c r="B149" s="5">
        <v>2017</v>
      </c>
      <c r="C149" s="5" t="s">
        <v>70</v>
      </c>
      <c r="D149" s="5">
        <v>133.30000000000001</v>
      </c>
      <c r="E149" s="5">
        <v>138.30000000000001</v>
      </c>
      <c r="F149" s="5">
        <v>129.30000000000001</v>
      </c>
      <c r="G149" s="5">
        <v>137.19999999999999</v>
      </c>
      <c r="H149" s="5">
        <v>122.1</v>
      </c>
      <c r="I149" s="5">
        <v>138.69999999999999</v>
      </c>
      <c r="J149" s="5">
        <v>119.1</v>
      </c>
      <c r="K149" s="5">
        <v>156.9</v>
      </c>
      <c r="L149" s="5">
        <v>116.2</v>
      </c>
      <c r="M149" s="5">
        <v>136</v>
      </c>
      <c r="N149" s="5">
        <v>129.4</v>
      </c>
      <c r="O149" s="5">
        <v>144.4</v>
      </c>
      <c r="P149" s="5">
        <v>133.6</v>
      </c>
      <c r="Q149" s="5">
        <v>143.69999999999999</v>
      </c>
      <c r="R149" s="5">
        <v>140.9</v>
      </c>
      <c r="S149" s="5">
        <v>135.80000000000001</v>
      </c>
      <c r="T149" s="5">
        <v>140.19999999999999</v>
      </c>
      <c r="U149" s="5" t="s">
        <v>67</v>
      </c>
      <c r="V149" s="5">
        <v>133.19999999999999</v>
      </c>
      <c r="W149" s="5">
        <v>133.6</v>
      </c>
      <c r="X149" s="5">
        <v>130.1</v>
      </c>
      <c r="Y149" s="5">
        <v>119.5</v>
      </c>
      <c r="Z149" s="5">
        <v>127.7</v>
      </c>
      <c r="AA149" s="5">
        <v>134.9</v>
      </c>
      <c r="AB149" s="5">
        <v>123.2</v>
      </c>
      <c r="AC149" s="5">
        <v>127</v>
      </c>
      <c r="AD149" s="12">
        <v>132.6</v>
      </c>
      <c r="AE149" s="26">
        <v>1</v>
      </c>
    </row>
    <row r="150" spans="1:31">
      <c r="A150" s="11" t="s">
        <v>68</v>
      </c>
      <c r="B150" s="5">
        <v>2017</v>
      </c>
      <c r="C150" s="5" t="s">
        <v>70</v>
      </c>
      <c r="D150" s="5">
        <v>132.80000000000001</v>
      </c>
      <c r="E150" s="5">
        <v>139.80000000000001</v>
      </c>
      <c r="F150" s="5">
        <v>129.30000000000001</v>
      </c>
      <c r="G150" s="5">
        <v>133.5</v>
      </c>
      <c r="H150" s="5">
        <v>114.3</v>
      </c>
      <c r="I150" s="5">
        <v>131.4</v>
      </c>
      <c r="J150" s="5">
        <v>120.2</v>
      </c>
      <c r="K150" s="5">
        <v>143.1</v>
      </c>
      <c r="L150" s="5">
        <v>119.5</v>
      </c>
      <c r="M150" s="5">
        <v>144</v>
      </c>
      <c r="N150" s="5">
        <v>123.4</v>
      </c>
      <c r="O150" s="5">
        <v>141.9</v>
      </c>
      <c r="P150" s="5">
        <v>132.1</v>
      </c>
      <c r="Q150" s="5">
        <v>146.30000000000001</v>
      </c>
      <c r="R150" s="5">
        <v>130.5</v>
      </c>
      <c r="S150" s="5">
        <v>122.5</v>
      </c>
      <c r="T150" s="5">
        <v>129.30000000000001</v>
      </c>
      <c r="U150" s="5">
        <v>130.5</v>
      </c>
      <c r="V150" s="5">
        <v>119.2</v>
      </c>
      <c r="W150" s="5">
        <v>125.3</v>
      </c>
      <c r="X150" s="5">
        <v>122.9</v>
      </c>
      <c r="Y150" s="5">
        <v>115.5</v>
      </c>
      <c r="Z150" s="5">
        <v>122.2</v>
      </c>
      <c r="AA150" s="5">
        <v>132.4</v>
      </c>
      <c r="AB150" s="5">
        <v>121.7</v>
      </c>
      <c r="AC150" s="5">
        <v>122.4</v>
      </c>
      <c r="AD150" s="12">
        <v>128.19999999999999</v>
      </c>
      <c r="AE150" s="26">
        <v>1</v>
      </c>
    </row>
    <row r="151" spans="1:31">
      <c r="A151" s="11" t="s">
        <v>69</v>
      </c>
      <c r="B151" s="5">
        <v>2017</v>
      </c>
      <c r="C151" s="5" t="s">
        <v>70</v>
      </c>
      <c r="D151" s="5">
        <v>133.1</v>
      </c>
      <c r="E151" s="5">
        <v>138.80000000000001</v>
      </c>
      <c r="F151" s="5">
        <v>129.30000000000001</v>
      </c>
      <c r="G151" s="5">
        <v>135.80000000000001</v>
      </c>
      <c r="H151" s="5">
        <v>119.2</v>
      </c>
      <c r="I151" s="5">
        <v>135.30000000000001</v>
      </c>
      <c r="J151" s="5">
        <v>119.5</v>
      </c>
      <c r="K151" s="5">
        <v>152.19999999999999</v>
      </c>
      <c r="L151" s="5">
        <v>117.3</v>
      </c>
      <c r="M151" s="5">
        <v>138.69999999999999</v>
      </c>
      <c r="N151" s="5">
        <v>126.9</v>
      </c>
      <c r="O151" s="5">
        <v>143.19999999999999</v>
      </c>
      <c r="P151" s="5">
        <v>133</v>
      </c>
      <c r="Q151" s="5">
        <v>144.4</v>
      </c>
      <c r="R151" s="5">
        <v>136.80000000000001</v>
      </c>
      <c r="S151" s="5">
        <v>130.30000000000001</v>
      </c>
      <c r="T151" s="5">
        <v>135.9</v>
      </c>
      <c r="U151" s="5">
        <v>130.5</v>
      </c>
      <c r="V151" s="5">
        <v>127.9</v>
      </c>
      <c r="W151" s="5">
        <v>129.69999999999999</v>
      </c>
      <c r="X151" s="5">
        <v>127.4</v>
      </c>
      <c r="Y151" s="5">
        <v>117.4</v>
      </c>
      <c r="Z151" s="5">
        <v>124.6</v>
      </c>
      <c r="AA151" s="5">
        <v>133.4</v>
      </c>
      <c r="AB151" s="5">
        <v>122.6</v>
      </c>
      <c r="AC151" s="5">
        <v>124.8</v>
      </c>
      <c r="AD151" s="12">
        <v>130.6</v>
      </c>
      <c r="AE151" s="26">
        <v>1</v>
      </c>
    </row>
    <row r="152" spans="1:31">
      <c r="A152" s="11" t="s">
        <v>65</v>
      </c>
      <c r="B152" s="5">
        <v>2017</v>
      </c>
      <c r="C152" s="5" t="s">
        <v>71</v>
      </c>
      <c r="D152" s="5">
        <v>133.6</v>
      </c>
      <c r="E152" s="5">
        <v>138.80000000000001</v>
      </c>
      <c r="F152" s="5">
        <v>128.80000000000001</v>
      </c>
      <c r="G152" s="5">
        <v>137.19999999999999</v>
      </c>
      <c r="H152" s="5">
        <v>121.6</v>
      </c>
      <c r="I152" s="5">
        <v>139.69999999999999</v>
      </c>
      <c r="J152" s="5">
        <v>119.7</v>
      </c>
      <c r="K152" s="5">
        <v>148</v>
      </c>
      <c r="L152" s="5">
        <v>116.9</v>
      </c>
      <c r="M152" s="5">
        <v>135.6</v>
      </c>
      <c r="N152" s="5">
        <v>129.80000000000001</v>
      </c>
      <c r="O152" s="5">
        <v>145.4</v>
      </c>
      <c r="P152" s="5">
        <v>133.4</v>
      </c>
      <c r="Q152" s="5">
        <v>144.19999999999999</v>
      </c>
      <c r="R152" s="5">
        <v>141.6</v>
      </c>
      <c r="S152" s="5">
        <v>136.19999999999999</v>
      </c>
      <c r="T152" s="5">
        <v>140.80000000000001</v>
      </c>
      <c r="U152" s="5" t="s">
        <v>67</v>
      </c>
      <c r="V152" s="5">
        <v>134.19999999999999</v>
      </c>
      <c r="W152" s="5">
        <v>134.1</v>
      </c>
      <c r="X152" s="5">
        <v>130.6</v>
      </c>
      <c r="Y152" s="5">
        <v>119.8</v>
      </c>
      <c r="Z152" s="5">
        <v>128.30000000000001</v>
      </c>
      <c r="AA152" s="5">
        <v>135.19999999999999</v>
      </c>
      <c r="AB152" s="5">
        <v>123.3</v>
      </c>
      <c r="AC152" s="5">
        <v>127.4</v>
      </c>
      <c r="AD152" s="12">
        <v>132.80000000000001</v>
      </c>
      <c r="AE152" s="26">
        <v>1</v>
      </c>
    </row>
    <row r="153" spans="1:31">
      <c r="A153" s="11" t="s">
        <v>68</v>
      </c>
      <c r="B153" s="5">
        <v>2017</v>
      </c>
      <c r="C153" s="5" t="s">
        <v>71</v>
      </c>
      <c r="D153" s="5">
        <v>132.69999999999999</v>
      </c>
      <c r="E153" s="5">
        <v>139.4</v>
      </c>
      <c r="F153" s="5">
        <v>128.4</v>
      </c>
      <c r="G153" s="5">
        <v>134.9</v>
      </c>
      <c r="H153" s="5">
        <v>114</v>
      </c>
      <c r="I153" s="5">
        <v>136.80000000000001</v>
      </c>
      <c r="J153" s="5">
        <v>122.2</v>
      </c>
      <c r="K153" s="5">
        <v>135.80000000000001</v>
      </c>
      <c r="L153" s="5">
        <v>120.3</v>
      </c>
      <c r="M153" s="5">
        <v>142.6</v>
      </c>
      <c r="N153" s="5">
        <v>123.6</v>
      </c>
      <c r="O153" s="5">
        <v>142.4</v>
      </c>
      <c r="P153" s="5">
        <v>132.6</v>
      </c>
      <c r="Q153" s="5">
        <v>147.5</v>
      </c>
      <c r="R153" s="5">
        <v>130.80000000000001</v>
      </c>
      <c r="S153" s="5">
        <v>122.8</v>
      </c>
      <c r="T153" s="5">
        <v>129.6</v>
      </c>
      <c r="U153" s="5">
        <v>131.1</v>
      </c>
      <c r="V153" s="5">
        <v>120.8</v>
      </c>
      <c r="W153" s="5">
        <v>125.6</v>
      </c>
      <c r="X153" s="5">
        <v>123.1</v>
      </c>
      <c r="Y153" s="5">
        <v>115.6</v>
      </c>
      <c r="Z153" s="5">
        <v>122.4</v>
      </c>
      <c r="AA153" s="5">
        <v>132.80000000000001</v>
      </c>
      <c r="AB153" s="5">
        <v>121.7</v>
      </c>
      <c r="AC153" s="5">
        <v>122.6</v>
      </c>
      <c r="AD153" s="12">
        <v>128.69999999999999</v>
      </c>
      <c r="AE153" s="26">
        <v>1</v>
      </c>
    </row>
    <row r="154" spans="1:31">
      <c r="A154" s="11" t="s">
        <v>69</v>
      </c>
      <c r="B154" s="5">
        <v>2017</v>
      </c>
      <c r="C154" s="5" t="s">
        <v>71</v>
      </c>
      <c r="D154" s="5">
        <v>133.30000000000001</v>
      </c>
      <c r="E154" s="5">
        <v>139</v>
      </c>
      <c r="F154" s="5">
        <v>128.6</v>
      </c>
      <c r="G154" s="5">
        <v>136.30000000000001</v>
      </c>
      <c r="H154" s="5">
        <v>118.8</v>
      </c>
      <c r="I154" s="5">
        <v>138.30000000000001</v>
      </c>
      <c r="J154" s="5">
        <v>120.5</v>
      </c>
      <c r="K154" s="5">
        <v>143.9</v>
      </c>
      <c r="L154" s="5">
        <v>118</v>
      </c>
      <c r="M154" s="5">
        <v>137.9</v>
      </c>
      <c r="N154" s="5">
        <v>127.2</v>
      </c>
      <c r="O154" s="5">
        <v>144</v>
      </c>
      <c r="P154" s="5">
        <v>133.1</v>
      </c>
      <c r="Q154" s="5">
        <v>145.1</v>
      </c>
      <c r="R154" s="5">
        <v>137.30000000000001</v>
      </c>
      <c r="S154" s="5">
        <v>130.6</v>
      </c>
      <c r="T154" s="5">
        <v>136.4</v>
      </c>
      <c r="U154" s="5">
        <v>131.1</v>
      </c>
      <c r="V154" s="5">
        <v>129.1</v>
      </c>
      <c r="W154" s="5">
        <v>130.1</v>
      </c>
      <c r="X154" s="5">
        <v>127.8</v>
      </c>
      <c r="Y154" s="5">
        <v>117.6</v>
      </c>
      <c r="Z154" s="5">
        <v>125</v>
      </c>
      <c r="AA154" s="5">
        <v>133.80000000000001</v>
      </c>
      <c r="AB154" s="5">
        <v>122.6</v>
      </c>
      <c r="AC154" s="5">
        <v>125.1</v>
      </c>
      <c r="AD154" s="12">
        <v>130.9</v>
      </c>
      <c r="AE154" s="26">
        <v>1</v>
      </c>
    </row>
    <row r="155" spans="1:31">
      <c r="A155" s="11" t="s">
        <v>65</v>
      </c>
      <c r="B155" s="5">
        <v>2017</v>
      </c>
      <c r="C155" s="5" t="s">
        <v>72</v>
      </c>
      <c r="D155" s="5">
        <v>133.19999999999999</v>
      </c>
      <c r="E155" s="5">
        <v>138.69999999999999</v>
      </c>
      <c r="F155" s="5">
        <v>127.1</v>
      </c>
      <c r="G155" s="5">
        <v>137.69999999999999</v>
      </c>
      <c r="H155" s="5">
        <v>121.3</v>
      </c>
      <c r="I155" s="5">
        <v>141.80000000000001</v>
      </c>
      <c r="J155" s="5">
        <v>121.5</v>
      </c>
      <c r="K155" s="5">
        <v>144.5</v>
      </c>
      <c r="L155" s="5">
        <v>117.4</v>
      </c>
      <c r="M155" s="5">
        <v>134.1</v>
      </c>
      <c r="N155" s="5">
        <v>130</v>
      </c>
      <c r="O155" s="5">
        <v>145.5</v>
      </c>
      <c r="P155" s="5">
        <v>133.5</v>
      </c>
      <c r="Q155" s="5">
        <v>144.4</v>
      </c>
      <c r="R155" s="5">
        <v>142.4</v>
      </c>
      <c r="S155" s="5">
        <v>136.80000000000001</v>
      </c>
      <c r="T155" s="5">
        <v>141.6</v>
      </c>
      <c r="U155" s="5" t="s">
        <v>67</v>
      </c>
      <c r="V155" s="5">
        <v>135</v>
      </c>
      <c r="W155" s="5">
        <v>134.30000000000001</v>
      </c>
      <c r="X155" s="5">
        <v>131</v>
      </c>
      <c r="Y155" s="5">
        <v>119.2</v>
      </c>
      <c r="Z155" s="5">
        <v>128.30000000000001</v>
      </c>
      <c r="AA155" s="5">
        <v>135.69999999999999</v>
      </c>
      <c r="AB155" s="5">
        <v>123.7</v>
      </c>
      <c r="AC155" s="5">
        <v>127.5</v>
      </c>
      <c r="AD155" s="12">
        <v>132.9</v>
      </c>
      <c r="AE155" s="26">
        <v>1</v>
      </c>
    </row>
    <row r="156" spans="1:31">
      <c r="A156" s="11" t="s">
        <v>68</v>
      </c>
      <c r="B156" s="5">
        <v>2017</v>
      </c>
      <c r="C156" s="5" t="s">
        <v>72</v>
      </c>
      <c r="D156" s="5">
        <v>132.69999999999999</v>
      </c>
      <c r="E156" s="5">
        <v>140.6</v>
      </c>
      <c r="F156" s="5">
        <v>124.5</v>
      </c>
      <c r="G156" s="5">
        <v>136.30000000000001</v>
      </c>
      <c r="H156" s="5">
        <v>113.5</v>
      </c>
      <c r="I156" s="5">
        <v>137.69999999999999</v>
      </c>
      <c r="J156" s="5">
        <v>127.1</v>
      </c>
      <c r="K156" s="5">
        <v>133.80000000000001</v>
      </c>
      <c r="L156" s="5">
        <v>120.8</v>
      </c>
      <c r="M156" s="5">
        <v>141.30000000000001</v>
      </c>
      <c r="N156" s="5">
        <v>123.8</v>
      </c>
      <c r="O156" s="5">
        <v>142.6</v>
      </c>
      <c r="P156" s="5">
        <v>133.4</v>
      </c>
      <c r="Q156" s="5">
        <v>148</v>
      </c>
      <c r="R156" s="5">
        <v>131.19999999999999</v>
      </c>
      <c r="S156" s="5">
        <v>123</v>
      </c>
      <c r="T156" s="5">
        <v>130</v>
      </c>
      <c r="U156" s="5">
        <v>131.69999999999999</v>
      </c>
      <c r="V156" s="5">
        <v>121.4</v>
      </c>
      <c r="W156" s="5">
        <v>126</v>
      </c>
      <c r="X156" s="5">
        <v>123.4</v>
      </c>
      <c r="Y156" s="5">
        <v>114.3</v>
      </c>
      <c r="Z156" s="5">
        <v>122.6</v>
      </c>
      <c r="AA156" s="5">
        <v>133.6</v>
      </c>
      <c r="AB156" s="5">
        <v>122.2</v>
      </c>
      <c r="AC156" s="5">
        <v>122.5</v>
      </c>
      <c r="AD156" s="12">
        <v>129.1</v>
      </c>
      <c r="AE156" s="26">
        <v>1</v>
      </c>
    </row>
    <row r="157" spans="1:31">
      <c r="A157" s="11" t="s">
        <v>69</v>
      </c>
      <c r="B157" s="5">
        <v>2017</v>
      </c>
      <c r="C157" s="5" t="s">
        <v>72</v>
      </c>
      <c r="D157" s="5">
        <v>133</v>
      </c>
      <c r="E157" s="5">
        <v>139.4</v>
      </c>
      <c r="F157" s="5">
        <v>126.1</v>
      </c>
      <c r="G157" s="5">
        <v>137.19999999999999</v>
      </c>
      <c r="H157" s="5">
        <v>118.4</v>
      </c>
      <c r="I157" s="5">
        <v>139.9</v>
      </c>
      <c r="J157" s="5">
        <v>123.4</v>
      </c>
      <c r="K157" s="5">
        <v>140.9</v>
      </c>
      <c r="L157" s="5">
        <v>118.5</v>
      </c>
      <c r="M157" s="5">
        <v>136.5</v>
      </c>
      <c r="N157" s="5">
        <v>127.4</v>
      </c>
      <c r="O157" s="5">
        <v>144.19999999999999</v>
      </c>
      <c r="P157" s="5">
        <v>133.5</v>
      </c>
      <c r="Q157" s="5">
        <v>145.4</v>
      </c>
      <c r="R157" s="5">
        <v>138</v>
      </c>
      <c r="S157" s="5">
        <v>131.1</v>
      </c>
      <c r="T157" s="5">
        <v>137</v>
      </c>
      <c r="U157" s="5">
        <v>131.69999999999999</v>
      </c>
      <c r="V157" s="5">
        <v>129.80000000000001</v>
      </c>
      <c r="W157" s="5">
        <v>130.4</v>
      </c>
      <c r="X157" s="5">
        <v>128.1</v>
      </c>
      <c r="Y157" s="5">
        <v>116.6</v>
      </c>
      <c r="Z157" s="5">
        <v>125.1</v>
      </c>
      <c r="AA157" s="5">
        <v>134.5</v>
      </c>
      <c r="AB157" s="5">
        <v>123.1</v>
      </c>
      <c r="AC157" s="5">
        <v>125.1</v>
      </c>
      <c r="AD157" s="12">
        <v>131.1</v>
      </c>
      <c r="AE157" s="26">
        <v>1</v>
      </c>
    </row>
    <row r="158" spans="1:31">
      <c r="A158" s="11" t="s">
        <v>65</v>
      </c>
      <c r="B158" s="5">
        <v>2017</v>
      </c>
      <c r="C158" s="5" t="s">
        <v>73</v>
      </c>
      <c r="D158" s="5">
        <v>133.1</v>
      </c>
      <c r="E158" s="5">
        <v>140.30000000000001</v>
      </c>
      <c r="F158" s="5">
        <v>126.8</v>
      </c>
      <c r="G158" s="5">
        <v>138.19999999999999</v>
      </c>
      <c r="H158" s="5">
        <v>120.8</v>
      </c>
      <c r="I158" s="5">
        <v>140.19999999999999</v>
      </c>
      <c r="J158" s="5">
        <v>123.8</v>
      </c>
      <c r="K158" s="5">
        <v>141.80000000000001</v>
      </c>
      <c r="L158" s="5">
        <v>118.6</v>
      </c>
      <c r="M158" s="5">
        <v>134</v>
      </c>
      <c r="N158" s="5">
        <v>130.30000000000001</v>
      </c>
      <c r="O158" s="5">
        <v>145.80000000000001</v>
      </c>
      <c r="P158" s="5">
        <v>133.80000000000001</v>
      </c>
      <c r="Q158" s="5">
        <v>145.5</v>
      </c>
      <c r="R158" s="5">
        <v>142.5</v>
      </c>
      <c r="S158" s="5">
        <v>137.30000000000001</v>
      </c>
      <c r="T158" s="5">
        <v>141.80000000000001</v>
      </c>
      <c r="U158" s="5" t="s">
        <v>67</v>
      </c>
      <c r="V158" s="5">
        <v>135</v>
      </c>
      <c r="W158" s="5">
        <v>134.9</v>
      </c>
      <c r="X158" s="5">
        <v>131.4</v>
      </c>
      <c r="Y158" s="5">
        <v>119.4</v>
      </c>
      <c r="Z158" s="5">
        <v>129.4</v>
      </c>
      <c r="AA158" s="5">
        <v>136.30000000000001</v>
      </c>
      <c r="AB158" s="5">
        <v>123.7</v>
      </c>
      <c r="AC158" s="5">
        <v>127.9</v>
      </c>
      <c r="AD158" s="12">
        <v>133.30000000000001</v>
      </c>
      <c r="AE158" s="26">
        <v>1</v>
      </c>
    </row>
    <row r="159" spans="1:31">
      <c r="A159" s="11" t="s">
        <v>68</v>
      </c>
      <c r="B159" s="5">
        <v>2017</v>
      </c>
      <c r="C159" s="5" t="s">
        <v>73</v>
      </c>
      <c r="D159" s="5">
        <v>132.6</v>
      </c>
      <c r="E159" s="5">
        <v>144.1</v>
      </c>
      <c r="F159" s="5">
        <v>125.6</v>
      </c>
      <c r="G159" s="5">
        <v>136.80000000000001</v>
      </c>
      <c r="H159" s="5">
        <v>113.4</v>
      </c>
      <c r="I159" s="5">
        <v>135.19999999999999</v>
      </c>
      <c r="J159" s="5">
        <v>129.19999999999999</v>
      </c>
      <c r="K159" s="5">
        <v>131.5</v>
      </c>
      <c r="L159" s="5">
        <v>121</v>
      </c>
      <c r="M159" s="5">
        <v>139.9</v>
      </c>
      <c r="N159" s="5">
        <v>123.8</v>
      </c>
      <c r="O159" s="5">
        <v>142.9</v>
      </c>
      <c r="P159" s="5">
        <v>133.6</v>
      </c>
      <c r="Q159" s="5">
        <v>148.30000000000001</v>
      </c>
      <c r="R159" s="5">
        <v>131.5</v>
      </c>
      <c r="S159" s="5">
        <v>123.2</v>
      </c>
      <c r="T159" s="5">
        <v>130.19999999999999</v>
      </c>
      <c r="U159" s="5">
        <v>132.1</v>
      </c>
      <c r="V159" s="5">
        <v>120.1</v>
      </c>
      <c r="W159" s="5">
        <v>126.5</v>
      </c>
      <c r="X159" s="5">
        <v>123.6</v>
      </c>
      <c r="Y159" s="5">
        <v>114.3</v>
      </c>
      <c r="Z159" s="5">
        <v>122.8</v>
      </c>
      <c r="AA159" s="5">
        <v>133.80000000000001</v>
      </c>
      <c r="AB159" s="5">
        <v>122</v>
      </c>
      <c r="AC159" s="5">
        <v>122.6</v>
      </c>
      <c r="AD159" s="12">
        <v>129.30000000000001</v>
      </c>
      <c r="AE159" s="26">
        <v>1</v>
      </c>
    </row>
    <row r="160" spans="1:31">
      <c r="A160" s="11" t="s">
        <v>69</v>
      </c>
      <c r="B160" s="5">
        <v>2017</v>
      </c>
      <c r="C160" s="5" t="s">
        <v>73</v>
      </c>
      <c r="D160" s="5">
        <v>132.9</v>
      </c>
      <c r="E160" s="5">
        <v>141.6</v>
      </c>
      <c r="F160" s="5">
        <v>126.3</v>
      </c>
      <c r="G160" s="5">
        <v>137.69999999999999</v>
      </c>
      <c r="H160" s="5">
        <v>118.1</v>
      </c>
      <c r="I160" s="5">
        <v>137.9</v>
      </c>
      <c r="J160" s="5">
        <v>125.6</v>
      </c>
      <c r="K160" s="5">
        <v>138.30000000000001</v>
      </c>
      <c r="L160" s="5">
        <v>119.4</v>
      </c>
      <c r="M160" s="5">
        <v>136</v>
      </c>
      <c r="N160" s="5">
        <v>127.6</v>
      </c>
      <c r="O160" s="5">
        <v>144.5</v>
      </c>
      <c r="P160" s="5">
        <v>133.69999999999999</v>
      </c>
      <c r="Q160" s="5">
        <v>146.19999999999999</v>
      </c>
      <c r="R160" s="5">
        <v>138.19999999999999</v>
      </c>
      <c r="S160" s="5">
        <v>131.4</v>
      </c>
      <c r="T160" s="5">
        <v>137.19999999999999</v>
      </c>
      <c r="U160" s="5">
        <v>132.1</v>
      </c>
      <c r="V160" s="5">
        <v>129.4</v>
      </c>
      <c r="W160" s="5">
        <v>130.9</v>
      </c>
      <c r="X160" s="5">
        <v>128.4</v>
      </c>
      <c r="Y160" s="5">
        <v>116.7</v>
      </c>
      <c r="Z160" s="5">
        <v>125.7</v>
      </c>
      <c r="AA160" s="5">
        <v>134.80000000000001</v>
      </c>
      <c r="AB160" s="5">
        <v>123</v>
      </c>
      <c r="AC160" s="5">
        <v>125.3</v>
      </c>
      <c r="AD160" s="12">
        <v>131.4</v>
      </c>
      <c r="AE160" s="26">
        <v>1</v>
      </c>
    </row>
    <row r="161" spans="1:31">
      <c r="A161" s="11" t="s">
        <v>65</v>
      </c>
      <c r="B161" s="5">
        <v>2017</v>
      </c>
      <c r="C161" s="5" t="s">
        <v>74</v>
      </c>
      <c r="D161" s="5">
        <v>133.5</v>
      </c>
      <c r="E161" s="5">
        <v>143.69999999999999</v>
      </c>
      <c r="F161" s="5">
        <v>128</v>
      </c>
      <c r="G161" s="5">
        <v>138.6</v>
      </c>
      <c r="H161" s="5">
        <v>120.9</v>
      </c>
      <c r="I161" s="5">
        <v>140.9</v>
      </c>
      <c r="J161" s="5">
        <v>128.80000000000001</v>
      </c>
      <c r="K161" s="5">
        <v>140.19999999999999</v>
      </c>
      <c r="L161" s="5">
        <v>118.9</v>
      </c>
      <c r="M161" s="5">
        <v>133.5</v>
      </c>
      <c r="N161" s="5">
        <v>130.4</v>
      </c>
      <c r="O161" s="5">
        <v>146.5</v>
      </c>
      <c r="P161" s="5">
        <v>134.9</v>
      </c>
      <c r="Q161" s="5">
        <v>145.80000000000001</v>
      </c>
      <c r="R161" s="5">
        <v>143.1</v>
      </c>
      <c r="S161" s="5">
        <v>137.69999999999999</v>
      </c>
      <c r="T161" s="5">
        <v>142.30000000000001</v>
      </c>
      <c r="U161" s="5" t="s">
        <v>67</v>
      </c>
      <c r="V161" s="5">
        <v>134.80000000000001</v>
      </c>
      <c r="W161" s="5">
        <v>135.19999999999999</v>
      </c>
      <c r="X161" s="5">
        <v>131.30000000000001</v>
      </c>
      <c r="Y161" s="5">
        <v>119.4</v>
      </c>
      <c r="Z161" s="5">
        <v>129.80000000000001</v>
      </c>
      <c r="AA161" s="5">
        <v>136.9</v>
      </c>
      <c r="AB161" s="5">
        <v>124.1</v>
      </c>
      <c r="AC161" s="5">
        <v>128.1</v>
      </c>
      <c r="AD161" s="12">
        <v>133.9</v>
      </c>
      <c r="AE161" s="26">
        <v>1</v>
      </c>
    </row>
    <row r="162" spans="1:31">
      <c r="A162" s="11" t="s">
        <v>68</v>
      </c>
      <c r="B162" s="5">
        <v>2017</v>
      </c>
      <c r="C162" s="5" t="s">
        <v>74</v>
      </c>
      <c r="D162" s="5">
        <v>132.9</v>
      </c>
      <c r="E162" s="5">
        <v>148.69999999999999</v>
      </c>
      <c r="F162" s="5">
        <v>128.30000000000001</v>
      </c>
      <c r="G162" s="5">
        <v>137.30000000000001</v>
      </c>
      <c r="H162" s="5">
        <v>113.5</v>
      </c>
      <c r="I162" s="5">
        <v>137.19999999999999</v>
      </c>
      <c r="J162" s="5">
        <v>142.19999999999999</v>
      </c>
      <c r="K162" s="5">
        <v>128.19999999999999</v>
      </c>
      <c r="L162" s="5">
        <v>120.9</v>
      </c>
      <c r="M162" s="5">
        <v>138.80000000000001</v>
      </c>
      <c r="N162" s="5">
        <v>124.2</v>
      </c>
      <c r="O162" s="5">
        <v>143.1</v>
      </c>
      <c r="P162" s="5">
        <v>135.69999999999999</v>
      </c>
      <c r="Q162" s="5">
        <v>148.6</v>
      </c>
      <c r="R162" s="5">
        <v>131.5</v>
      </c>
      <c r="S162" s="5">
        <v>123.2</v>
      </c>
      <c r="T162" s="5">
        <v>130.19999999999999</v>
      </c>
      <c r="U162" s="5">
        <v>131.4</v>
      </c>
      <c r="V162" s="5">
        <v>119</v>
      </c>
      <c r="W162" s="5">
        <v>126.8</v>
      </c>
      <c r="X162" s="5">
        <v>123.8</v>
      </c>
      <c r="Y162" s="5">
        <v>113.9</v>
      </c>
      <c r="Z162" s="5">
        <v>122.9</v>
      </c>
      <c r="AA162" s="5">
        <v>134.30000000000001</v>
      </c>
      <c r="AB162" s="5">
        <v>122.5</v>
      </c>
      <c r="AC162" s="5">
        <v>122.7</v>
      </c>
      <c r="AD162" s="12">
        <v>129.9</v>
      </c>
      <c r="AE162" s="26">
        <v>1</v>
      </c>
    </row>
    <row r="163" spans="1:31">
      <c r="A163" s="11" t="s">
        <v>69</v>
      </c>
      <c r="B163" s="5">
        <v>2017</v>
      </c>
      <c r="C163" s="5" t="s">
        <v>74</v>
      </c>
      <c r="D163" s="5">
        <v>133.30000000000001</v>
      </c>
      <c r="E163" s="5">
        <v>145.5</v>
      </c>
      <c r="F163" s="5">
        <v>128.1</v>
      </c>
      <c r="G163" s="5">
        <v>138.1</v>
      </c>
      <c r="H163" s="5">
        <v>118.2</v>
      </c>
      <c r="I163" s="5">
        <v>139.19999999999999</v>
      </c>
      <c r="J163" s="5">
        <v>133.30000000000001</v>
      </c>
      <c r="K163" s="5">
        <v>136.19999999999999</v>
      </c>
      <c r="L163" s="5">
        <v>119.6</v>
      </c>
      <c r="M163" s="5">
        <v>135.30000000000001</v>
      </c>
      <c r="N163" s="5">
        <v>127.8</v>
      </c>
      <c r="O163" s="5">
        <v>144.9</v>
      </c>
      <c r="P163" s="5">
        <v>135.19999999999999</v>
      </c>
      <c r="Q163" s="5">
        <v>146.5</v>
      </c>
      <c r="R163" s="5">
        <v>138.5</v>
      </c>
      <c r="S163" s="5">
        <v>131.69999999999999</v>
      </c>
      <c r="T163" s="5">
        <v>137.5</v>
      </c>
      <c r="U163" s="5">
        <v>131.4</v>
      </c>
      <c r="V163" s="5">
        <v>128.80000000000001</v>
      </c>
      <c r="W163" s="5">
        <v>131.19999999999999</v>
      </c>
      <c r="X163" s="5">
        <v>128.5</v>
      </c>
      <c r="Y163" s="5">
        <v>116.5</v>
      </c>
      <c r="Z163" s="5">
        <v>125.9</v>
      </c>
      <c r="AA163" s="5">
        <v>135.4</v>
      </c>
      <c r="AB163" s="5">
        <v>123.4</v>
      </c>
      <c r="AC163" s="5">
        <v>125.5</v>
      </c>
      <c r="AD163" s="12">
        <v>132</v>
      </c>
      <c r="AE163" s="26">
        <v>1</v>
      </c>
    </row>
    <row r="164" spans="1:31">
      <c r="A164" s="11" t="s">
        <v>65</v>
      </c>
      <c r="B164" s="5">
        <v>2017</v>
      </c>
      <c r="C164" s="5" t="s">
        <v>75</v>
      </c>
      <c r="D164" s="5">
        <v>134</v>
      </c>
      <c r="E164" s="5">
        <v>144.19999999999999</v>
      </c>
      <c r="F164" s="5">
        <v>129.80000000000001</v>
      </c>
      <c r="G164" s="5">
        <v>139</v>
      </c>
      <c r="H164" s="5">
        <v>120.9</v>
      </c>
      <c r="I164" s="5">
        <v>143.9</v>
      </c>
      <c r="J164" s="5">
        <v>151.5</v>
      </c>
      <c r="K164" s="5">
        <v>138.1</v>
      </c>
      <c r="L164" s="5">
        <v>120</v>
      </c>
      <c r="M164" s="5">
        <v>133.9</v>
      </c>
      <c r="N164" s="5">
        <v>131.4</v>
      </c>
      <c r="O164" s="5">
        <v>147.69999999999999</v>
      </c>
      <c r="P164" s="5">
        <v>138.5</v>
      </c>
      <c r="Q164" s="5">
        <v>147.4</v>
      </c>
      <c r="R164" s="5">
        <v>144.30000000000001</v>
      </c>
      <c r="S164" s="5">
        <v>138.1</v>
      </c>
      <c r="T164" s="5">
        <v>143.5</v>
      </c>
      <c r="U164" s="5" t="s">
        <v>67</v>
      </c>
      <c r="V164" s="5">
        <v>135.30000000000001</v>
      </c>
      <c r="W164" s="5">
        <v>136.1</v>
      </c>
      <c r="X164" s="5">
        <v>132.1</v>
      </c>
      <c r="Y164" s="5">
        <v>119.1</v>
      </c>
      <c r="Z164" s="5">
        <v>130.6</v>
      </c>
      <c r="AA164" s="5">
        <v>138.6</v>
      </c>
      <c r="AB164" s="5">
        <v>124.4</v>
      </c>
      <c r="AC164" s="5">
        <v>128.6</v>
      </c>
      <c r="AD164" s="12">
        <v>136.19999999999999</v>
      </c>
      <c r="AE164" s="26">
        <v>1</v>
      </c>
    </row>
    <row r="165" spans="1:31">
      <c r="A165" s="11" t="s">
        <v>68</v>
      </c>
      <c r="B165" s="5">
        <v>2017</v>
      </c>
      <c r="C165" s="5" t="s">
        <v>75</v>
      </c>
      <c r="D165" s="5">
        <v>132.80000000000001</v>
      </c>
      <c r="E165" s="5">
        <v>148.4</v>
      </c>
      <c r="F165" s="5">
        <v>129.4</v>
      </c>
      <c r="G165" s="5">
        <v>137.69999999999999</v>
      </c>
      <c r="H165" s="5">
        <v>113.4</v>
      </c>
      <c r="I165" s="5">
        <v>139.4</v>
      </c>
      <c r="J165" s="5">
        <v>175.1</v>
      </c>
      <c r="K165" s="5">
        <v>124.7</v>
      </c>
      <c r="L165" s="5">
        <v>121.5</v>
      </c>
      <c r="M165" s="5">
        <v>137.80000000000001</v>
      </c>
      <c r="N165" s="5">
        <v>124.4</v>
      </c>
      <c r="O165" s="5">
        <v>143.69999999999999</v>
      </c>
      <c r="P165" s="5">
        <v>139.80000000000001</v>
      </c>
      <c r="Q165" s="5">
        <v>150.5</v>
      </c>
      <c r="R165" s="5">
        <v>131.6</v>
      </c>
      <c r="S165" s="5">
        <v>123.7</v>
      </c>
      <c r="T165" s="5">
        <v>130.4</v>
      </c>
      <c r="U165" s="5">
        <v>132.6</v>
      </c>
      <c r="V165" s="5">
        <v>119.7</v>
      </c>
      <c r="W165" s="5">
        <v>127.2</v>
      </c>
      <c r="X165" s="5">
        <v>125</v>
      </c>
      <c r="Y165" s="5">
        <v>113.2</v>
      </c>
      <c r="Z165" s="5">
        <v>123.5</v>
      </c>
      <c r="AA165" s="5">
        <v>135.5</v>
      </c>
      <c r="AB165" s="5">
        <v>122.4</v>
      </c>
      <c r="AC165" s="5">
        <v>123</v>
      </c>
      <c r="AD165" s="12">
        <v>131.80000000000001</v>
      </c>
      <c r="AE165" s="26">
        <v>1</v>
      </c>
    </row>
    <row r="166" spans="1:31">
      <c r="A166" s="11" t="s">
        <v>69</v>
      </c>
      <c r="B166" s="5">
        <v>2017</v>
      </c>
      <c r="C166" s="5" t="s">
        <v>75</v>
      </c>
      <c r="D166" s="5">
        <v>133.6</v>
      </c>
      <c r="E166" s="5">
        <v>145.69999999999999</v>
      </c>
      <c r="F166" s="5">
        <v>129.6</v>
      </c>
      <c r="G166" s="5">
        <v>138.5</v>
      </c>
      <c r="H166" s="5">
        <v>118.1</v>
      </c>
      <c r="I166" s="5">
        <v>141.80000000000001</v>
      </c>
      <c r="J166" s="5">
        <v>159.5</v>
      </c>
      <c r="K166" s="5">
        <v>133.6</v>
      </c>
      <c r="L166" s="5">
        <v>120.5</v>
      </c>
      <c r="M166" s="5">
        <v>135.19999999999999</v>
      </c>
      <c r="N166" s="5">
        <v>128.5</v>
      </c>
      <c r="O166" s="5">
        <v>145.80000000000001</v>
      </c>
      <c r="P166" s="5">
        <v>139</v>
      </c>
      <c r="Q166" s="5">
        <v>148.19999999999999</v>
      </c>
      <c r="R166" s="5">
        <v>139.30000000000001</v>
      </c>
      <c r="S166" s="5">
        <v>132.1</v>
      </c>
      <c r="T166" s="5">
        <v>138.30000000000001</v>
      </c>
      <c r="U166" s="5">
        <v>132.6</v>
      </c>
      <c r="V166" s="5">
        <v>129.4</v>
      </c>
      <c r="W166" s="5">
        <v>131.9</v>
      </c>
      <c r="X166" s="5">
        <v>129.4</v>
      </c>
      <c r="Y166" s="5">
        <v>116</v>
      </c>
      <c r="Z166" s="5">
        <v>126.6</v>
      </c>
      <c r="AA166" s="5">
        <v>136.80000000000001</v>
      </c>
      <c r="AB166" s="5">
        <v>123.6</v>
      </c>
      <c r="AC166" s="5">
        <v>125.9</v>
      </c>
      <c r="AD166" s="12">
        <v>134.19999999999999</v>
      </c>
      <c r="AE166" s="26">
        <v>1</v>
      </c>
    </row>
    <row r="167" spans="1:31">
      <c r="A167" s="11" t="s">
        <v>65</v>
      </c>
      <c r="B167" s="5">
        <v>2017</v>
      </c>
      <c r="C167" s="5" t="s">
        <v>76</v>
      </c>
      <c r="D167" s="5">
        <v>134.80000000000001</v>
      </c>
      <c r="E167" s="5">
        <v>143.1</v>
      </c>
      <c r="F167" s="5">
        <v>130</v>
      </c>
      <c r="G167" s="5">
        <v>139.4</v>
      </c>
      <c r="H167" s="5">
        <v>120.5</v>
      </c>
      <c r="I167" s="5">
        <v>148</v>
      </c>
      <c r="J167" s="5">
        <v>162.9</v>
      </c>
      <c r="K167" s="5">
        <v>137.4</v>
      </c>
      <c r="L167" s="5">
        <v>120.8</v>
      </c>
      <c r="M167" s="5">
        <v>134.69999999999999</v>
      </c>
      <c r="N167" s="5">
        <v>131.6</v>
      </c>
      <c r="O167" s="5">
        <v>148.69999999999999</v>
      </c>
      <c r="P167" s="5">
        <v>140.6</v>
      </c>
      <c r="Q167" s="5">
        <v>149</v>
      </c>
      <c r="R167" s="5">
        <v>145.30000000000001</v>
      </c>
      <c r="S167" s="5">
        <v>139.19999999999999</v>
      </c>
      <c r="T167" s="5">
        <v>144.5</v>
      </c>
      <c r="U167" s="5" t="s">
        <v>67</v>
      </c>
      <c r="V167" s="5">
        <v>136.4</v>
      </c>
      <c r="W167" s="5">
        <v>137.30000000000001</v>
      </c>
      <c r="X167" s="5">
        <v>133</v>
      </c>
      <c r="Y167" s="5">
        <v>120.3</v>
      </c>
      <c r="Z167" s="5">
        <v>131.5</v>
      </c>
      <c r="AA167" s="5">
        <v>140.19999999999999</v>
      </c>
      <c r="AB167" s="5">
        <v>125.4</v>
      </c>
      <c r="AC167" s="5">
        <v>129.69999999999999</v>
      </c>
      <c r="AD167" s="12">
        <v>137.80000000000001</v>
      </c>
      <c r="AE167" s="26">
        <v>1</v>
      </c>
    </row>
    <row r="168" spans="1:31">
      <c r="A168" s="11" t="s">
        <v>68</v>
      </c>
      <c r="B168" s="5">
        <v>2017</v>
      </c>
      <c r="C168" s="5" t="s">
        <v>76</v>
      </c>
      <c r="D168" s="5">
        <v>133.19999999999999</v>
      </c>
      <c r="E168" s="5">
        <v>143.9</v>
      </c>
      <c r="F168" s="5">
        <v>128.30000000000001</v>
      </c>
      <c r="G168" s="5">
        <v>138.30000000000001</v>
      </c>
      <c r="H168" s="5">
        <v>114.1</v>
      </c>
      <c r="I168" s="5">
        <v>142.69999999999999</v>
      </c>
      <c r="J168" s="5">
        <v>179.8</v>
      </c>
      <c r="K168" s="5">
        <v>123.5</v>
      </c>
      <c r="L168" s="5">
        <v>122.1</v>
      </c>
      <c r="M168" s="5">
        <v>137.5</v>
      </c>
      <c r="N168" s="5">
        <v>124.6</v>
      </c>
      <c r="O168" s="5">
        <v>144.5</v>
      </c>
      <c r="P168" s="5">
        <v>140.5</v>
      </c>
      <c r="Q168" s="5">
        <v>152.1</v>
      </c>
      <c r="R168" s="5">
        <v>132.69999999999999</v>
      </c>
      <c r="S168" s="5">
        <v>124.3</v>
      </c>
      <c r="T168" s="5">
        <v>131.4</v>
      </c>
      <c r="U168" s="5">
        <v>134.4</v>
      </c>
      <c r="V168" s="5">
        <v>118.9</v>
      </c>
      <c r="W168" s="5">
        <v>127.7</v>
      </c>
      <c r="X168" s="5">
        <v>125.7</v>
      </c>
      <c r="Y168" s="5">
        <v>114.6</v>
      </c>
      <c r="Z168" s="5">
        <v>124.1</v>
      </c>
      <c r="AA168" s="5">
        <v>135.69999999999999</v>
      </c>
      <c r="AB168" s="5">
        <v>123.3</v>
      </c>
      <c r="AC168" s="5">
        <v>123.8</v>
      </c>
      <c r="AD168" s="12">
        <v>132.69999999999999</v>
      </c>
      <c r="AE168" s="26">
        <v>1</v>
      </c>
    </row>
    <row r="169" spans="1:31">
      <c r="A169" s="11" t="s">
        <v>69</v>
      </c>
      <c r="B169" s="5">
        <v>2017</v>
      </c>
      <c r="C169" s="5" t="s">
        <v>76</v>
      </c>
      <c r="D169" s="5">
        <v>134.30000000000001</v>
      </c>
      <c r="E169" s="5">
        <v>143.4</v>
      </c>
      <c r="F169" s="5">
        <v>129.30000000000001</v>
      </c>
      <c r="G169" s="5">
        <v>139</v>
      </c>
      <c r="H169" s="5">
        <v>118.1</v>
      </c>
      <c r="I169" s="5">
        <v>145.5</v>
      </c>
      <c r="J169" s="5">
        <v>168.6</v>
      </c>
      <c r="K169" s="5">
        <v>132.69999999999999</v>
      </c>
      <c r="L169" s="5">
        <v>121.2</v>
      </c>
      <c r="M169" s="5">
        <v>135.6</v>
      </c>
      <c r="N169" s="5">
        <v>128.69999999999999</v>
      </c>
      <c r="O169" s="5">
        <v>146.80000000000001</v>
      </c>
      <c r="P169" s="5">
        <v>140.6</v>
      </c>
      <c r="Q169" s="5">
        <v>149.80000000000001</v>
      </c>
      <c r="R169" s="5">
        <v>140.30000000000001</v>
      </c>
      <c r="S169" s="5">
        <v>133</v>
      </c>
      <c r="T169" s="5">
        <v>139.30000000000001</v>
      </c>
      <c r="U169" s="5">
        <v>134.4</v>
      </c>
      <c r="V169" s="5">
        <v>129.80000000000001</v>
      </c>
      <c r="W169" s="5">
        <v>132.80000000000001</v>
      </c>
      <c r="X169" s="5">
        <v>130.19999999999999</v>
      </c>
      <c r="Y169" s="5">
        <v>117.3</v>
      </c>
      <c r="Z169" s="5">
        <v>127.3</v>
      </c>
      <c r="AA169" s="5">
        <v>137.6</v>
      </c>
      <c r="AB169" s="5">
        <v>124.5</v>
      </c>
      <c r="AC169" s="5">
        <v>126.8</v>
      </c>
      <c r="AD169" s="12">
        <v>135.4</v>
      </c>
      <c r="AE169" s="26">
        <v>1</v>
      </c>
    </row>
    <row r="170" spans="1:31">
      <c r="A170" s="11" t="s">
        <v>65</v>
      </c>
      <c r="B170" s="5">
        <v>2017</v>
      </c>
      <c r="C170" s="5" t="s">
        <v>77</v>
      </c>
      <c r="D170" s="5">
        <v>135.19999999999999</v>
      </c>
      <c r="E170" s="5">
        <v>142</v>
      </c>
      <c r="F170" s="5">
        <v>130.5</v>
      </c>
      <c r="G170" s="5">
        <v>140.19999999999999</v>
      </c>
      <c r="H170" s="5">
        <v>120.7</v>
      </c>
      <c r="I170" s="5">
        <v>147.80000000000001</v>
      </c>
      <c r="J170" s="5">
        <v>154.5</v>
      </c>
      <c r="K170" s="5">
        <v>137.1</v>
      </c>
      <c r="L170" s="5">
        <v>121</v>
      </c>
      <c r="M170" s="5">
        <v>134.69999999999999</v>
      </c>
      <c r="N170" s="5">
        <v>131.69999999999999</v>
      </c>
      <c r="O170" s="5">
        <v>149.30000000000001</v>
      </c>
      <c r="P170" s="5">
        <v>139.6</v>
      </c>
      <c r="Q170" s="5">
        <v>149.80000000000001</v>
      </c>
      <c r="R170" s="5">
        <v>146.1</v>
      </c>
      <c r="S170" s="5">
        <v>139.69999999999999</v>
      </c>
      <c r="T170" s="5">
        <v>145.19999999999999</v>
      </c>
      <c r="U170" s="5" t="s">
        <v>67</v>
      </c>
      <c r="V170" s="5">
        <v>137.4</v>
      </c>
      <c r="W170" s="5">
        <v>137.9</v>
      </c>
      <c r="X170" s="5">
        <v>133.4</v>
      </c>
      <c r="Y170" s="5">
        <v>121.2</v>
      </c>
      <c r="Z170" s="5">
        <v>132.30000000000001</v>
      </c>
      <c r="AA170" s="5">
        <v>139.6</v>
      </c>
      <c r="AB170" s="5">
        <v>126.7</v>
      </c>
      <c r="AC170" s="5">
        <v>130.30000000000001</v>
      </c>
      <c r="AD170" s="12">
        <v>137.6</v>
      </c>
      <c r="AE170" s="26">
        <v>1</v>
      </c>
    </row>
    <row r="171" spans="1:31">
      <c r="A171" s="11" t="s">
        <v>68</v>
      </c>
      <c r="B171" s="5">
        <v>2017</v>
      </c>
      <c r="C171" s="5" t="s">
        <v>77</v>
      </c>
      <c r="D171" s="5">
        <v>133.6</v>
      </c>
      <c r="E171" s="5">
        <v>143</v>
      </c>
      <c r="F171" s="5">
        <v>129.69999999999999</v>
      </c>
      <c r="G171" s="5">
        <v>138.69999999999999</v>
      </c>
      <c r="H171" s="5">
        <v>114.5</v>
      </c>
      <c r="I171" s="5">
        <v>137.5</v>
      </c>
      <c r="J171" s="5">
        <v>160.69999999999999</v>
      </c>
      <c r="K171" s="5">
        <v>124.5</v>
      </c>
      <c r="L171" s="5">
        <v>122.4</v>
      </c>
      <c r="M171" s="5">
        <v>137.30000000000001</v>
      </c>
      <c r="N171" s="5">
        <v>124.8</v>
      </c>
      <c r="O171" s="5">
        <v>145</v>
      </c>
      <c r="P171" s="5">
        <v>138</v>
      </c>
      <c r="Q171" s="5">
        <v>153.6</v>
      </c>
      <c r="R171" s="5">
        <v>133.30000000000001</v>
      </c>
      <c r="S171" s="5">
        <v>124.6</v>
      </c>
      <c r="T171" s="5">
        <v>132</v>
      </c>
      <c r="U171" s="5">
        <v>135.69999999999999</v>
      </c>
      <c r="V171" s="5">
        <v>120.6</v>
      </c>
      <c r="W171" s="5">
        <v>128.1</v>
      </c>
      <c r="X171" s="5">
        <v>126.1</v>
      </c>
      <c r="Y171" s="5">
        <v>115.7</v>
      </c>
      <c r="Z171" s="5">
        <v>124.5</v>
      </c>
      <c r="AA171" s="5">
        <v>135.9</v>
      </c>
      <c r="AB171" s="5">
        <v>124.4</v>
      </c>
      <c r="AC171" s="5">
        <v>124.5</v>
      </c>
      <c r="AD171" s="12">
        <v>132.4</v>
      </c>
      <c r="AE171" s="26">
        <v>1</v>
      </c>
    </row>
    <row r="172" spans="1:31">
      <c r="A172" s="11" t="s">
        <v>69</v>
      </c>
      <c r="B172" s="5">
        <v>2017</v>
      </c>
      <c r="C172" s="5" t="s">
        <v>77</v>
      </c>
      <c r="D172" s="5">
        <v>134.69999999999999</v>
      </c>
      <c r="E172" s="5">
        <v>142.4</v>
      </c>
      <c r="F172" s="5">
        <v>130.19999999999999</v>
      </c>
      <c r="G172" s="5">
        <v>139.6</v>
      </c>
      <c r="H172" s="5">
        <v>118.4</v>
      </c>
      <c r="I172" s="5">
        <v>143</v>
      </c>
      <c r="J172" s="5">
        <v>156.6</v>
      </c>
      <c r="K172" s="5">
        <v>132.9</v>
      </c>
      <c r="L172" s="5">
        <v>121.5</v>
      </c>
      <c r="M172" s="5">
        <v>135.6</v>
      </c>
      <c r="N172" s="5">
        <v>128.80000000000001</v>
      </c>
      <c r="O172" s="5">
        <v>147.30000000000001</v>
      </c>
      <c r="P172" s="5">
        <v>139</v>
      </c>
      <c r="Q172" s="5">
        <v>150.80000000000001</v>
      </c>
      <c r="R172" s="5">
        <v>141.1</v>
      </c>
      <c r="S172" s="5">
        <v>133.4</v>
      </c>
      <c r="T172" s="5">
        <v>140</v>
      </c>
      <c r="U172" s="5">
        <v>135.69999999999999</v>
      </c>
      <c r="V172" s="5">
        <v>131</v>
      </c>
      <c r="W172" s="5">
        <v>133.30000000000001</v>
      </c>
      <c r="X172" s="5">
        <v>130.6</v>
      </c>
      <c r="Y172" s="5">
        <v>118.3</v>
      </c>
      <c r="Z172" s="5">
        <v>127.9</v>
      </c>
      <c r="AA172" s="5">
        <v>137.4</v>
      </c>
      <c r="AB172" s="5">
        <v>125.7</v>
      </c>
      <c r="AC172" s="5">
        <v>127.5</v>
      </c>
      <c r="AD172" s="12">
        <v>135.19999999999999</v>
      </c>
      <c r="AE172" s="26">
        <v>1</v>
      </c>
    </row>
    <row r="173" spans="1:31">
      <c r="A173" s="11" t="s">
        <v>65</v>
      </c>
      <c r="B173" s="5">
        <v>2017</v>
      </c>
      <c r="C173" s="5" t="s">
        <v>78</v>
      </c>
      <c r="D173" s="5">
        <v>135.9</v>
      </c>
      <c r="E173" s="5">
        <v>141.9</v>
      </c>
      <c r="F173" s="5">
        <v>131</v>
      </c>
      <c r="G173" s="5">
        <v>141.5</v>
      </c>
      <c r="H173" s="5">
        <v>121.4</v>
      </c>
      <c r="I173" s="5">
        <v>146.69999999999999</v>
      </c>
      <c r="J173" s="5">
        <v>157.1</v>
      </c>
      <c r="K173" s="5">
        <v>136.4</v>
      </c>
      <c r="L173" s="5">
        <v>121.4</v>
      </c>
      <c r="M173" s="5">
        <v>135.6</v>
      </c>
      <c r="N173" s="5">
        <v>131.30000000000001</v>
      </c>
      <c r="O173" s="5">
        <v>150.30000000000001</v>
      </c>
      <c r="P173" s="5">
        <v>140.4</v>
      </c>
      <c r="Q173" s="5">
        <v>150.5</v>
      </c>
      <c r="R173" s="5">
        <v>147.19999999999999</v>
      </c>
      <c r="S173" s="5">
        <v>140.6</v>
      </c>
      <c r="T173" s="5">
        <v>146.19999999999999</v>
      </c>
      <c r="U173" s="5" t="s">
        <v>67</v>
      </c>
      <c r="V173" s="5">
        <v>138.1</v>
      </c>
      <c r="W173" s="5">
        <v>138.4</v>
      </c>
      <c r="X173" s="5">
        <v>134.19999999999999</v>
      </c>
      <c r="Y173" s="5">
        <v>121</v>
      </c>
      <c r="Z173" s="5">
        <v>133</v>
      </c>
      <c r="AA173" s="5">
        <v>140.1</v>
      </c>
      <c r="AB173" s="5">
        <v>127.4</v>
      </c>
      <c r="AC173" s="5">
        <v>130.69999999999999</v>
      </c>
      <c r="AD173" s="12">
        <v>138.30000000000001</v>
      </c>
      <c r="AE173" s="26">
        <v>1</v>
      </c>
    </row>
    <row r="174" spans="1:31">
      <c r="A174" s="11" t="s">
        <v>68</v>
      </c>
      <c r="B174" s="5">
        <v>2017</v>
      </c>
      <c r="C174" s="5" t="s">
        <v>78</v>
      </c>
      <c r="D174" s="5">
        <v>133.9</v>
      </c>
      <c r="E174" s="5">
        <v>142.80000000000001</v>
      </c>
      <c r="F174" s="5">
        <v>131.4</v>
      </c>
      <c r="G174" s="5">
        <v>139.1</v>
      </c>
      <c r="H174" s="5">
        <v>114.9</v>
      </c>
      <c r="I174" s="5">
        <v>135.6</v>
      </c>
      <c r="J174" s="5">
        <v>173.2</v>
      </c>
      <c r="K174" s="5">
        <v>124.1</v>
      </c>
      <c r="L174" s="5">
        <v>122.6</v>
      </c>
      <c r="M174" s="5">
        <v>137.80000000000001</v>
      </c>
      <c r="N174" s="5">
        <v>125.1</v>
      </c>
      <c r="O174" s="5">
        <v>145.5</v>
      </c>
      <c r="P174" s="5">
        <v>139.69999999999999</v>
      </c>
      <c r="Q174" s="5">
        <v>154.6</v>
      </c>
      <c r="R174" s="5">
        <v>134</v>
      </c>
      <c r="S174" s="5">
        <v>124.9</v>
      </c>
      <c r="T174" s="5">
        <v>132.6</v>
      </c>
      <c r="U174" s="5">
        <v>137.30000000000001</v>
      </c>
      <c r="V174" s="5">
        <v>122.6</v>
      </c>
      <c r="W174" s="5">
        <v>128.30000000000001</v>
      </c>
      <c r="X174" s="5">
        <v>126.6</v>
      </c>
      <c r="Y174" s="5">
        <v>115</v>
      </c>
      <c r="Z174" s="5">
        <v>124.8</v>
      </c>
      <c r="AA174" s="5">
        <v>136.30000000000001</v>
      </c>
      <c r="AB174" s="5">
        <v>124.6</v>
      </c>
      <c r="AC174" s="5">
        <v>124.5</v>
      </c>
      <c r="AD174" s="12">
        <v>133.5</v>
      </c>
      <c r="AE174" s="26">
        <v>1</v>
      </c>
    </row>
    <row r="175" spans="1:31">
      <c r="A175" s="11" t="s">
        <v>69</v>
      </c>
      <c r="B175" s="5">
        <v>2017</v>
      </c>
      <c r="C175" s="5" t="s">
        <v>78</v>
      </c>
      <c r="D175" s="5">
        <v>135.30000000000001</v>
      </c>
      <c r="E175" s="5">
        <v>142.19999999999999</v>
      </c>
      <c r="F175" s="5">
        <v>131.19999999999999</v>
      </c>
      <c r="G175" s="5">
        <v>140.6</v>
      </c>
      <c r="H175" s="5">
        <v>119</v>
      </c>
      <c r="I175" s="5">
        <v>141.5</v>
      </c>
      <c r="J175" s="5">
        <v>162.6</v>
      </c>
      <c r="K175" s="5">
        <v>132.30000000000001</v>
      </c>
      <c r="L175" s="5">
        <v>121.8</v>
      </c>
      <c r="M175" s="5">
        <v>136.30000000000001</v>
      </c>
      <c r="N175" s="5">
        <v>128.69999999999999</v>
      </c>
      <c r="O175" s="5">
        <v>148.1</v>
      </c>
      <c r="P175" s="5">
        <v>140.1</v>
      </c>
      <c r="Q175" s="5">
        <v>151.6</v>
      </c>
      <c r="R175" s="5">
        <v>142</v>
      </c>
      <c r="S175" s="5">
        <v>134.1</v>
      </c>
      <c r="T175" s="5">
        <v>140.80000000000001</v>
      </c>
      <c r="U175" s="5">
        <v>137.30000000000001</v>
      </c>
      <c r="V175" s="5">
        <v>132.19999999999999</v>
      </c>
      <c r="W175" s="5">
        <v>133.6</v>
      </c>
      <c r="X175" s="5">
        <v>131.30000000000001</v>
      </c>
      <c r="Y175" s="5">
        <v>117.8</v>
      </c>
      <c r="Z175" s="5">
        <v>128.4</v>
      </c>
      <c r="AA175" s="5">
        <v>137.9</v>
      </c>
      <c r="AB175" s="5">
        <v>126.2</v>
      </c>
      <c r="AC175" s="5">
        <v>127.7</v>
      </c>
      <c r="AD175" s="12">
        <v>136.1</v>
      </c>
      <c r="AE175" s="26">
        <v>1</v>
      </c>
    </row>
    <row r="176" spans="1:31">
      <c r="A176" s="11" t="s">
        <v>65</v>
      </c>
      <c r="B176" s="5">
        <v>2017</v>
      </c>
      <c r="C176" s="5" t="s">
        <v>79</v>
      </c>
      <c r="D176" s="5">
        <v>136.30000000000001</v>
      </c>
      <c r="E176" s="5">
        <v>142.5</v>
      </c>
      <c r="F176" s="5">
        <v>140.5</v>
      </c>
      <c r="G176" s="5">
        <v>141.5</v>
      </c>
      <c r="H176" s="5">
        <v>121.6</v>
      </c>
      <c r="I176" s="5">
        <v>147.30000000000001</v>
      </c>
      <c r="J176" s="5">
        <v>168</v>
      </c>
      <c r="K176" s="5">
        <v>135.80000000000001</v>
      </c>
      <c r="L176" s="5">
        <v>122.5</v>
      </c>
      <c r="M176" s="5">
        <v>136</v>
      </c>
      <c r="N176" s="5">
        <v>131.9</v>
      </c>
      <c r="O176" s="5">
        <v>151.4</v>
      </c>
      <c r="P176" s="5">
        <v>142.4</v>
      </c>
      <c r="Q176" s="5">
        <v>152.1</v>
      </c>
      <c r="R176" s="5">
        <v>148.19999999999999</v>
      </c>
      <c r="S176" s="5">
        <v>141.5</v>
      </c>
      <c r="T176" s="5">
        <v>147.30000000000001</v>
      </c>
      <c r="U176" s="5" t="s">
        <v>67</v>
      </c>
      <c r="V176" s="5">
        <v>141.1</v>
      </c>
      <c r="W176" s="5">
        <v>139.4</v>
      </c>
      <c r="X176" s="5">
        <v>135.80000000000001</v>
      </c>
      <c r="Y176" s="5">
        <v>121.6</v>
      </c>
      <c r="Z176" s="5">
        <v>133.69999999999999</v>
      </c>
      <c r="AA176" s="5">
        <v>141.5</v>
      </c>
      <c r="AB176" s="5">
        <v>128.1</v>
      </c>
      <c r="AC176" s="5">
        <v>131.69999999999999</v>
      </c>
      <c r="AD176" s="12">
        <v>140</v>
      </c>
      <c r="AE176" s="26">
        <v>1</v>
      </c>
    </row>
    <row r="177" spans="1:31">
      <c r="A177" s="11" t="s">
        <v>68</v>
      </c>
      <c r="B177" s="5">
        <v>2017</v>
      </c>
      <c r="C177" s="5" t="s">
        <v>79</v>
      </c>
      <c r="D177" s="5">
        <v>134.30000000000001</v>
      </c>
      <c r="E177" s="5">
        <v>142.1</v>
      </c>
      <c r="F177" s="5">
        <v>146.69999999999999</v>
      </c>
      <c r="G177" s="5">
        <v>139.5</v>
      </c>
      <c r="H177" s="5">
        <v>115.2</v>
      </c>
      <c r="I177" s="5">
        <v>136.4</v>
      </c>
      <c r="J177" s="5">
        <v>185.2</v>
      </c>
      <c r="K177" s="5">
        <v>122.2</v>
      </c>
      <c r="L177" s="5">
        <v>123.9</v>
      </c>
      <c r="M177" s="5">
        <v>138.30000000000001</v>
      </c>
      <c r="N177" s="5">
        <v>125.4</v>
      </c>
      <c r="O177" s="5">
        <v>146</v>
      </c>
      <c r="P177" s="5">
        <v>141.5</v>
      </c>
      <c r="Q177" s="5">
        <v>156.19999999999999</v>
      </c>
      <c r="R177" s="5">
        <v>135</v>
      </c>
      <c r="S177" s="5">
        <v>125.4</v>
      </c>
      <c r="T177" s="5">
        <v>133.5</v>
      </c>
      <c r="U177" s="5">
        <v>138.6</v>
      </c>
      <c r="V177" s="5">
        <v>125.7</v>
      </c>
      <c r="W177" s="5">
        <v>128.80000000000001</v>
      </c>
      <c r="X177" s="5">
        <v>127.4</v>
      </c>
      <c r="Y177" s="5">
        <v>115.3</v>
      </c>
      <c r="Z177" s="5">
        <v>125.1</v>
      </c>
      <c r="AA177" s="5">
        <v>136.6</v>
      </c>
      <c r="AB177" s="5">
        <v>124.9</v>
      </c>
      <c r="AC177" s="5">
        <v>124.9</v>
      </c>
      <c r="AD177" s="12">
        <v>134.80000000000001</v>
      </c>
      <c r="AE177" s="26">
        <v>1</v>
      </c>
    </row>
    <row r="178" spans="1:31">
      <c r="A178" s="11" t="s">
        <v>69</v>
      </c>
      <c r="B178" s="5">
        <v>2017</v>
      </c>
      <c r="C178" s="5" t="s">
        <v>79</v>
      </c>
      <c r="D178" s="5">
        <v>135.69999999999999</v>
      </c>
      <c r="E178" s="5">
        <v>142.4</v>
      </c>
      <c r="F178" s="5">
        <v>142.9</v>
      </c>
      <c r="G178" s="5">
        <v>140.80000000000001</v>
      </c>
      <c r="H178" s="5">
        <v>119.2</v>
      </c>
      <c r="I178" s="5">
        <v>142.19999999999999</v>
      </c>
      <c r="J178" s="5">
        <v>173.8</v>
      </c>
      <c r="K178" s="5">
        <v>131.19999999999999</v>
      </c>
      <c r="L178" s="5">
        <v>123</v>
      </c>
      <c r="M178" s="5">
        <v>136.80000000000001</v>
      </c>
      <c r="N178" s="5">
        <v>129.19999999999999</v>
      </c>
      <c r="O178" s="5">
        <v>148.9</v>
      </c>
      <c r="P178" s="5">
        <v>142.1</v>
      </c>
      <c r="Q178" s="5">
        <v>153.19999999999999</v>
      </c>
      <c r="R178" s="5">
        <v>143</v>
      </c>
      <c r="S178" s="5">
        <v>134.80000000000001</v>
      </c>
      <c r="T178" s="5">
        <v>141.80000000000001</v>
      </c>
      <c r="U178" s="5">
        <v>138.6</v>
      </c>
      <c r="V178" s="5">
        <v>135.30000000000001</v>
      </c>
      <c r="W178" s="5">
        <v>134.4</v>
      </c>
      <c r="X178" s="5">
        <v>132.6</v>
      </c>
      <c r="Y178" s="5">
        <v>118.3</v>
      </c>
      <c r="Z178" s="5">
        <v>128.9</v>
      </c>
      <c r="AA178" s="5">
        <v>138.6</v>
      </c>
      <c r="AB178" s="5">
        <v>126.8</v>
      </c>
      <c r="AC178" s="5">
        <v>128.4</v>
      </c>
      <c r="AD178" s="12">
        <v>137.6</v>
      </c>
      <c r="AE178" s="26">
        <v>1</v>
      </c>
    </row>
    <row r="179" spans="1:31">
      <c r="A179" s="11" t="s">
        <v>65</v>
      </c>
      <c r="B179" s="5">
        <v>2017</v>
      </c>
      <c r="C179" s="5" t="s">
        <v>80</v>
      </c>
      <c r="D179" s="5">
        <v>136.4</v>
      </c>
      <c r="E179" s="5">
        <v>143.69999999999999</v>
      </c>
      <c r="F179" s="5">
        <v>144.80000000000001</v>
      </c>
      <c r="G179" s="5">
        <v>141.9</v>
      </c>
      <c r="H179" s="5">
        <v>123.1</v>
      </c>
      <c r="I179" s="5">
        <v>147.19999999999999</v>
      </c>
      <c r="J179" s="5">
        <v>161</v>
      </c>
      <c r="K179" s="5">
        <v>133.80000000000001</v>
      </c>
      <c r="L179" s="5">
        <v>121.9</v>
      </c>
      <c r="M179" s="5">
        <v>135.80000000000001</v>
      </c>
      <c r="N179" s="5">
        <v>131.1</v>
      </c>
      <c r="O179" s="5">
        <v>151.4</v>
      </c>
      <c r="P179" s="5">
        <v>141.5</v>
      </c>
      <c r="Q179" s="5">
        <v>153.19999999999999</v>
      </c>
      <c r="R179" s="5">
        <v>148</v>
      </c>
      <c r="S179" s="5">
        <v>141.9</v>
      </c>
      <c r="T179" s="5">
        <v>147.19999999999999</v>
      </c>
      <c r="U179" s="5" t="s">
        <v>67</v>
      </c>
      <c r="V179" s="5">
        <v>142.6</v>
      </c>
      <c r="W179" s="5">
        <v>139.5</v>
      </c>
      <c r="X179" s="5">
        <v>136.1</v>
      </c>
      <c r="Y179" s="5">
        <v>122</v>
      </c>
      <c r="Z179" s="5">
        <v>133.4</v>
      </c>
      <c r="AA179" s="5">
        <v>141.1</v>
      </c>
      <c r="AB179" s="5">
        <v>127.8</v>
      </c>
      <c r="AC179" s="5">
        <v>131.9</v>
      </c>
      <c r="AD179" s="12">
        <v>139.80000000000001</v>
      </c>
      <c r="AE179" s="26">
        <v>1</v>
      </c>
    </row>
    <row r="180" spans="1:31">
      <c r="A180" s="11" t="s">
        <v>68</v>
      </c>
      <c r="B180" s="5">
        <v>2017</v>
      </c>
      <c r="C180" s="5" t="s">
        <v>80</v>
      </c>
      <c r="D180" s="5">
        <v>134.4</v>
      </c>
      <c r="E180" s="5">
        <v>142.6</v>
      </c>
      <c r="F180" s="5">
        <v>145.9</v>
      </c>
      <c r="G180" s="5">
        <v>139.5</v>
      </c>
      <c r="H180" s="5">
        <v>115.9</v>
      </c>
      <c r="I180" s="5">
        <v>135</v>
      </c>
      <c r="J180" s="5">
        <v>163.19999999999999</v>
      </c>
      <c r="K180" s="5">
        <v>119.8</v>
      </c>
      <c r="L180" s="5">
        <v>120.7</v>
      </c>
      <c r="M180" s="5">
        <v>139.69999999999999</v>
      </c>
      <c r="N180" s="5">
        <v>125.7</v>
      </c>
      <c r="O180" s="5">
        <v>146.30000000000001</v>
      </c>
      <c r="P180" s="5">
        <v>138.80000000000001</v>
      </c>
      <c r="Q180" s="5">
        <v>157</v>
      </c>
      <c r="R180" s="5">
        <v>135.6</v>
      </c>
      <c r="S180" s="5">
        <v>125.6</v>
      </c>
      <c r="T180" s="5">
        <v>134</v>
      </c>
      <c r="U180" s="5">
        <v>139.1</v>
      </c>
      <c r="V180" s="5">
        <v>126.8</v>
      </c>
      <c r="W180" s="5">
        <v>129.30000000000001</v>
      </c>
      <c r="X180" s="5">
        <v>128.19999999999999</v>
      </c>
      <c r="Y180" s="5">
        <v>115.3</v>
      </c>
      <c r="Z180" s="5">
        <v>125.6</v>
      </c>
      <c r="AA180" s="5">
        <v>136.69999999999999</v>
      </c>
      <c r="AB180" s="5">
        <v>124.6</v>
      </c>
      <c r="AC180" s="5">
        <v>125.1</v>
      </c>
      <c r="AD180" s="12">
        <v>134.1</v>
      </c>
      <c r="AE180" s="26">
        <v>1</v>
      </c>
    </row>
    <row r="181" spans="1:31">
      <c r="A181" s="11" t="s">
        <v>69</v>
      </c>
      <c r="B181" s="5">
        <v>2017</v>
      </c>
      <c r="C181" s="5" t="s">
        <v>80</v>
      </c>
      <c r="D181" s="5">
        <v>135.80000000000001</v>
      </c>
      <c r="E181" s="5">
        <v>143.30000000000001</v>
      </c>
      <c r="F181" s="5">
        <v>145.19999999999999</v>
      </c>
      <c r="G181" s="5">
        <v>141</v>
      </c>
      <c r="H181" s="5">
        <v>120.5</v>
      </c>
      <c r="I181" s="5">
        <v>141.5</v>
      </c>
      <c r="J181" s="5">
        <v>161.69999999999999</v>
      </c>
      <c r="K181" s="5">
        <v>129.1</v>
      </c>
      <c r="L181" s="5">
        <v>121.5</v>
      </c>
      <c r="M181" s="5">
        <v>137.1</v>
      </c>
      <c r="N181" s="5">
        <v>128.80000000000001</v>
      </c>
      <c r="O181" s="5">
        <v>149</v>
      </c>
      <c r="P181" s="5">
        <v>140.5</v>
      </c>
      <c r="Q181" s="5">
        <v>154.19999999999999</v>
      </c>
      <c r="R181" s="5">
        <v>143.1</v>
      </c>
      <c r="S181" s="5">
        <v>135.1</v>
      </c>
      <c r="T181" s="5">
        <v>142</v>
      </c>
      <c r="U181" s="5">
        <v>139.1</v>
      </c>
      <c r="V181" s="5">
        <v>136.6</v>
      </c>
      <c r="W181" s="5">
        <v>134.69999999999999</v>
      </c>
      <c r="X181" s="5">
        <v>133.1</v>
      </c>
      <c r="Y181" s="5">
        <v>118.5</v>
      </c>
      <c r="Z181" s="5">
        <v>129</v>
      </c>
      <c r="AA181" s="5">
        <v>138.5</v>
      </c>
      <c r="AB181" s="5">
        <v>126.5</v>
      </c>
      <c r="AC181" s="5">
        <v>128.6</v>
      </c>
      <c r="AD181" s="12">
        <v>137.19999999999999</v>
      </c>
      <c r="AE181" s="26">
        <v>1</v>
      </c>
    </row>
    <row r="182" spans="1:31">
      <c r="A182" s="11" t="s">
        <v>65</v>
      </c>
      <c r="B182" s="5">
        <v>2018</v>
      </c>
      <c r="C182" s="5" t="s">
        <v>66</v>
      </c>
      <c r="D182" s="5">
        <v>136.6</v>
      </c>
      <c r="E182" s="5">
        <v>144.4</v>
      </c>
      <c r="F182" s="5">
        <v>143.80000000000001</v>
      </c>
      <c r="G182" s="5">
        <v>142</v>
      </c>
      <c r="H182" s="5">
        <v>123.2</v>
      </c>
      <c r="I182" s="5">
        <v>147.9</v>
      </c>
      <c r="J182" s="5">
        <v>152.1</v>
      </c>
      <c r="K182" s="5">
        <v>131.80000000000001</v>
      </c>
      <c r="L182" s="5">
        <v>119.5</v>
      </c>
      <c r="M182" s="5">
        <v>136</v>
      </c>
      <c r="N182" s="5">
        <v>131.19999999999999</v>
      </c>
      <c r="O182" s="5">
        <v>151.80000000000001</v>
      </c>
      <c r="P182" s="5">
        <v>140.4</v>
      </c>
      <c r="Q182" s="5">
        <v>153.6</v>
      </c>
      <c r="R182" s="5">
        <v>148.30000000000001</v>
      </c>
      <c r="S182" s="5">
        <v>142.30000000000001</v>
      </c>
      <c r="T182" s="5">
        <v>147.5</v>
      </c>
      <c r="U182" s="5" t="s">
        <v>67</v>
      </c>
      <c r="V182" s="5">
        <v>142.30000000000001</v>
      </c>
      <c r="W182" s="5">
        <v>139.80000000000001</v>
      </c>
      <c r="X182" s="5">
        <v>136</v>
      </c>
      <c r="Y182" s="5">
        <v>122.7</v>
      </c>
      <c r="Z182" s="5">
        <v>134.30000000000001</v>
      </c>
      <c r="AA182" s="5">
        <v>141.6</v>
      </c>
      <c r="AB182" s="5">
        <v>128.6</v>
      </c>
      <c r="AC182" s="5">
        <v>132.30000000000001</v>
      </c>
      <c r="AD182" s="12">
        <v>139.30000000000001</v>
      </c>
      <c r="AE182" s="26">
        <v>1</v>
      </c>
    </row>
    <row r="183" spans="1:31">
      <c r="A183" s="11" t="s">
        <v>68</v>
      </c>
      <c r="B183" s="5">
        <v>2018</v>
      </c>
      <c r="C183" s="5" t="s">
        <v>66</v>
      </c>
      <c r="D183" s="5">
        <v>134.6</v>
      </c>
      <c r="E183" s="5">
        <v>143.69999999999999</v>
      </c>
      <c r="F183" s="5">
        <v>143.6</v>
      </c>
      <c r="G183" s="5">
        <v>139.6</v>
      </c>
      <c r="H183" s="5">
        <v>116.4</v>
      </c>
      <c r="I183" s="5">
        <v>133.80000000000001</v>
      </c>
      <c r="J183" s="5">
        <v>150.5</v>
      </c>
      <c r="K183" s="5">
        <v>118.4</v>
      </c>
      <c r="L183" s="5">
        <v>117.3</v>
      </c>
      <c r="M183" s="5">
        <v>140.5</v>
      </c>
      <c r="N183" s="5">
        <v>125.9</v>
      </c>
      <c r="O183" s="5">
        <v>146.80000000000001</v>
      </c>
      <c r="P183" s="5">
        <v>137.19999999999999</v>
      </c>
      <c r="Q183" s="5">
        <v>157.69999999999999</v>
      </c>
      <c r="R183" s="5">
        <v>136</v>
      </c>
      <c r="S183" s="5">
        <v>125.9</v>
      </c>
      <c r="T183" s="5">
        <v>134.4</v>
      </c>
      <c r="U183" s="5">
        <v>140.4</v>
      </c>
      <c r="V183" s="5">
        <v>127.3</v>
      </c>
      <c r="W183" s="5">
        <v>129.5</v>
      </c>
      <c r="X183" s="5">
        <v>129</v>
      </c>
      <c r="Y183" s="5">
        <v>116.3</v>
      </c>
      <c r="Z183" s="5">
        <v>126.2</v>
      </c>
      <c r="AA183" s="5">
        <v>137.1</v>
      </c>
      <c r="AB183" s="5">
        <v>125.5</v>
      </c>
      <c r="AC183" s="5">
        <v>125.8</v>
      </c>
      <c r="AD183" s="12">
        <v>134.1</v>
      </c>
      <c r="AE183" s="26">
        <v>1</v>
      </c>
    </row>
    <row r="184" spans="1:31">
      <c r="A184" s="11" t="s">
        <v>69</v>
      </c>
      <c r="B184" s="5">
        <v>2018</v>
      </c>
      <c r="C184" s="5" t="s">
        <v>66</v>
      </c>
      <c r="D184" s="5">
        <v>136</v>
      </c>
      <c r="E184" s="5">
        <v>144.19999999999999</v>
      </c>
      <c r="F184" s="5">
        <v>143.69999999999999</v>
      </c>
      <c r="G184" s="5">
        <v>141.1</v>
      </c>
      <c r="H184" s="5">
        <v>120.7</v>
      </c>
      <c r="I184" s="5">
        <v>141.30000000000001</v>
      </c>
      <c r="J184" s="5">
        <v>151.6</v>
      </c>
      <c r="K184" s="5">
        <v>127.3</v>
      </c>
      <c r="L184" s="5">
        <v>118.8</v>
      </c>
      <c r="M184" s="5">
        <v>137.5</v>
      </c>
      <c r="N184" s="5">
        <v>129</v>
      </c>
      <c r="O184" s="5">
        <v>149.5</v>
      </c>
      <c r="P184" s="5">
        <v>139.19999999999999</v>
      </c>
      <c r="Q184" s="5">
        <v>154.69999999999999</v>
      </c>
      <c r="R184" s="5">
        <v>143.5</v>
      </c>
      <c r="S184" s="5">
        <v>135.5</v>
      </c>
      <c r="T184" s="5">
        <v>142.30000000000001</v>
      </c>
      <c r="U184" s="5">
        <v>140.4</v>
      </c>
      <c r="V184" s="5">
        <v>136.6</v>
      </c>
      <c r="W184" s="5">
        <v>134.9</v>
      </c>
      <c r="X184" s="5">
        <v>133.30000000000001</v>
      </c>
      <c r="Y184" s="5">
        <v>119.3</v>
      </c>
      <c r="Z184" s="5">
        <v>129.69999999999999</v>
      </c>
      <c r="AA184" s="5">
        <v>139</v>
      </c>
      <c r="AB184" s="5">
        <v>127.3</v>
      </c>
      <c r="AC184" s="5">
        <v>129.1</v>
      </c>
      <c r="AD184" s="12">
        <v>136.9</v>
      </c>
      <c r="AE184" s="26">
        <v>1</v>
      </c>
    </row>
    <row r="185" spans="1:31">
      <c r="A185" s="11" t="s">
        <v>65</v>
      </c>
      <c r="B185" s="5">
        <v>2018</v>
      </c>
      <c r="C185" s="5" t="s">
        <v>70</v>
      </c>
      <c r="D185" s="5">
        <v>136.4</v>
      </c>
      <c r="E185" s="5">
        <v>143.69999999999999</v>
      </c>
      <c r="F185" s="5">
        <v>140.6</v>
      </c>
      <c r="G185" s="5">
        <v>141.5</v>
      </c>
      <c r="H185" s="5">
        <v>122.9</v>
      </c>
      <c r="I185" s="5">
        <v>149.4</v>
      </c>
      <c r="J185" s="5">
        <v>142.4</v>
      </c>
      <c r="K185" s="5">
        <v>130.19999999999999</v>
      </c>
      <c r="L185" s="5">
        <v>117.9</v>
      </c>
      <c r="M185" s="5">
        <v>135.6</v>
      </c>
      <c r="N185" s="5">
        <v>130.5</v>
      </c>
      <c r="O185" s="5">
        <v>151.69999999999999</v>
      </c>
      <c r="P185" s="5">
        <v>138.69999999999999</v>
      </c>
      <c r="Q185" s="5">
        <v>153.30000000000001</v>
      </c>
      <c r="R185" s="5">
        <v>148.69999999999999</v>
      </c>
      <c r="S185" s="5">
        <v>142.4</v>
      </c>
      <c r="T185" s="5">
        <v>147.80000000000001</v>
      </c>
      <c r="U185" s="5" t="s">
        <v>67</v>
      </c>
      <c r="V185" s="5">
        <v>142.4</v>
      </c>
      <c r="W185" s="5">
        <v>139.9</v>
      </c>
      <c r="X185" s="5">
        <v>136.19999999999999</v>
      </c>
      <c r="Y185" s="5">
        <v>123.3</v>
      </c>
      <c r="Z185" s="5">
        <v>134.30000000000001</v>
      </c>
      <c r="AA185" s="5">
        <v>141.5</v>
      </c>
      <c r="AB185" s="5">
        <v>128.80000000000001</v>
      </c>
      <c r="AC185" s="5">
        <v>132.5</v>
      </c>
      <c r="AD185" s="12">
        <v>138.5</v>
      </c>
      <c r="AE185" s="26">
        <v>1</v>
      </c>
    </row>
    <row r="186" spans="1:31">
      <c r="A186" s="11" t="s">
        <v>68</v>
      </c>
      <c r="B186" s="5">
        <v>2018</v>
      </c>
      <c r="C186" s="5" t="s">
        <v>70</v>
      </c>
      <c r="D186" s="5">
        <v>134.80000000000001</v>
      </c>
      <c r="E186" s="5">
        <v>143</v>
      </c>
      <c r="F186" s="5">
        <v>139.9</v>
      </c>
      <c r="G186" s="5">
        <v>139.9</v>
      </c>
      <c r="H186" s="5">
        <v>116.2</v>
      </c>
      <c r="I186" s="5">
        <v>135.5</v>
      </c>
      <c r="J186" s="5">
        <v>136.9</v>
      </c>
      <c r="K186" s="5">
        <v>117</v>
      </c>
      <c r="L186" s="5">
        <v>115.4</v>
      </c>
      <c r="M186" s="5">
        <v>140.69999999999999</v>
      </c>
      <c r="N186" s="5">
        <v>125.9</v>
      </c>
      <c r="O186" s="5">
        <v>147.1</v>
      </c>
      <c r="P186" s="5">
        <v>135.6</v>
      </c>
      <c r="Q186" s="5">
        <v>159.30000000000001</v>
      </c>
      <c r="R186" s="5">
        <v>136.30000000000001</v>
      </c>
      <c r="S186" s="5">
        <v>126.1</v>
      </c>
      <c r="T186" s="5">
        <v>134.69999999999999</v>
      </c>
      <c r="U186" s="5">
        <v>141.30000000000001</v>
      </c>
      <c r="V186" s="5">
        <v>127.3</v>
      </c>
      <c r="W186" s="5">
        <v>129.9</v>
      </c>
      <c r="X186" s="5">
        <v>129.80000000000001</v>
      </c>
      <c r="Y186" s="5">
        <v>117.4</v>
      </c>
      <c r="Z186" s="5">
        <v>126.5</v>
      </c>
      <c r="AA186" s="5">
        <v>137.19999999999999</v>
      </c>
      <c r="AB186" s="5">
        <v>126.2</v>
      </c>
      <c r="AC186" s="5">
        <v>126.5</v>
      </c>
      <c r="AD186" s="12">
        <v>134</v>
      </c>
      <c r="AE186" s="26">
        <v>1</v>
      </c>
    </row>
    <row r="187" spans="1:31">
      <c r="A187" s="11" t="s">
        <v>69</v>
      </c>
      <c r="B187" s="5">
        <v>2018</v>
      </c>
      <c r="C187" s="5" t="s">
        <v>70</v>
      </c>
      <c r="D187" s="5">
        <v>135.9</v>
      </c>
      <c r="E187" s="5">
        <v>143.5</v>
      </c>
      <c r="F187" s="5">
        <v>140.30000000000001</v>
      </c>
      <c r="G187" s="5">
        <v>140.9</v>
      </c>
      <c r="H187" s="5">
        <v>120.4</v>
      </c>
      <c r="I187" s="5">
        <v>142.9</v>
      </c>
      <c r="J187" s="5">
        <v>140.5</v>
      </c>
      <c r="K187" s="5">
        <v>125.8</v>
      </c>
      <c r="L187" s="5">
        <v>117.1</v>
      </c>
      <c r="M187" s="5">
        <v>137.30000000000001</v>
      </c>
      <c r="N187" s="5">
        <v>128.6</v>
      </c>
      <c r="O187" s="5">
        <v>149.6</v>
      </c>
      <c r="P187" s="5">
        <v>137.6</v>
      </c>
      <c r="Q187" s="5">
        <v>154.9</v>
      </c>
      <c r="R187" s="5">
        <v>143.80000000000001</v>
      </c>
      <c r="S187" s="5">
        <v>135.6</v>
      </c>
      <c r="T187" s="5">
        <v>142.6</v>
      </c>
      <c r="U187" s="5">
        <v>141.30000000000001</v>
      </c>
      <c r="V187" s="5">
        <v>136.69999999999999</v>
      </c>
      <c r="W187" s="5">
        <v>135.19999999999999</v>
      </c>
      <c r="X187" s="5">
        <v>133.80000000000001</v>
      </c>
      <c r="Y187" s="5">
        <v>120.2</v>
      </c>
      <c r="Z187" s="5">
        <v>129.9</v>
      </c>
      <c r="AA187" s="5">
        <v>139</v>
      </c>
      <c r="AB187" s="5">
        <v>127.7</v>
      </c>
      <c r="AC187" s="5">
        <v>129.6</v>
      </c>
      <c r="AD187" s="12">
        <v>136.4</v>
      </c>
      <c r="AE187" s="26">
        <v>1</v>
      </c>
    </row>
    <row r="188" spans="1:31">
      <c r="A188" s="11" t="s">
        <v>65</v>
      </c>
      <c r="B188" s="5">
        <v>2018</v>
      </c>
      <c r="C188" s="5" t="s">
        <v>71</v>
      </c>
      <c r="D188" s="5">
        <v>136.80000000000001</v>
      </c>
      <c r="E188" s="5">
        <v>143.80000000000001</v>
      </c>
      <c r="F188" s="5">
        <v>140</v>
      </c>
      <c r="G188" s="5">
        <v>142</v>
      </c>
      <c r="H188" s="5">
        <v>123.2</v>
      </c>
      <c r="I188" s="5">
        <v>152.9</v>
      </c>
      <c r="J188" s="5">
        <v>138</v>
      </c>
      <c r="K188" s="5">
        <v>129.30000000000001</v>
      </c>
      <c r="L188" s="5">
        <v>117.1</v>
      </c>
      <c r="M188" s="5">
        <v>136.30000000000001</v>
      </c>
      <c r="N188" s="5">
        <v>131.19999999999999</v>
      </c>
      <c r="O188" s="5">
        <v>152.80000000000001</v>
      </c>
      <c r="P188" s="5">
        <v>138.6</v>
      </c>
      <c r="Q188" s="5">
        <v>155.1</v>
      </c>
      <c r="R188" s="5">
        <v>149.19999999999999</v>
      </c>
      <c r="S188" s="5">
        <v>143</v>
      </c>
      <c r="T188" s="5">
        <v>148.30000000000001</v>
      </c>
      <c r="U188" s="5" t="s">
        <v>67</v>
      </c>
      <c r="V188" s="5">
        <v>142.6</v>
      </c>
      <c r="W188" s="5">
        <v>139.9</v>
      </c>
      <c r="X188" s="5">
        <v>136.69999999999999</v>
      </c>
      <c r="Y188" s="5">
        <v>124.6</v>
      </c>
      <c r="Z188" s="5">
        <v>135.1</v>
      </c>
      <c r="AA188" s="5">
        <v>142.69999999999999</v>
      </c>
      <c r="AB188" s="5">
        <v>129.30000000000001</v>
      </c>
      <c r="AC188" s="5">
        <v>133.30000000000001</v>
      </c>
      <c r="AD188" s="12">
        <v>138.69999999999999</v>
      </c>
      <c r="AE188" s="26">
        <v>1</v>
      </c>
    </row>
    <row r="189" spans="1:31">
      <c r="A189" s="11" t="s">
        <v>68</v>
      </c>
      <c r="B189" s="5">
        <v>2018</v>
      </c>
      <c r="C189" s="5" t="s">
        <v>71</v>
      </c>
      <c r="D189" s="5">
        <v>135</v>
      </c>
      <c r="E189" s="5">
        <v>143.1</v>
      </c>
      <c r="F189" s="5">
        <v>135.5</v>
      </c>
      <c r="G189" s="5">
        <v>139.9</v>
      </c>
      <c r="H189" s="5">
        <v>116.5</v>
      </c>
      <c r="I189" s="5">
        <v>138.5</v>
      </c>
      <c r="J189" s="5">
        <v>128</v>
      </c>
      <c r="K189" s="5">
        <v>115.5</v>
      </c>
      <c r="L189" s="5">
        <v>114.2</v>
      </c>
      <c r="M189" s="5">
        <v>140.69999999999999</v>
      </c>
      <c r="N189" s="5">
        <v>126.2</v>
      </c>
      <c r="O189" s="5">
        <v>147.6</v>
      </c>
      <c r="P189" s="5">
        <v>134.80000000000001</v>
      </c>
      <c r="Q189" s="5">
        <v>159.69999999999999</v>
      </c>
      <c r="R189" s="5">
        <v>136.69999999999999</v>
      </c>
      <c r="S189" s="5">
        <v>126.7</v>
      </c>
      <c r="T189" s="5">
        <v>135.19999999999999</v>
      </c>
      <c r="U189" s="5">
        <v>142</v>
      </c>
      <c r="V189" s="5">
        <v>126.4</v>
      </c>
      <c r="W189" s="5">
        <v>130.80000000000001</v>
      </c>
      <c r="X189" s="5">
        <v>130.5</v>
      </c>
      <c r="Y189" s="5">
        <v>117.8</v>
      </c>
      <c r="Z189" s="5">
        <v>126.8</v>
      </c>
      <c r="AA189" s="5">
        <v>137.80000000000001</v>
      </c>
      <c r="AB189" s="5">
        <v>126.7</v>
      </c>
      <c r="AC189" s="5">
        <v>127.1</v>
      </c>
      <c r="AD189" s="12">
        <v>134</v>
      </c>
      <c r="AE189" s="26">
        <v>1</v>
      </c>
    </row>
    <row r="190" spans="1:31">
      <c r="A190" s="11" t="s">
        <v>69</v>
      </c>
      <c r="B190" s="5">
        <v>2018</v>
      </c>
      <c r="C190" s="5" t="s">
        <v>71</v>
      </c>
      <c r="D190" s="5">
        <v>136.19999999999999</v>
      </c>
      <c r="E190" s="5">
        <v>143.6</v>
      </c>
      <c r="F190" s="5">
        <v>138.30000000000001</v>
      </c>
      <c r="G190" s="5">
        <v>141.19999999999999</v>
      </c>
      <c r="H190" s="5">
        <v>120.7</v>
      </c>
      <c r="I190" s="5">
        <v>146.19999999999999</v>
      </c>
      <c r="J190" s="5">
        <v>134.6</v>
      </c>
      <c r="K190" s="5">
        <v>124.6</v>
      </c>
      <c r="L190" s="5">
        <v>116.1</v>
      </c>
      <c r="M190" s="5">
        <v>137.80000000000001</v>
      </c>
      <c r="N190" s="5">
        <v>129.1</v>
      </c>
      <c r="O190" s="5">
        <v>150.4</v>
      </c>
      <c r="P190" s="5">
        <v>137.19999999999999</v>
      </c>
      <c r="Q190" s="5">
        <v>156.30000000000001</v>
      </c>
      <c r="R190" s="5">
        <v>144.30000000000001</v>
      </c>
      <c r="S190" s="5">
        <v>136.19999999999999</v>
      </c>
      <c r="T190" s="5">
        <v>143.1</v>
      </c>
      <c r="U190" s="5">
        <v>142</v>
      </c>
      <c r="V190" s="5">
        <v>136.5</v>
      </c>
      <c r="W190" s="5">
        <v>135.6</v>
      </c>
      <c r="X190" s="5">
        <v>134.30000000000001</v>
      </c>
      <c r="Y190" s="5">
        <v>121</v>
      </c>
      <c r="Z190" s="5">
        <v>130.4</v>
      </c>
      <c r="AA190" s="5">
        <v>139.80000000000001</v>
      </c>
      <c r="AB190" s="5">
        <v>128.19999999999999</v>
      </c>
      <c r="AC190" s="5">
        <v>130.30000000000001</v>
      </c>
      <c r="AD190" s="12">
        <v>136.5</v>
      </c>
      <c r="AE190" s="26">
        <v>1</v>
      </c>
    </row>
    <row r="191" spans="1:31">
      <c r="A191" s="11" t="s">
        <v>65</v>
      </c>
      <c r="B191" s="5">
        <v>2018</v>
      </c>
      <c r="C191" s="5" t="s">
        <v>72</v>
      </c>
      <c r="D191" s="5">
        <v>137.1</v>
      </c>
      <c r="E191" s="5">
        <v>144.5</v>
      </c>
      <c r="F191" s="5">
        <v>135.9</v>
      </c>
      <c r="G191" s="5">
        <v>142.4</v>
      </c>
      <c r="H191" s="5">
        <v>123.5</v>
      </c>
      <c r="I191" s="5">
        <v>156.4</v>
      </c>
      <c r="J191" s="5">
        <v>135.1</v>
      </c>
      <c r="K191" s="5">
        <v>128.4</v>
      </c>
      <c r="L191" s="5">
        <v>115.2</v>
      </c>
      <c r="M191" s="5">
        <v>137.19999999999999</v>
      </c>
      <c r="N191" s="5">
        <v>131.9</v>
      </c>
      <c r="O191" s="5">
        <v>153.80000000000001</v>
      </c>
      <c r="P191" s="5">
        <v>138.6</v>
      </c>
      <c r="Q191" s="5">
        <v>156.1</v>
      </c>
      <c r="R191" s="5">
        <v>150.1</v>
      </c>
      <c r="S191" s="5">
        <v>143.30000000000001</v>
      </c>
      <c r="T191" s="5">
        <v>149.1</v>
      </c>
      <c r="U191" s="5" t="s">
        <v>67</v>
      </c>
      <c r="V191" s="5">
        <v>143.80000000000001</v>
      </c>
      <c r="W191" s="5">
        <v>140.9</v>
      </c>
      <c r="X191" s="5">
        <v>137.6</v>
      </c>
      <c r="Y191" s="5">
        <v>125.3</v>
      </c>
      <c r="Z191" s="5">
        <v>136</v>
      </c>
      <c r="AA191" s="5">
        <v>143.69999999999999</v>
      </c>
      <c r="AB191" s="5">
        <v>130.4</v>
      </c>
      <c r="AC191" s="5">
        <v>134.19999999999999</v>
      </c>
      <c r="AD191" s="12">
        <v>139.1</v>
      </c>
      <c r="AE191" s="26">
        <v>1</v>
      </c>
    </row>
    <row r="192" spans="1:31">
      <c r="A192" s="11" t="s">
        <v>68</v>
      </c>
      <c r="B192" s="5">
        <v>2018</v>
      </c>
      <c r="C192" s="5" t="s">
        <v>72</v>
      </c>
      <c r="D192" s="5">
        <v>135</v>
      </c>
      <c r="E192" s="5">
        <v>144.30000000000001</v>
      </c>
      <c r="F192" s="5">
        <v>130.80000000000001</v>
      </c>
      <c r="G192" s="5">
        <v>140.30000000000001</v>
      </c>
      <c r="H192" s="5">
        <v>116.6</v>
      </c>
      <c r="I192" s="5">
        <v>150.1</v>
      </c>
      <c r="J192" s="5">
        <v>127.6</v>
      </c>
      <c r="K192" s="5">
        <v>114</v>
      </c>
      <c r="L192" s="5">
        <v>110.6</v>
      </c>
      <c r="M192" s="5">
        <v>140.19999999999999</v>
      </c>
      <c r="N192" s="5">
        <v>126.5</v>
      </c>
      <c r="O192" s="5">
        <v>148.30000000000001</v>
      </c>
      <c r="P192" s="5">
        <v>135.69999999999999</v>
      </c>
      <c r="Q192" s="5">
        <v>159.19999999999999</v>
      </c>
      <c r="R192" s="5">
        <v>137.80000000000001</v>
      </c>
      <c r="S192" s="5">
        <v>127.4</v>
      </c>
      <c r="T192" s="5">
        <v>136.19999999999999</v>
      </c>
      <c r="U192" s="5">
        <v>142.9</v>
      </c>
      <c r="V192" s="5">
        <v>124.6</v>
      </c>
      <c r="W192" s="5">
        <v>131.80000000000001</v>
      </c>
      <c r="X192" s="5">
        <v>131.30000000000001</v>
      </c>
      <c r="Y192" s="5">
        <v>118.9</v>
      </c>
      <c r="Z192" s="5">
        <v>127.6</v>
      </c>
      <c r="AA192" s="5">
        <v>139.69999999999999</v>
      </c>
      <c r="AB192" s="5">
        <v>127.6</v>
      </c>
      <c r="AC192" s="5">
        <v>128.19999999999999</v>
      </c>
      <c r="AD192" s="12">
        <v>134.80000000000001</v>
      </c>
      <c r="AE192" s="26">
        <v>1</v>
      </c>
    </row>
    <row r="193" spans="1:31">
      <c r="A193" s="11" t="s">
        <v>69</v>
      </c>
      <c r="B193" s="5">
        <v>2018</v>
      </c>
      <c r="C193" s="5" t="s">
        <v>72</v>
      </c>
      <c r="D193" s="5">
        <v>136.4</v>
      </c>
      <c r="E193" s="5">
        <v>144.4</v>
      </c>
      <c r="F193" s="5">
        <v>133.9</v>
      </c>
      <c r="G193" s="5">
        <v>141.6</v>
      </c>
      <c r="H193" s="5">
        <v>121</v>
      </c>
      <c r="I193" s="5">
        <v>153.5</v>
      </c>
      <c r="J193" s="5">
        <v>132.6</v>
      </c>
      <c r="K193" s="5">
        <v>123.5</v>
      </c>
      <c r="L193" s="5">
        <v>113.7</v>
      </c>
      <c r="M193" s="5">
        <v>138.19999999999999</v>
      </c>
      <c r="N193" s="5">
        <v>129.6</v>
      </c>
      <c r="O193" s="5">
        <v>151.19999999999999</v>
      </c>
      <c r="P193" s="5">
        <v>137.5</v>
      </c>
      <c r="Q193" s="5">
        <v>156.9</v>
      </c>
      <c r="R193" s="5">
        <v>145.30000000000001</v>
      </c>
      <c r="S193" s="5">
        <v>136.69999999999999</v>
      </c>
      <c r="T193" s="5">
        <v>144</v>
      </c>
      <c r="U193" s="5">
        <v>142.9</v>
      </c>
      <c r="V193" s="5">
        <v>136.5</v>
      </c>
      <c r="W193" s="5">
        <v>136.6</v>
      </c>
      <c r="X193" s="5">
        <v>135.19999999999999</v>
      </c>
      <c r="Y193" s="5">
        <v>121.9</v>
      </c>
      <c r="Z193" s="5">
        <v>131.30000000000001</v>
      </c>
      <c r="AA193" s="5">
        <v>141.4</v>
      </c>
      <c r="AB193" s="5">
        <v>129.19999999999999</v>
      </c>
      <c r="AC193" s="5">
        <v>131.30000000000001</v>
      </c>
      <c r="AD193" s="12">
        <v>137.1</v>
      </c>
      <c r="AE193" s="26">
        <v>1</v>
      </c>
    </row>
    <row r="194" spans="1:31">
      <c r="A194" s="11" t="s">
        <v>65</v>
      </c>
      <c r="B194" s="5">
        <v>2018</v>
      </c>
      <c r="C194" s="5" t="s">
        <v>73</v>
      </c>
      <c r="D194" s="5">
        <v>137.4</v>
      </c>
      <c r="E194" s="5">
        <v>145.69999999999999</v>
      </c>
      <c r="F194" s="5">
        <v>135.5</v>
      </c>
      <c r="G194" s="5">
        <v>142.9</v>
      </c>
      <c r="H194" s="5">
        <v>123.6</v>
      </c>
      <c r="I194" s="5">
        <v>157.5</v>
      </c>
      <c r="J194" s="5">
        <v>137.80000000000001</v>
      </c>
      <c r="K194" s="5">
        <v>127.2</v>
      </c>
      <c r="L194" s="5">
        <v>111.8</v>
      </c>
      <c r="M194" s="5">
        <v>137.4</v>
      </c>
      <c r="N194" s="5">
        <v>132.19999999999999</v>
      </c>
      <c r="O194" s="5">
        <v>154.30000000000001</v>
      </c>
      <c r="P194" s="5">
        <v>139.1</v>
      </c>
      <c r="Q194" s="5">
        <v>157</v>
      </c>
      <c r="R194" s="5">
        <v>150.80000000000001</v>
      </c>
      <c r="S194" s="5">
        <v>144.1</v>
      </c>
      <c r="T194" s="5">
        <v>149.80000000000001</v>
      </c>
      <c r="U194" s="5" t="s">
        <v>67</v>
      </c>
      <c r="V194" s="5">
        <v>144.30000000000001</v>
      </c>
      <c r="W194" s="5">
        <v>141.80000000000001</v>
      </c>
      <c r="X194" s="5">
        <v>138.4</v>
      </c>
      <c r="Y194" s="5">
        <v>126.4</v>
      </c>
      <c r="Z194" s="5">
        <v>136.80000000000001</v>
      </c>
      <c r="AA194" s="5">
        <v>144.4</v>
      </c>
      <c r="AB194" s="5">
        <v>131.19999999999999</v>
      </c>
      <c r="AC194" s="5">
        <v>135.1</v>
      </c>
      <c r="AD194" s="12">
        <v>139.80000000000001</v>
      </c>
      <c r="AE194" s="26">
        <v>1</v>
      </c>
    </row>
    <row r="195" spans="1:31">
      <c r="A195" s="11" t="s">
        <v>68</v>
      </c>
      <c r="B195" s="5">
        <v>2018</v>
      </c>
      <c r="C195" s="5" t="s">
        <v>73</v>
      </c>
      <c r="D195" s="5">
        <v>135</v>
      </c>
      <c r="E195" s="5">
        <v>148.19999999999999</v>
      </c>
      <c r="F195" s="5">
        <v>130.5</v>
      </c>
      <c r="G195" s="5">
        <v>140.69999999999999</v>
      </c>
      <c r="H195" s="5">
        <v>116.4</v>
      </c>
      <c r="I195" s="5">
        <v>151.30000000000001</v>
      </c>
      <c r="J195" s="5">
        <v>131.4</v>
      </c>
      <c r="K195" s="5">
        <v>112.8</v>
      </c>
      <c r="L195" s="5">
        <v>105.3</v>
      </c>
      <c r="M195" s="5">
        <v>139.6</v>
      </c>
      <c r="N195" s="5">
        <v>126.6</v>
      </c>
      <c r="O195" s="5">
        <v>148.69999999999999</v>
      </c>
      <c r="P195" s="5">
        <v>136.4</v>
      </c>
      <c r="Q195" s="5">
        <v>160.30000000000001</v>
      </c>
      <c r="R195" s="5">
        <v>138.6</v>
      </c>
      <c r="S195" s="5">
        <v>127.9</v>
      </c>
      <c r="T195" s="5">
        <v>137</v>
      </c>
      <c r="U195" s="5">
        <v>143.19999999999999</v>
      </c>
      <c r="V195" s="5">
        <v>124.7</v>
      </c>
      <c r="W195" s="5">
        <v>132.5</v>
      </c>
      <c r="X195" s="5">
        <v>132</v>
      </c>
      <c r="Y195" s="5">
        <v>119.8</v>
      </c>
      <c r="Z195" s="5">
        <v>128</v>
      </c>
      <c r="AA195" s="5">
        <v>140.4</v>
      </c>
      <c r="AB195" s="5">
        <v>128.1</v>
      </c>
      <c r="AC195" s="5">
        <v>128.9</v>
      </c>
      <c r="AD195" s="12">
        <v>135.4</v>
      </c>
      <c r="AE195" s="26">
        <v>1</v>
      </c>
    </row>
    <row r="196" spans="1:31">
      <c r="A196" s="11" t="s">
        <v>69</v>
      </c>
      <c r="B196" s="5">
        <v>2018</v>
      </c>
      <c r="C196" s="5" t="s">
        <v>73</v>
      </c>
      <c r="D196" s="5">
        <v>136.6</v>
      </c>
      <c r="E196" s="5">
        <v>146.6</v>
      </c>
      <c r="F196" s="5">
        <v>133.6</v>
      </c>
      <c r="G196" s="5">
        <v>142.1</v>
      </c>
      <c r="H196" s="5">
        <v>121</v>
      </c>
      <c r="I196" s="5">
        <v>154.6</v>
      </c>
      <c r="J196" s="5">
        <v>135.6</v>
      </c>
      <c r="K196" s="5">
        <v>122.3</v>
      </c>
      <c r="L196" s="5">
        <v>109.6</v>
      </c>
      <c r="M196" s="5">
        <v>138.1</v>
      </c>
      <c r="N196" s="5">
        <v>129.9</v>
      </c>
      <c r="O196" s="5">
        <v>151.69999999999999</v>
      </c>
      <c r="P196" s="5">
        <v>138.1</v>
      </c>
      <c r="Q196" s="5">
        <v>157.9</v>
      </c>
      <c r="R196" s="5">
        <v>146</v>
      </c>
      <c r="S196" s="5">
        <v>137.4</v>
      </c>
      <c r="T196" s="5">
        <v>144.69999999999999</v>
      </c>
      <c r="U196" s="5">
        <v>143.19999999999999</v>
      </c>
      <c r="V196" s="5">
        <v>136.9</v>
      </c>
      <c r="W196" s="5">
        <v>137.4</v>
      </c>
      <c r="X196" s="5">
        <v>136</v>
      </c>
      <c r="Y196" s="5">
        <v>122.9</v>
      </c>
      <c r="Z196" s="5">
        <v>131.80000000000001</v>
      </c>
      <c r="AA196" s="5">
        <v>142.1</v>
      </c>
      <c r="AB196" s="5">
        <v>129.9</v>
      </c>
      <c r="AC196" s="5">
        <v>132.1</v>
      </c>
      <c r="AD196" s="12">
        <v>137.80000000000001</v>
      </c>
      <c r="AE196" s="26">
        <v>1</v>
      </c>
    </row>
    <row r="197" spans="1:31">
      <c r="A197" s="11" t="s">
        <v>65</v>
      </c>
      <c r="B197" s="5">
        <v>2018</v>
      </c>
      <c r="C197" s="5" t="s">
        <v>74</v>
      </c>
      <c r="D197" s="5">
        <v>137.6</v>
      </c>
      <c r="E197" s="5">
        <v>148.1</v>
      </c>
      <c r="F197" s="5">
        <v>136.69999999999999</v>
      </c>
      <c r="G197" s="5">
        <v>143.19999999999999</v>
      </c>
      <c r="H197" s="5">
        <v>124</v>
      </c>
      <c r="I197" s="5">
        <v>154.1</v>
      </c>
      <c r="J197" s="5">
        <v>143.5</v>
      </c>
      <c r="K197" s="5">
        <v>126</v>
      </c>
      <c r="L197" s="5">
        <v>112.4</v>
      </c>
      <c r="M197" s="5">
        <v>137.6</v>
      </c>
      <c r="N197" s="5">
        <v>132.80000000000001</v>
      </c>
      <c r="O197" s="5">
        <v>154.30000000000001</v>
      </c>
      <c r="P197" s="5">
        <v>140</v>
      </c>
      <c r="Q197" s="5">
        <v>157.30000000000001</v>
      </c>
      <c r="R197" s="5">
        <v>151.30000000000001</v>
      </c>
      <c r="S197" s="5">
        <v>144.69999999999999</v>
      </c>
      <c r="T197" s="5">
        <v>150.30000000000001</v>
      </c>
      <c r="U197" s="5" t="s">
        <v>67</v>
      </c>
      <c r="V197" s="5">
        <v>145.1</v>
      </c>
      <c r="W197" s="5">
        <v>142.19999999999999</v>
      </c>
      <c r="X197" s="5">
        <v>138.4</v>
      </c>
      <c r="Y197" s="5">
        <v>127.4</v>
      </c>
      <c r="Z197" s="5">
        <v>137.80000000000001</v>
      </c>
      <c r="AA197" s="5">
        <v>145.1</v>
      </c>
      <c r="AB197" s="5">
        <v>131.4</v>
      </c>
      <c r="AC197" s="5">
        <v>135.6</v>
      </c>
      <c r="AD197" s="12">
        <v>140.5</v>
      </c>
      <c r="AE197" s="26">
        <v>1</v>
      </c>
    </row>
    <row r="198" spans="1:31">
      <c r="A198" s="11" t="s">
        <v>68</v>
      </c>
      <c r="B198" s="5">
        <v>2018</v>
      </c>
      <c r="C198" s="5" t="s">
        <v>74</v>
      </c>
      <c r="D198" s="5">
        <v>135.30000000000001</v>
      </c>
      <c r="E198" s="5">
        <v>149.69999999999999</v>
      </c>
      <c r="F198" s="5">
        <v>133.9</v>
      </c>
      <c r="G198" s="5">
        <v>140.80000000000001</v>
      </c>
      <c r="H198" s="5">
        <v>116.6</v>
      </c>
      <c r="I198" s="5">
        <v>152.19999999999999</v>
      </c>
      <c r="J198" s="5">
        <v>144</v>
      </c>
      <c r="K198" s="5">
        <v>112.3</v>
      </c>
      <c r="L198" s="5">
        <v>108.4</v>
      </c>
      <c r="M198" s="5">
        <v>140</v>
      </c>
      <c r="N198" s="5">
        <v>126.7</v>
      </c>
      <c r="O198" s="5">
        <v>149</v>
      </c>
      <c r="P198" s="5">
        <v>138.4</v>
      </c>
      <c r="Q198" s="5">
        <v>161</v>
      </c>
      <c r="R198" s="5">
        <v>138.9</v>
      </c>
      <c r="S198" s="5">
        <v>128.69999999999999</v>
      </c>
      <c r="T198" s="5">
        <v>137.4</v>
      </c>
      <c r="U198" s="5">
        <v>142.5</v>
      </c>
      <c r="V198" s="5">
        <v>126.5</v>
      </c>
      <c r="W198" s="5">
        <v>133.1</v>
      </c>
      <c r="X198" s="5">
        <v>132.6</v>
      </c>
      <c r="Y198" s="5">
        <v>120.4</v>
      </c>
      <c r="Z198" s="5">
        <v>128.5</v>
      </c>
      <c r="AA198" s="5">
        <v>141.19999999999999</v>
      </c>
      <c r="AB198" s="5">
        <v>128.19999999999999</v>
      </c>
      <c r="AC198" s="5">
        <v>129.5</v>
      </c>
      <c r="AD198" s="12">
        <v>136.19999999999999</v>
      </c>
      <c r="AE198" s="26">
        <v>1</v>
      </c>
    </row>
    <row r="199" spans="1:31">
      <c r="A199" s="11" t="s">
        <v>69</v>
      </c>
      <c r="B199" s="5">
        <v>2018</v>
      </c>
      <c r="C199" s="5" t="s">
        <v>74</v>
      </c>
      <c r="D199" s="5">
        <v>136.9</v>
      </c>
      <c r="E199" s="5">
        <v>148.69999999999999</v>
      </c>
      <c r="F199" s="5">
        <v>135.6</v>
      </c>
      <c r="G199" s="5">
        <v>142.30000000000001</v>
      </c>
      <c r="H199" s="5">
        <v>121.3</v>
      </c>
      <c r="I199" s="5">
        <v>153.19999999999999</v>
      </c>
      <c r="J199" s="5">
        <v>143.69999999999999</v>
      </c>
      <c r="K199" s="5">
        <v>121.4</v>
      </c>
      <c r="L199" s="5">
        <v>111.1</v>
      </c>
      <c r="M199" s="5">
        <v>138.4</v>
      </c>
      <c r="N199" s="5">
        <v>130.30000000000001</v>
      </c>
      <c r="O199" s="5">
        <v>151.80000000000001</v>
      </c>
      <c r="P199" s="5">
        <v>139.4</v>
      </c>
      <c r="Q199" s="5">
        <v>158.30000000000001</v>
      </c>
      <c r="R199" s="5">
        <v>146.4</v>
      </c>
      <c r="S199" s="5">
        <v>138.1</v>
      </c>
      <c r="T199" s="5">
        <v>145.19999999999999</v>
      </c>
      <c r="U199" s="5">
        <v>142.5</v>
      </c>
      <c r="V199" s="5">
        <v>138.1</v>
      </c>
      <c r="W199" s="5">
        <v>137.9</v>
      </c>
      <c r="X199" s="5">
        <v>136.19999999999999</v>
      </c>
      <c r="Y199" s="5">
        <v>123.7</v>
      </c>
      <c r="Z199" s="5">
        <v>132.6</v>
      </c>
      <c r="AA199" s="5">
        <v>142.80000000000001</v>
      </c>
      <c r="AB199" s="5">
        <v>130.1</v>
      </c>
      <c r="AC199" s="5">
        <v>132.6</v>
      </c>
      <c r="AD199" s="12">
        <v>138.5</v>
      </c>
      <c r="AE199" s="26">
        <v>1</v>
      </c>
    </row>
    <row r="200" spans="1:31">
      <c r="A200" s="11" t="s">
        <v>65</v>
      </c>
      <c r="B200" s="5">
        <v>2018</v>
      </c>
      <c r="C200" s="5" t="s">
        <v>75</v>
      </c>
      <c r="D200" s="5">
        <v>138.4</v>
      </c>
      <c r="E200" s="5">
        <v>149.30000000000001</v>
      </c>
      <c r="F200" s="5">
        <v>139.30000000000001</v>
      </c>
      <c r="G200" s="5">
        <v>143.4</v>
      </c>
      <c r="H200" s="5">
        <v>124.1</v>
      </c>
      <c r="I200" s="5">
        <v>153.30000000000001</v>
      </c>
      <c r="J200" s="5">
        <v>154.19999999999999</v>
      </c>
      <c r="K200" s="5">
        <v>126.4</v>
      </c>
      <c r="L200" s="5">
        <v>114.3</v>
      </c>
      <c r="M200" s="5">
        <v>138.19999999999999</v>
      </c>
      <c r="N200" s="5">
        <v>132.80000000000001</v>
      </c>
      <c r="O200" s="5">
        <v>154.80000000000001</v>
      </c>
      <c r="P200" s="5">
        <v>142</v>
      </c>
      <c r="Q200" s="5">
        <v>156.1</v>
      </c>
      <c r="R200" s="5">
        <v>151.5</v>
      </c>
      <c r="S200" s="5">
        <v>145.1</v>
      </c>
      <c r="T200" s="5">
        <v>150.6</v>
      </c>
      <c r="U200" s="5" t="s">
        <v>67</v>
      </c>
      <c r="V200" s="5">
        <v>146.80000000000001</v>
      </c>
      <c r="W200" s="5">
        <v>143.1</v>
      </c>
      <c r="X200" s="5">
        <v>139</v>
      </c>
      <c r="Y200" s="5">
        <v>127.5</v>
      </c>
      <c r="Z200" s="5">
        <v>138.4</v>
      </c>
      <c r="AA200" s="5">
        <v>145.80000000000001</v>
      </c>
      <c r="AB200" s="5">
        <v>131.4</v>
      </c>
      <c r="AC200" s="5">
        <v>136</v>
      </c>
      <c r="AD200" s="12">
        <v>141.80000000000001</v>
      </c>
      <c r="AE200" s="26">
        <v>1</v>
      </c>
    </row>
    <row r="201" spans="1:31">
      <c r="A201" s="11" t="s">
        <v>68</v>
      </c>
      <c r="B201" s="5">
        <v>2018</v>
      </c>
      <c r="C201" s="5" t="s">
        <v>75</v>
      </c>
      <c r="D201" s="5">
        <v>135.6</v>
      </c>
      <c r="E201" s="5">
        <v>148.6</v>
      </c>
      <c r="F201" s="5">
        <v>139.1</v>
      </c>
      <c r="G201" s="5">
        <v>141</v>
      </c>
      <c r="H201" s="5">
        <v>116.7</v>
      </c>
      <c r="I201" s="5">
        <v>149.69999999999999</v>
      </c>
      <c r="J201" s="5">
        <v>159.19999999999999</v>
      </c>
      <c r="K201" s="5">
        <v>112.6</v>
      </c>
      <c r="L201" s="5">
        <v>111.8</v>
      </c>
      <c r="M201" s="5">
        <v>140.30000000000001</v>
      </c>
      <c r="N201" s="5">
        <v>126.8</v>
      </c>
      <c r="O201" s="5">
        <v>149.4</v>
      </c>
      <c r="P201" s="5">
        <v>140.30000000000001</v>
      </c>
      <c r="Q201" s="5">
        <v>161.4</v>
      </c>
      <c r="R201" s="5">
        <v>139.6</v>
      </c>
      <c r="S201" s="5">
        <v>128.9</v>
      </c>
      <c r="T201" s="5">
        <v>137.9</v>
      </c>
      <c r="U201" s="5">
        <v>143.6</v>
      </c>
      <c r="V201" s="5">
        <v>128.1</v>
      </c>
      <c r="W201" s="5">
        <v>133.6</v>
      </c>
      <c r="X201" s="5">
        <v>133.6</v>
      </c>
      <c r="Y201" s="5">
        <v>120.1</v>
      </c>
      <c r="Z201" s="5">
        <v>129</v>
      </c>
      <c r="AA201" s="5">
        <v>144</v>
      </c>
      <c r="AB201" s="5">
        <v>128.19999999999999</v>
      </c>
      <c r="AC201" s="5">
        <v>130.19999999999999</v>
      </c>
      <c r="AD201" s="12">
        <v>137.5</v>
      </c>
      <c r="AE201" s="26">
        <v>1</v>
      </c>
    </row>
    <row r="202" spans="1:31">
      <c r="A202" s="11" t="s">
        <v>69</v>
      </c>
      <c r="B202" s="5">
        <v>2018</v>
      </c>
      <c r="C202" s="5" t="s">
        <v>75</v>
      </c>
      <c r="D202" s="5">
        <v>137.5</v>
      </c>
      <c r="E202" s="5">
        <v>149.1</v>
      </c>
      <c r="F202" s="5">
        <v>139.19999999999999</v>
      </c>
      <c r="G202" s="5">
        <v>142.5</v>
      </c>
      <c r="H202" s="5">
        <v>121.4</v>
      </c>
      <c r="I202" s="5">
        <v>151.6</v>
      </c>
      <c r="J202" s="5">
        <v>155.9</v>
      </c>
      <c r="K202" s="5">
        <v>121.7</v>
      </c>
      <c r="L202" s="5">
        <v>113.5</v>
      </c>
      <c r="M202" s="5">
        <v>138.9</v>
      </c>
      <c r="N202" s="5">
        <v>130.30000000000001</v>
      </c>
      <c r="O202" s="5">
        <v>152.30000000000001</v>
      </c>
      <c r="P202" s="5">
        <v>141.4</v>
      </c>
      <c r="Q202" s="5">
        <v>157.5</v>
      </c>
      <c r="R202" s="5">
        <v>146.80000000000001</v>
      </c>
      <c r="S202" s="5">
        <v>138.4</v>
      </c>
      <c r="T202" s="5">
        <v>145.6</v>
      </c>
      <c r="U202" s="5">
        <v>143.6</v>
      </c>
      <c r="V202" s="5">
        <v>139.69999999999999</v>
      </c>
      <c r="W202" s="5">
        <v>138.6</v>
      </c>
      <c r="X202" s="5">
        <v>137</v>
      </c>
      <c r="Y202" s="5">
        <v>123.6</v>
      </c>
      <c r="Z202" s="5">
        <v>133.1</v>
      </c>
      <c r="AA202" s="5">
        <v>144.69999999999999</v>
      </c>
      <c r="AB202" s="5">
        <v>130.1</v>
      </c>
      <c r="AC202" s="5">
        <v>133.19999999999999</v>
      </c>
      <c r="AD202" s="12">
        <v>139.80000000000001</v>
      </c>
      <c r="AE202" s="26">
        <v>1</v>
      </c>
    </row>
    <row r="203" spans="1:31">
      <c r="A203" s="11" t="s">
        <v>65</v>
      </c>
      <c r="B203" s="5">
        <v>2018</v>
      </c>
      <c r="C203" s="5" t="s">
        <v>76</v>
      </c>
      <c r="D203" s="5">
        <v>139.19999999999999</v>
      </c>
      <c r="E203" s="5">
        <v>148.80000000000001</v>
      </c>
      <c r="F203" s="5">
        <v>139.1</v>
      </c>
      <c r="G203" s="5">
        <v>143.5</v>
      </c>
      <c r="H203" s="5">
        <v>125</v>
      </c>
      <c r="I203" s="5">
        <v>154.4</v>
      </c>
      <c r="J203" s="5">
        <v>156.30000000000001</v>
      </c>
      <c r="K203" s="5">
        <v>126.8</v>
      </c>
      <c r="L203" s="5">
        <v>115.4</v>
      </c>
      <c r="M203" s="5">
        <v>138.6</v>
      </c>
      <c r="N203" s="5">
        <v>133.80000000000001</v>
      </c>
      <c r="O203" s="5">
        <v>155.19999999999999</v>
      </c>
      <c r="P203" s="5">
        <v>142.69999999999999</v>
      </c>
      <c r="Q203" s="5">
        <v>156.4</v>
      </c>
      <c r="R203" s="5">
        <v>152.1</v>
      </c>
      <c r="S203" s="5">
        <v>145.80000000000001</v>
      </c>
      <c r="T203" s="5">
        <v>151.30000000000001</v>
      </c>
      <c r="U203" s="5" t="s">
        <v>67</v>
      </c>
      <c r="V203" s="5">
        <v>147.69999999999999</v>
      </c>
      <c r="W203" s="5">
        <v>143.80000000000001</v>
      </c>
      <c r="X203" s="5">
        <v>139.4</v>
      </c>
      <c r="Y203" s="5">
        <v>128.30000000000001</v>
      </c>
      <c r="Z203" s="5">
        <v>138.6</v>
      </c>
      <c r="AA203" s="5">
        <v>146.9</v>
      </c>
      <c r="AB203" s="5">
        <v>131.30000000000001</v>
      </c>
      <c r="AC203" s="5">
        <v>136.6</v>
      </c>
      <c r="AD203" s="12">
        <v>142.5</v>
      </c>
      <c r="AE203" s="26">
        <v>1</v>
      </c>
    </row>
    <row r="204" spans="1:31">
      <c r="A204" s="11" t="s">
        <v>68</v>
      </c>
      <c r="B204" s="5">
        <v>2018</v>
      </c>
      <c r="C204" s="5" t="s">
        <v>76</v>
      </c>
      <c r="D204" s="5">
        <v>136.5</v>
      </c>
      <c r="E204" s="5">
        <v>146.4</v>
      </c>
      <c r="F204" s="5">
        <v>136.6</v>
      </c>
      <c r="G204" s="5">
        <v>141.19999999999999</v>
      </c>
      <c r="H204" s="5">
        <v>117.4</v>
      </c>
      <c r="I204" s="5">
        <v>146.30000000000001</v>
      </c>
      <c r="J204" s="5">
        <v>157.30000000000001</v>
      </c>
      <c r="K204" s="5">
        <v>113.6</v>
      </c>
      <c r="L204" s="5">
        <v>113.3</v>
      </c>
      <c r="M204" s="5">
        <v>141.1</v>
      </c>
      <c r="N204" s="5">
        <v>127.4</v>
      </c>
      <c r="O204" s="5">
        <v>150.4</v>
      </c>
      <c r="P204" s="5">
        <v>140.1</v>
      </c>
      <c r="Q204" s="5">
        <v>162.1</v>
      </c>
      <c r="R204" s="5">
        <v>140</v>
      </c>
      <c r="S204" s="5">
        <v>129</v>
      </c>
      <c r="T204" s="5">
        <v>138.30000000000001</v>
      </c>
      <c r="U204" s="5">
        <v>144.6</v>
      </c>
      <c r="V204" s="5">
        <v>129.80000000000001</v>
      </c>
      <c r="W204" s="5">
        <v>134.4</v>
      </c>
      <c r="X204" s="5">
        <v>134.9</v>
      </c>
      <c r="Y204" s="5">
        <v>120.7</v>
      </c>
      <c r="Z204" s="5">
        <v>129.80000000000001</v>
      </c>
      <c r="AA204" s="5">
        <v>145.30000000000001</v>
      </c>
      <c r="AB204" s="5">
        <v>128.30000000000001</v>
      </c>
      <c r="AC204" s="5">
        <v>131</v>
      </c>
      <c r="AD204" s="12">
        <v>138</v>
      </c>
      <c r="AE204" s="26">
        <v>1</v>
      </c>
    </row>
    <row r="205" spans="1:31">
      <c r="A205" s="11" t="s">
        <v>69</v>
      </c>
      <c r="B205" s="5">
        <v>2018</v>
      </c>
      <c r="C205" s="5" t="s">
        <v>76</v>
      </c>
      <c r="D205" s="5">
        <v>138.30000000000001</v>
      </c>
      <c r="E205" s="5">
        <v>148</v>
      </c>
      <c r="F205" s="5">
        <v>138.1</v>
      </c>
      <c r="G205" s="5">
        <v>142.6</v>
      </c>
      <c r="H205" s="5">
        <v>122.2</v>
      </c>
      <c r="I205" s="5">
        <v>150.6</v>
      </c>
      <c r="J205" s="5">
        <v>156.6</v>
      </c>
      <c r="K205" s="5">
        <v>122.4</v>
      </c>
      <c r="L205" s="5">
        <v>114.7</v>
      </c>
      <c r="M205" s="5">
        <v>139.4</v>
      </c>
      <c r="N205" s="5">
        <v>131.1</v>
      </c>
      <c r="O205" s="5">
        <v>153</v>
      </c>
      <c r="P205" s="5">
        <v>141.69999999999999</v>
      </c>
      <c r="Q205" s="5">
        <v>157.9</v>
      </c>
      <c r="R205" s="5">
        <v>147.30000000000001</v>
      </c>
      <c r="S205" s="5">
        <v>138.80000000000001</v>
      </c>
      <c r="T205" s="5">
        <v>146.1</v>
      </c>
      <c r="U205" s="5">
        <v>144.6</v>
      </c>
      <c r="V205" s="5">
        <v>140.9</v>
      </c>
      <c r="W205" s="5">
        <v>139.4</v>
      </c>
      <c r="X205" s="5">
        <v>137.69999999999999</v>
      </c>
      <c r="Y205" s="5">
        <v>124.3</v>
      </c>
      <c r="Z205" s="5">
        <v>133.6</v>
      </c>
      <c r="AA205" s="5">
        <v>146</v>
      </c>
      <c r="AB205" s="5">
        <v>130.1</v>
      </c>
      <c r="AC205" s="5">
        <v>133.9</v>
      </c>
      <c r="AD205" s="12">
        <v>140.4</v>
      </c>
      <c r="AE205" s="26">
        <v>1</v>
      </c>
    </row>
    <row r="206" spans="1:31">
      <c r="A206" s="11" t="s">
        <v>65</v>
      </c>
      <c r="B206" s="5">
        <v>2018</v>
      </c>
      <c r="C206" s="5" t="s">
        <v>77</v>
      </c>
      <c r="D206" s="5">
        <v>139.4</v>
      </c>
      <c r="E206" s="5">
        <v>147.19999999999999</v>
      </c>
      <c r="F206" s="5">
        <v>136.6</v>
      </c>
      <c r="G206" s="5">
        <v>143.69999999999999</v>
      </c>
      <c r="H206" s="5">
        <v>124.6</v>
      </c>
      <c r="I206" s="5">
        <v>150.1</v>
      </c>
      <c r="J206" s="5">
        <v>149.4</v>
      </c>
      <c r="K206" s="5">
        <v>125.4</v>
      </c>
      <c r="L206" s="5">
        <v>114.4</v>
      </c>
      <c r="M206" s="5">
        <v>138.69999999999999</v>
      </c>
      <c r="N206" s="5">
        <v>133.1</v>
      </c>
      <c r="O206" s="5">
        <v>155.9</v>
      </c>
      <c r="P206" s="5">
        <v>141.30000000000001</v>
      </c>
      <c r="Q206" s="5">
        <v>157.69999999999999</v>
      </c>
      <c r="R206" s="5">
        <v>152.1</v>
      </c>
      <c r="S206" s="5">
        <v>146.1</v>
      </c>
      <c r="T206" s="5">
        <v>151.30000000000001</v>
      </c>
      <c r="U206" s="5" t="s">
        <v>67</v>
      </c>
      <c r="V206" s="5">
        <v>149</v>
      </c>
      <c r="W206" s="5">
        <v>144</v>
      </c>
      <c r="X206" s="5">
        <v>140</v>
      </c>
      <c r="Y206" s="5">
        <v>129.9</v>
      </c>
      <c r="Z206" s="5">
        <v>140</v>
      </c>
      <c r="AA206" s="5">
        <v>147.6</v>
      </c>
      <c r="AB206" s="5">
        <v>132</v>
      </c>
      <c r="AC206" s="5">
        <v>137.4</v>
      </c>
      <c r="AD206" s="12">
        <v>142.1</v>
      </c>
      <c r="AE206" s="26">
        <v>1</v>
      </c>
    </row>
    <row r="207" spans="1:31">
      <c r="A207" s="11" t="s">
        <v>68</v>
      </c>
      <c r="B207" s="5">
        <v>2018</v>
      </c>
      <c r="C207" s="5" t="s">
        <v>77</v>
      </c>
      <c r="D207" s="5">
        <v>137</v>
      </c>
      <c r="E207" s="5">
        <v>143.1</v>
      </c>
      <c r="F207" s="5">
        <v>132.80000000000001</v>
      </c>
      <c r="G207" s="5">
        <v>141.5</v>
      </c>
      <c r="H207" s="5">
        <v>117.8</v>
      </c>
      <c r="I207" s="5">
        <v>140</v>
      </c>
      <c r="J207" s="5">
        <v>151.30000000000001</v>
      </c>
      <c r="K207" s="5">
        <v>113.5</v>
      </c>
      <c r="L207" s="5">
        <v>112.3</v>
      </c>
      <c r="M207" s="5">
        <v>141.19999999999999</v>
      </c>
      <c r="N207" s="5">
        <v>127.7</v>
      </c>
      <c r="O207" s="5">
        <v>151.30000000000001</v>
      </c>
      <c r="P207" s="5">
        <v>138.9</v>
      </c>
      <c r="Q207" s="5">
        <v>163.30000000000001</v>
      </c>
      <c r="R207" s="5">
        <v>140.80000000000001</v>
      </c>
      <c r="S207" s="5">
        <v>129.30000000000001</v>
      </c>
      <c r="T207" s="5">
        <v>139.1</v>
      </c>
      <c r="U207" s="5">
        <v>145.30000000000001</v>
      </c>
      <c r="V207" s="5">
        <v>131.19999999999999</v>
      </c>
      <c r="W207" s="5">
        <v>134.9</v>
      </c>
      <c r="X207" s="5">
        <v>135.69999999999999</v>
      </c>
      <c r="Y207" s="5">
        <v>122.5</v>
      </c>
      <c r="Z207" s="5">
        <v>130.19999999999999</v>
      </c>
      <c r="AA207" s="5">
        <v>145.19999999999999</v>
      </c>
      <c r="AB207" s="5">
        <v>129.30000000000001</v>
      </c>
      <c r="AC207" s="5">
        <v>131.9</v>
      </c>
      <c r="AD207" s="12">
        <v>138.1</v>
      </c>
      <c r="AE207" s="26">
        <v>1</v>
      </c>
    </row>
    <row r="208" spans="1:31">
      <c r="A208" s="11" t="s">
        <v>69</v>
      </c>
      <c r="B208" s="5">
        <v>2018</v>
      </c>
      <c r="C208" s="5" t="s">
        <v>77</v>
      </c>
      <c r="D208" s="5">
        <v>138.6</v>
      </c>
      <c r="E208" s="5">
        <v>145.80000000000001</v>
      </c>
      <c r="F208" s="5">
        <v>135.1</v>
      </c>
      <c r="G208" s="5">
        <v>142.9</v>
      </c>
      <c r="H208" s="5">
        <v>122.1</v>
      </c>
      <c r="I208" s="5">
        <v>145.4</v>
      </c>
      <c r="J208" s="5">
        <v>150</v>
      </c>
      <c r="K208" s="5">
        <v>121.4</v>
      </c>
      <c r="L208" s="5">
        <v>113.7</v>
      </c>
      <c r="M208" s="5">
        <v>139.5</v>
      </c>
      <c r="N208" s="5">
        <v>130.80000000000001</v>
      </c>
      <c r="O208" s="5">
        <v>153.80000000000001</v>
      </c>
      <c r="P208" s="5">
        <v>140.4</v>
      </c>
      <c r="Q208" s="5">
        <v>159.19999999999999</v>
      </c>
      <c r="R208" s="5">
        <v>147.69999999999999</v>
      </c>
      <c r="S208" s="5">
        <v>139.1</v>
      </c>
      <c r="T208" s="5">
        <v>146.5</v>
      </c>
      <c r="U208" s="5">
        <v>145.30000000000001</v>
      </c>
      <c r="V208" s="5">
        <v>142.30000000000001</v>
      </c>
      <c r="W208" s="5">
        <v>139.69999999999999</v>
      </c>
      <c r="X208" s="5">
        <v>138.4</v>
      </c>
      <c r="Y208" s="5">
        <v>126</v>
      </c>
      <c r="Z208" s="5">
        <v>134.5</v>
      </c>
      <c r="AA208" s="5">
        <v>146.19999999999999</v>
      </c>
      <c r="AB208" s="5">
        <v>130.9</v>
      </c>
      <c r="AC208" s="5">
        <v>134.69999999999999</v>
      </c>
      <c r="AD208" s="12">
        <v>140.19999999999999</v>
      </c>
      <c r="AE208" s="26">
        <v>1</v>
      </c>
    </row>
    <row r="209" spans="1:31">
      <c r="A209" s="11" t="s">
        <v>65</v>
      </c>
      <c r="B209" s="5">
        <v>2018</v>
      </c>
      <c r="C209" s="5" t="s">
        <v>78</v>
      </c>
      <c r="D209" s="5">
        <v>139.30000000000001</v>
      </c>
      <c r="E209" s="5">
        <v>147.6</v>
      </c>
      <c r="F209" s="5">
        <v>134.6</v>
      </c>
      <c r="G209" s="5">
        <v>141.9</v>
      </c>
      <c r="H209" s="5">
        <v>123.5</v>
      </c>
      <c r="I209" s="5">
        <v>144.5</v>
      </c>
      <c r="J209" s="5">
        <v>147.6</v>
      </c>
      <c r="K209" s="5">
        <v>121.4</v>
      </c>
      <c r="L209" s="5">
        <v>112.3</v>
      </c>
      <c r="M209" s="5">
        <v>139.5</v>
      </c>
      <c r="N209" s="5">
        <v>134.6</v>
      </c>
      <c r="O209" s="5">
        <v>155.19999999999999</v>
      </c>
      <c r="P209" s="5">
        <v>140.19999999999999</v>
      </c>
      <c r="Q209" s="5">
        <v>159.6</v>
      </c>
      <c r="R209" s="5">
        <v>150.69999999999999</v>
      </c>
      <c r="S209" s="5">
        <v>144.5</v>
      </c>
      <c r="T209" s="5">
        <v>149.80000000000001</v>
      </c>
      <c r="U209" s="5" t="s">
        <v>67</v>
      </c>
      <c r="V209" s="5">
        <v>149.69999999999999</v>
      </c>
      <c r="W209" s="5">
        <v>147.5</v>
      </c>
      <c r="X209" s="5">
        <v>144.80000000000001</v>
      </c>
      <c r="Y209" s="5">
        <v>130.80000000000001</v>
      </c>
      <c r="Z209" s="5">
        <v>140.1</v>
      </c>
      <c r="AA209" s="5">
        <v>148</v>
      </c>
      <c r="AB209" s="5">
        <v>134.4</v>
      </c>
      <c r="AC209" s="5">
        <v>139.80000000000001</v>
      </c>
      <c r="AD209" s="12">
        <v>142.19999999999999</v>
      </c>
      <c r="AE209" s="26">
        <v>1</v>
      </c>
    </row>
    <row r="210" spans="1:31">
      <c r="A210" s="11" t="s">
        <v>68</v>
      </c>
      <c r="B210" s="5">
        <v>2018</v>
      </c>
      <c r="C210" s="5" t="s">
        <v>78</v>
      </c>
      <c r="D210" s="5">
        <v>137.6</v>
      </c>
      <c r="E210" s="5">
        <v>144.9</v>
      </c>
      <c r="F210" s="5">
        <v>133.5</v>
      </c>
      <c r="G210" s="5">
        <v>141.5</v>
      </c>
      <c r="H210" s="5">
        <v>118</v>
      </c>
      <c r="I210" s="5">
        <v>139.5</v>
      </c>
      <c r="J210" s="5">
        <v>153</v>
      </c>
      <c r="K210" s="5">
        <v>113.2</v>
      </c>
      <c r="L210" s="5">
        <v>112.8</v>
      </c>
      <c r="M210" s="5">
        <v>141.1</v>
      </c>
      <c r="N210" s="5">
        <v>127.6</v>
      </c>
      <c r="O210" s="5">
        <v>152</v>
      </c>
      <c r="P210" s="5">
        <v>139.4</v>
      </c>
      <c r="Q210" s="5">
        <v>164</v>
      </c>
      <c r="R210" s="5">
        <v>141.5</v>
      </c>
      <c r="S210" s="5">
        <v>129.80000000000001</v>
      </c>
      <c r="T210" s="5">
        <v>139.69999999999999</v>
      </c>
      <c r="U210" s="5">
        <v>146.30000000000001</v>
      </c>
      <c r="V210" s="5">
        <v>133.4</v>
      </c>
      <c r="W210" s="5">
        <v>135.1</v>
      </c>
      <c r="X210" s="5">
        <v>136.19999999999999</v>
      </c>
      <c r="Y210" s="5">
        <v>123.3</v>
      </c>
      <c r="Z210" s="5">
        <v>130.69999999999999</v>
      </c>
      <c r="AA210" s="5">
        <v>145.5</v>
      </c>
      <c r="AB210" s="5">
        <v>130.4</v>
      </c>
      <c r="AC210" s="5">
        <v>132.5</v>
      </c>
      <c r="AD210" s="12">
        <v>138.9</v>
      </c>
      <c r="AE210" s="26">
        <v>1</v>
      </c>
    </row>
    <row r="211" spans="1:31">
      <c r="A211" s="11" t="s">
        <v>69</v>
      </c>
      <c r="B211" s="5">
        <v>2018</v>
      </c>
      <c r="C211" s="5" t="s">
        <v>78</v>
      </c>
      <c r="D211" s="5">
        <v>137.4</v>
      </c>
      <c r="E211" s="5">
        <v>149.5</v>
      </c>
      <c r="F211" s="5">
        <v>137.30000000000001</v>
      </c>
      <c r="G211" s="5">
        <v>141.9</v>
      </c>
      <c r="H211" s="5">
        <v>121.1</v>
      </c>
      <c r="I211" s="5">
        <v>142.5</v>
      </c>
      <c r="J211" s="5">
        <v>146.69999999999999</v>
      </c>
      <c r="K211" s="5">
        <v>119.1</v>
      </c>
      <c r="L211" s="5">
        <v>111.9</v>
      </c>
      <c r="M211" s="5">
        <v>141</v>
      </c>
      <c r="N211" s="5">
        <v>133.6</v>
      </c>
      <c r="O211" s="5">
        <v>154.5</v>
      </c>
      <c r="P211" s="5">
        <v>139.69999999999999</v>
      </c>
      <c r="Q211" s="5">
        <v>162.6</v>
      </c>
      <c r="R211" s="5">
        <v>148</v>
      </c>
      <c r="S211" s="5">
        <v>139.19999999999999</v>
      </c>
      <c r="T211" s="5">
        <v>146.80000000000001</v>
      </c>
      <c r="U211" s="5">
        <v>146.9</v>
      </c>
      <c r="V211" s="5">
        <v>145.30000000000001</v>
      </c>
      <c r="W211" s="5">
        <v>142.19999999999999</v>
      </c>
      <c r="X211" s="5">
        <v>142.1</v>
      </c>
      <c r="Y211" s="5">
        <v>125.5</v>
      </c>
      <c r="Z211" s="5">
        <v>136.5</v>
      </c>
      <c r="AA211" s="5">
        <v>147.80000000000001</v>
      </c>
      <c r="AB211" s="5">
        <v>132</v>
      </c>
      <c r="AC211" s="5">
        <v>136.30000000000001</v>
      </c>
      <c r="AD211" s="12">
        <v>140.80000000000001</v>
      </c>
      <c r="AE211" s="26">
        <v>1</v>
      </c>
    </row>
    <row r="212" spans="1:31">
      <c r="A212" s="11" t="s">
        <v>65</v>
      </c>
      <c r="B212" s="5">
        <v>2018</v>
      </c>
      <c r="C212" s="5" t="s">
        <v>79</v>
      </c>
      <c r="D212" s="5">
        <v>137.1</v>
      </c>
      <c r="E212" s="5">
        <v>150.80000000000001</v>
      </c>
      <c r="F212" s="5">
        <v>136.69999999999999</v>
      </c>
      <c r="G212" s="5">
        <v>141.9</v>
      </c>
      <c r="H212" s="5">
        <v>122.8</v>
      </c>
      <c r="I212" s="5">
        <v>143.9</v>
      </c>
      <c r="J212" s="5">
        <v>147.5</v>
      </c>
      <c r="K212" s="5">
        <v>121</v>
      </c>
      <c r="L212" s="5">
        <v>111.6</v>
      </c>
      <c r="M212" s="5">
        <v>140.6</v>
      </c>
      <c r="N212" s="5">
        <v>137.5</v>
      </c>
      <c r="O212" s="5">
        <v>156.1</v>
      </c>
      <c r="P212" s="5">
        <v>140</v>
      </c>
      <c r="Q212" s="5">
        <v>161.9</v>
      </c>
      <c r="R212" s="5">
        <v>151.69999999999999</v>
      </c>
      <c r="S212" s="5">
        <v>145.5</v>
      </c>
      <c r="T212" s="5">
        <v>150.80000000000001</v>
      </c>
      <c r="U212" s="5" t="s">
        <v>67</v>
      </c>
      <c r="V212" s="5">
        <v>150.30000000000001</v>
      </c>
      <c r="W212" s="5">
        <v>148</v>
      </c>
      <c r="X212" s="5">
        <v>145.4</v>
      </c>
      <c r="Y212" s="5">
        <v>130.30000000000001</v>
      </c>
      <c r="Z212" s="5">
        <v>143.1</v>
      </c>
      <c r="AA212" s="5">
        <v>150.19999999999999</v>
      </c>
      <c r="AB212" s="5">
        <v>133.1</v>
      </c>
      <c r="AC212" s="5">
        <v>140.1</v>
      </c>
      <c r="AD212" s="12">
        <v>142.4</v>
      </c>
      <c r="AE212" s="26">
        <v>1</v>
      </c>
    </row>
    <row r="213" spans="1:31">
      <c r="A213" s="11" t="s">
        <v>68</v>
      </c>
      <c r="B213" s="5">
        <v>2018</v>
      </c>
      <c r="C213" s="5" t="s">
        <v>79</v>
      </c>
      <c r="D213" s="5">
        <v>138.1</v>
      </c>
      <c r="E213" s="5">
        <v>146.30000000000001</v>
      </c>
      <c r="F213" s="5">
        <v>137.80000000000001</v>
      </c>
      <c r="G213" s="5">
        <v>141.6</v>
      </c>
      <c r="H213" s="5">
        <v>118.1</v>
      </c>
      <c r="I213" s="5">
        <v>141.5</v>
      </c>
      <c r="J213" s="5">
        <v>145.19999999999999</v>
      </c>
      <c r="K213" s="5">
        <v>115.3</v>
      </c>
      <c r="L213" s="5">
        <v>112.5</v>
      </c>
      <c r="M213" s="5">
        <v>141.4</v>
      </c>
      <c r="N213" s="5">
        <v>128</v>
      </c>
      <c r="O213" s="5">
        <v>152.6</v>
      </c>
      <c r="P213" s="5">
        <v>139.1</v>
      </c>
      <c r="Q213" s="5">
        <v>164.4</v>
      </c>
      <c r="R213" s="5">
        <v>142.4</v>
      </c>
      <c r="S213" s="5">
        <v>130.19999999999999</v>
      </c>
      <c r="T213" s="5">
        <v>140.5</v>
      </c>
      <c r="U213" s="5">
        <v>146.9</v>
      </c>
      <c r="V213" s="5">
        <v>136.69999999999999</v>
      </c>
      <c r="W213" s="5">
        <v>135.80000000000001</v>
      </c>
      <c r="X213" s="5">
        <v>136.80000000000001</v>
      </c>
      <c r="Y213" s="5">
        <v>121.2</v>
      </c>
      <c r="Z213" s="5">
        <v>131.30000000000001</v>
      </c>
      <c r="AA213" s="5">
        <v>146.1</v>
      </c>
      <c r="AB213" s="5">
        <v>130.5</v>
      </c>
      <c r="AC213" s="5">
        <v>132.19999999999999</v>
      </c>
      <c r="AD213" s="12">
        <v>139</v>
      </c>
      <c r="AE213" s="26">
        <v>1</v>
      </c>
    </row>
    <row r="214" spans="1:31">
      <c r="A214" s="11" t="s">
        <v>69</v>
      </c>
      <c r="B214" s="5">
        <v>2018</v>
      </c>
      <c r="C214" s="5" t="s">
        <v>79</v>
      </c>
      <c r="D214" s="5">
        <v>137.4</v>
      </c>
      <c r="E214" s="5">
        <v>149.19999999999999</v>
      </c>
      <c r="F214" s="5">
        <v>137.1</v>
      </c>
      <c r="G214" s="5">
        <v>141.80000000000001</v>
      </c>
      <c r="H214" s="5">
        <v>121.1</v>
      </c>
      <c r="I214" s="5">
        <v>142.80000000000001</v>
      </c>
      <c r="J214" s="5">
        <v>146.69999999999999</v>
      </c>
      <c r="K214" s="5">
        <v>119.1</v>
      </c>
      <c r="L214" s="5">
        <v>111.9</v>
      </c>
      <c r="M214" s="5">
        <v>140.9</v>
      </c>
      <c r="N214" s="5">
        <v>133.5</v>
      </c>
      <c r="O214" s="5">
        <v>154.5</v>
      </c>
      <c r="P214" s="5">
        <v>139.69999999999999</v>
      </c>
      <c r="Q214" s="5">
        <v>162.6</v>
      </c>
      <c r="R214" s="5">
        <v>148</v>
      </c>
      <c r="S214" s="5">
        <v>139.1</v>
      </c>
      <c r="T214" s="5">
        <v>146.69999999999999</v>
      </c>
      <c r="U214" s="5">
        <v>146.9</v>
      </c>
      <c r="V214" s="5">
        <v>145.1</v>
      </c>
      <c r="W214" s="5">
        <v>142.19999999999999</v>
      </c>
      <c r="X214" s="5">
        <v>142.1</v>
      </c>
      <c r="Y214" s="5">
        <v>125.5</v>
      </c>
      <c r="Z214" s="5">
        <v>136.5</v>
      </c>
      <c r="AA214" s="5">
        <v>147.80000000000001</v>
      </c>
      <c r="AB214" s="5">
        <v>132</v>
      </c>
      <c r="AC214" s="5">
        <v>136.30000000000001</v>
      </c>
      <c r="AD214" s="12">
        <v>140.80000000000001</v>
      </c>
      <c r="AE214" s="26">
        <v>1</v>
      </c>
    </row>
    <row r="215" spans="1:31">
      <c r="A215" s="11" t="s">
        <v>65</v>
      </c>
      <c r="B215" s="5">
        <v>2018</v>
      </c>
      <c r="C215" s="5" t="s">
        <v>80</v>
      </c>
      <c r="D215" s="5">
        <v>137.1</v>
      </c>
      <c r="E215" s="5">
        <v>151.9</v>
      </c>
      <c r="F215" s="5">
        <v>137.4</v>
      </c>
      <c r="G215" s="5">
        <v>142.4</v>
      </c>
      <c r="H215" s="5">
        <v>124.2</v>
      </c>
      <c r="I215" s="5">
        <v>140.19999999999999</v>
      </c>
      <c r="J215" s="5">
        <v>136.6</v>
      </c>
      <c r="K215" s="5">
        <v>120.9</v>
      </c>
      <c r="L215" s="5">
        <v>109.9</v>
      </c>
      <c r="M215" s="5">
        <v>140.19999999999999</v>
      </c>
      <c r="N215" s="5">
        <v>137.80000000000001</v>
      </c>
      <c r="O215" s="5">
        <v>156</v>
      </c>
      <c r="P215" s="5">
        <v>138.5</v>
      </c>
      <c r="Q215" s="5">
        <v>162.4</v>
      </c>
      <c r="R215" s="5">
        <v>151.6</v>
      </c>
      <c r="S215" s="5">
        <v>145.9</v>
      </c>
      <c r="T215" s="5">
        <v>150.80000000000001</v>
      </c>
      <c r="U215" s="5" t="s">
        <v>67</v>
      </c>
      <c r="V215" s="5">
        <v>149</v>
      </c>
      <c r="W215" s="5">
        <v>149.5</v>
      </c>
      <c r="X215" s="5">
        <v>149.6</v>
      </c>
      <c r="Y215" s="5">
        <v>128.9</v>
      </c>
      <c r="Z215" s="5">
        <v>143.30000000000001</v>
      </c>
      <c r="AA215" s="5">
        <v>155.1</v>
      </c>
      <c r="AB215" s="5">
        <v>133.19999999999999</v>
      </c>
      <c r="AC215" s="5">
        <v>141.6</v>
      </c>
      <c r="AD215" s="12">
        <v>141.9</v>
      </c>
      <c r="AE215" s="26">
        <v>1</v>
      </c>
    </row>
    <row r="216" spans="1:31">
      <c r="A216" s="11" t="s">
        <v>68</v>
      </c>
      <c r="B216" s="5">
        <v>2018</v>
      </c>
      <c r="C216" s="5" t="s">
        <v>80</v>
      </c>
      <c r="D216" s="5">
        <v>138.5</v>
      </c>
      <c r="E216" s="5">
        <v>147.80000000000001</v>
      </c>
      <c r="F216" s="5">
        <v>141.1</v>
      </c>
      <c r="G216" s="5">
        <v>141.6</v>
      </c>
      <c r="H216" s="5">
        <v>118.1</v>
      </c>
      <c r="I216" s="5">
        <v>138.5</v>
      </c>
      <c r="J216" s="5">
        <v>132.4</v>
      </c>
      <c r="K216" s="5">
        <v>117.5</v>
      </c>
      <c r="L216" s="5">
        <v>111</v>
      </c>
      <c r="M216" s="5">
        <v>141.5</v>
      </c>
      <c r="N216" s="5">
        <v>128.1</v>
      </c>
      <c r="O216" s="5">
        <v>152.9</v>
      </c>
      <c r="P216" s="5">
        <v>137.6</v>
      </c>
      <c r="Q216" s="5">
        <v>164.6</v>
      </c>
      <c r="R216" s="5">
        <v>142.69999999999999</v>
      </c>
      <c r="S216" s="5">
        <v>130.30000000000001</v>
      </c>
      <c r="T216" s="5">
        <v>140.80000000000001</v>
      </c>
      <c r="U216" s="5">
        <v>146.5</v>
      </c>
      <c r="V216" s="5">
        <v>132.4</v>
      </c>
      <c r="W216" s="5">
        <v>136.19999999999999</v>
      </c>
      <c r="X216" s="5">
        <v>137.30000000000001</v>
      </c>
      <c r="Y216" s="5">
        <v>118.8</v>
      </c>
      <c r="Z216" s="5">
        <v>131.69999999999999</v>
      </c>
      <c r="AA216" s="5">
        <v>146.5</v>
      </c>
      <c r="AB216" s="5">
        <v>130.80000000000001</v>
      </c>
      <c r="AC216" s="5">
        <v>131.69999999999999</v>
      </c>
      <c r="AD216" s="12">
        <v>138</v>
      </c>
      <c r="AE216" s="26">
        <v>1</v>
      </c>
    </row>
    <row r="217" spans="1:31">
      <c r="A217" s="11" t="s">
        <v>69</v>
      </c>
      <c r="B217" s="5">
        <v>2018</v>
      </c>
      <c r="C217" s="5" t="s">
        <v>80</v>
      </c>
      <c r="D217" s="5">
        <v>137.5</v>
      </c>
      <c r="E217" s="5">
        <v>150.5</v>
      </c>
      <c r="F217" s="5">
        <v>138.80000000000001</v>
      </c>
      <c r="G217" s="5">
        <v>142.1</v>
      </c>
      <c r="H217" s="5">
        <v>122</v>
      </c>
      <c r="I217" s="5">
        <v>139.4</v>
      </c>
      <c r="J217" s="5">
        <v>135.19999999999999</v>
      </c>
      <c r="K217" s="5">
        <v>119.8</v>
      </c>
      <c r="L217" s="5">
        <v>110.3</v>
      </c>
      <c r="M217" s="5">
        <v>140.6</v>
      </c>
      <c r="N217" s="5">
        <v>133.80000000000001</v>
      </c>
      <c r="O217" s="5">
        <v>154.6</v>
      </c>
      <c r="P217" s="5">
        <v>138.19999999999999</v>
      </c>
      <c r="Q217" s="5">
        <v>163</v>
      </c>
      <c r="R217" s="5">
        <v>148.1</v>
      </c>
      <c r="S217" s="5">
        <v>139.4</v>
      </c>
      <c r="T217" s="5">
        <v>146.80000000000001</v>
      </c>
      <c r="U217" s="5">
        <v>146.5</v>
      </c>
      <c r="V217" s="5">
        <v>142.69999999999999</v>
      </c>
      <c r="W217" s="5">
        <v>143.19999999999999</v>
      </c>
      <c r="X217" s="5">
        <v>144.9</v>
      </c>
      <c r="Y217" s="5">
        <v>123.6</v>
      </c>
      <c r="Z217" s="5">
        <v>136.80000000000001</v>
      </c>
      <c r="AA217" s="5">
        <v>150.1</v>
      </c>
      <c r="AB217" s="5">
        <v>132.19999999999999</v>
      </c>
      <c r="AC217" s="5">
        <v>136.80000000000001</v>
      </c>
      <c r="AD217" s="12">
        <v>140.1</v>
      </c>
      <c r="AE217" s="26">
        <v>1</v>
      </c>
    </row>
    <row r="218" spans="1:31">
      <c r="A218" s="11" t="s">
        <v>65</v>
      </c>
      <c r="B218" s="5">
        <v>2019</v>
      </c>
      <c r="C218" s="5" t="s">
        <v>66</v>
      </c>
      <c r="D218" s="5">
        <v>136.6</v>
      </c>
      <c r="E218" s="5">
        <v>152.5</v>
      </c>
      <c r="F218" s="5">
        <v>138.19999999999999</v>
      </c>
      <c r="G218" s="5">
        <v>142.4</v>
      </c>
      <c r="H218" s="5">
        <v>123.9</v>
      </c>
      <c r="I218" s="5">
        <v>135.5</v>
      </c>
      <c r="J218" s="5">
        <v>131.69999999999999</v>
      </c>
      <c r="K218" s="5">
        <v>121.3</v>
      </c>
      <c r="L218" s="5">
        <v>108.4</v>
      </c>
      <c r="M218" s="5">
        <v>138.9</v>
      </c>
      <c r="N218" s="5">
        <v>137</v>
      </c>
      <c r="O218" s="5">
        <v>155.80000000000001</v>
      </c>
      <c r="P218" s="5">
        <v>137.4</v>
      </c>
      <c r="Q218" s="5">
        <v>162.69999999999999</v>
      </c>
      <c r="R218" s="5">
        <v>150.6</v>
      </c>
      <c r="S218" s="5">
        <v>145.1</v>
      </c>
      <c r="T218" s="5">
        <v>149.9</v>
      </c>
      <c r="U218" s="5" t="s">
        <v>67</v>
      </c>
      <c r="V218" s="5">
        <v>146.19999999999999</v>
      </c>
      <c r="W218" s="5">
        <v>150.1</v>
      </c>
      <c r="X218" s="5">
        <v>149.6</v>
      </c>
      <c r="Y218" s="5">
        <v>128.6</v>
      </c>
      <c r="Z218" s="5">
        <v>142.9</v>
      </c>
      <c r="AA218" s="5">
        <v>155.19999999999999</v>
      </c>
      <c r="AB218" s="5">
        <v>133.5</v>
      </c>
      <c r="AC218" s="5">
        <v>141.69999999999999</v>
      </c>
      <c r="AD218" s="12">
        <v>141</v>
      </c>
      <c r="AE218" s="26">
        <v>1</v>
      </c>
    </row>
    <row r="219" spans="1:31">
      <c r="A219" s="11" t="s">
        <v>68</v>
      </c>
      <c r="B219" s="5">
        <v>2019</v>
      </c>
      <c r="C219" s="5" t="s">
        <v>66</v>
      </c>
      <c r="D219" s="5">
        <v>138.30000000000001</v>
      </c>
      <c r="E219" s="5">
        <v>149.4</v>
      </c>
      <c r="F219" s="5">
        <v>143.5</v>
      </c>
      <c r="G219" s="5">
        <v>141.69999999999999</v>
      </c>
      <c r="H219" s="5">
        <v>118.1</v>
      </c>
      <c r="I219" s="5">
        <v>135.19999999999999</v>
      </c>
      <c r="J219" s="5">
        <v>130.5</v>
      </c>
      <c r="K219" s="5">
        <v>118.2</v>
      </c>
      <c r="L219" s="5">
        <v>110.4</v>
      </c>
      <c r="M219" s="5">
        <v>140.4</v>
      </c>
      <c r="N219" s="5">
        <v>128.1</v>
      </c>
      <c r="O219" s="5">
        <v>153.19999999999999</v>
      </c>
      <c r="P219" s="5">
        <v>137.30000000000001</v>
      </c>
      <c r="Q219" s="5">
        <v>164.7</v>
      </c>
      <c r="R219" s="5">
        <v>143</v>
      </c>
      <c r="S219" s="5">
        <v>130.4</v>
      </c>
      <c r="T219" s="5">
        <v>141.1</v>
      </c>
      <c r="U219" s="5">
        <v>147.69999999999999</v>
      </c>
      <c r="V219" s="5">
        <v>128.6</v>
      </c>
      <c r="W219" s="5">
        <v>136.30000000000001</v>
      </c>
      <c r="X219" s="5">
        <v>137.80000000000001</v>
      </c>
      <c r="Y219" s="5">
        <v>118.6</v>
      </c>
      <c r="Z219" s="5">
        <v>131.9</v>
      </c>
      <c r="AA219" s="5">
        <v>146.6</v>
      </c>
      <c r="AB219" s="5">
        <v>131.69999999999999</v>
      </c>
      <c r="AC219" s="5">
        <v>131.80000000000001</v>
      </c>
      <c r="AD219" s="12">
        <v>138</v>
      </c>
      <c r="AE219" s="26">
        <v>1</v>
      </c>
    </row>
    <row r="220" spans="1:31">
      <c r="A220" s="11" t="s">
        <v>69</v>
      </c>
      <c r="B220" s="5">
        <v>2019</v>
      </c>
      <c r="C220" s="5" t="s">
        <v>66</v>
      </c>
      <c r="D220" s="5">
        <v>137.1</v>
      </c>
      <c r="E220" s="5">
        <v>151.4</v>
      </c>
      <c r="F220" s="5">
        <v>140.19999999999999</v>
      </c>
      <c r="G220" s="5">
        <v>142.1</v>
      </c>
      <c r="H220" s="5">
        <v>121.8</v>
      </c>
      <c r="I220" s="5">
        <v>135.4</v>
      </c>
      <c r="J220" s="5">
        <v>131.30000000000001</v>
      </c>
      <c r="K220" s="5">
        <v>120.3</v>
      </c>
      <c r="L220" s="5">
        <v>109.1</v>
      </c>
      <c r="M220" s="5">
        <v>139.4</v>
      </c>
      <c r="N220" s="5">
        <v>133.30000000000001</v>
      </c>
      <c r="O220" s="5">
        <v>154.6</v>
      </c>
      <c r="P220" s="5">
        <v>137.4</v>
      </c>
      <c r="Q220" s="5">
        <v>163.19999999999999</v>
      </c>
      <c r="R220" s="5">
        <v>147.6</v>
      </c>
      <c r="S220" s="5">
        <v>139</v>
      </c>
      <c r="T220" s="5">
        <v>146.4</v>
      </c>
      <c r="U220" s="5">
        <v>147.69999999999999</v>
      </c>
      <c r="V220" s="5">
        <v>139.5</v>
      </c>
      <c r="W220" s="5">
        <v>143.6</v>
      </c>
      <c r="X220" s="5">
        <v>145.1</v>
      </c>
      <c r="Y220" s="5">
        <v>123.3</v>
      </c>
      <c r="Z220" s="5">
        <v>136.69999999999999</v>
      </c>
      <c r="AA220" s="5">
        <v>150.19999999999999</v>
      </c>
      <c r="AB220" s="5">
        <v>132.80000000000001</v>
      </c>
      <c r="AC220" s="5">
        <v>136.9</v>
      </c>
      <c r="AD220" s="12">
        <v>139.6</v>
      </c>
      <c r="AE220" s="26">
        <v>1</v>
      </c>
    </row>
    <row r="221" spans="1:31">
      <c r="A221" s="11" t="s">
        <v>65</v>
      </c>
      <c r="B221" s="5">
        <v>2019</v>
      </c>
      <c r="C221" s="5" t="s">
        <v>70</v>
      </c>
      <c r="D221" s="5">
        <v>136.80000000000001</v>
      </c>
      <c r="E221" s="5">
        <v>153</v>
      </c>
      <c r="F221" s="5">
        <v>139.1</v>
      </c>
      <c r="G221" s="5">
        <v>142.5</v>
      </c>
      <c r="H221" s="5">
        <v>124.1</v>
      </c>
      <c r="I221" s="5">
        <v>135.80000000000001</v>
      </c>
      <c r="J221" s="5">
        <v>128.69999999999999</v>
      </c>
      <c r="K221" s="5">
        <v>121.5</v>
      </c>
      <c r="L221" s="5">
        <v>108.3</v>
      </c>
      <c r="M221" s="5">
        <v>139.19999999999999</v>
      </c>
      <c r="N221" s="5">
        <v>137.4</v>
      </c>
      <c r="O221" s="5">
        <v>156.19999999999999</v>
      </c>
      <c r="P221" s="5">
        <v>137.19999999999999</v>
      </c>
      <c r="Q221" s="5">
        <v>162.80000000000001</v>
      </c>
      <c r="R221" s="5">
        <v>150.5</v>
      </c>
      <c r="S221" s="5">
        <v>146.1</v>
      </c>
      <c r="T221" s="5">
        <v>149.9</v>
      </c>
      <c r="U221" s="5" t="s">
        <v>67</v>
      </c>
      <c r="V221" s="5">
        <v>145.30000000000001</v>
      </c>
      <c r="W221" s="5">
        <v>150.1</v>
      </c>
      <c r="X221" s="5">
        <v>149.9</v>
      </c>
      <c r="Y221" s="5">
        <v>129.19999999999999</v>
      </c>
      <c r="Z221" s="5">
        <v>143.4</v>
      </c>
      <c r="AA221" s="5">
        <v>155.5</v>
      </c>
      <c r="AB221" s="5">
        <v>134.9</v>
      </c>
      <c r="AC221" s="5">
        <v>142.19999999999999</v>
      </c>
      <c r="AD221" s="12">
        <v>141</v>
      </c>
      <c r="AE221" s="26">
        <v>1</v>
      </c>
    </row>
    <row r="222" spans="1:31">
      <c r="A222" s="11" t="s">
        <v>68</v>
      </c>
      <c r="B222" s="5">
        <v>2019</v>
      </c>
      <c r="C222" s="5" t="s">
        <v>70</v>
      </c>
      <c r="D222" s="5">
        <v>139.4</v>
      </c>
      <c r="E222" s="5">
        <v>150.1</v>
      </c>
      <c r="F222" s="5">
        <v>145.30000000000001</v>
      </c>
      <c r="G222" s="5">
        <v>141.69999999999999</v>
      </c>
      <c r="H222" s="5">
        <v>118.4</v>
      </c>
      <c r="I222" s="5">
        <v>137</v>
      </c>
      <c r="J222" s="5">
        <v>131.6</v>
      </c>
      <c r="K222" s="5">
        <v>119.9</v>
      </c>
      <c r="L222" s="5">
        <v>110.4</v>
      </c>
      <c r="M222" s="5">
        <v>140.80000000000001</v>
      </c>
      <c r="N222" s="5">
        <v>128.30000000000001</v>
      </c>
      <c r="O222" s="5">
        <v>153.5</v>
      </c>
      <c r="P222" s="5">
        <v>138</v>
      </c>
      <c r="Q222" s="5">
        <v>164.9</v>
      </c>
      <c r="R222" s="5">
        <v>143.30000000000001</v>
      </c>
      <c r="S222" s="5">
        <v>130.80000000000001</v>
      </c>
      <c r="T222" s="5">
        <v>141.4</v>
      </c>
      <c r="U222" s="5">
        <v>148.5</v>
      </c>
      <c r="V222" s="5">
        <v>127.1</v>
      </c>
      <c r="W222" s="5">
        <v>136.6</v>
      </c>
      <c r="X222" s="5">
        <v>138.5</v>
      </c>
      <c r="Y222" s="5">
        <v>119.2</v>
      </c>
      <c r="Z222" s="5">
        <v>132.19999999999999</v>
      </c>
      <c r="AA222" s="5">
        <v>146.6</v>
      </c>
      <c r="AB222" s="5">
        <v>133</v>
      </c>
      <c r="AC222" s="5">
        <v>132.4</v>
      </c>
      <c r="AD222" s="12">
        <v>138.6</v>
      </c>
      <c r="AE222" s="26">
        <v>1</v>
      </c>
    </row>
    <row r="223" spans="1:31">
      <c r="A223" s="11" t="s">
        <v>69</v>
      </c>
      <c r="B223" s="5">
        <v>2019</v>
      </c>
      <c r="C223" s="5" t="s">
        <v>70</v>
      </c>
      <c r="D223" s="5">
        <v>137.6</v>
      </c>
      <c r="E223" s="5">
        <v>152</v>
      </c>
      <c r="F223" s="5">
        <v>141.5</v>
      </c>
      <c r="G223" s="5">
        <v>142.19999999999999</v>
      </c>
      <c r="H223" s="5">
        <v>122</v>
      </c>
      <c r="I223" s="5">
        <v>136.4</v>
      </c>
      <c r="J223" s="5">
        <v>129.69999999999999</v>
      </c>
      <c r="K223" s="5">
        <v>121</v>
      </c>
      <c r="L223" s="5">
        <v>109</v>
      </c>
      <c r="M223" s="5">
        <v>139.69999999999999</v>
      </c>
      <c r="N223" s="5">
        <v>133.6</v>
      </c>
      <c r="O223" s="5">
        <v>154.9</v>
      </c>
      <c r="P223" s="5">
        <v>137.5</v>
      </c>
      <c r="Q223" s="5">
        <v>163.4</v>
      </c>
      <c r="R223" s="5">
        <v>147.69999999999999</v>
      </c>
      <c r="S223" s="5">
        <v>139.69999999999999</v>
      </c>
      <c r="T223" s="5">
        <v>146.5</v>
      </c>
      <c r="U223" s="5">
        <v>148.5</v>
      </c>
      <c r="V223" s="5">
        <v>138.4</v>
      </c>
      <c r="W223" s="5">
        <v>143.69999999999999</v>
      </c>
      <c r="X223" s="5">
        <v>145.6</v>
      </c>
      <c r="Y223" s="5">
        <v>123.9</v>
      </c>
      <c r="Z223" s="5">
        <v>137.1</v>
      </c>
      <c r="AA223" s="5">
        <v>150.30000000000001</v>
      </c>
      <c r="AB223" s="5">
        <v>134.1</v>
      </c>
      <c r="AC223" s="5">
        <v>137.4</v>
      </c>
      <c r="AD223" s="12">
        <v>139.9</v>
      </c>
      <c r="AE223" s="26">
        <v>1</v>
      </c>
    </row>
    <row r="224" spans="1:31">
      <c r="A224" s="11" t="s">
        <v>65</v>
      </c>
      <c r="B224" s="5">
        <v>2019</v>
      </c>
      <c r="C224" s="5" t="s">
        <v>71</v>
      </c>
      <c r="D224" s="5">
        <v>136.9</v>
      </c>
      <c r="E224" s="5">
        <v>154.1</v>
      </c>
      <c r="F224" s="5">
        <v>138.69999999999999</v>
      </c>
      <c r="G224" s="5">
        <v>142.5</v>
      </c>
      <c r="H224" s="5">
        <v>124.1</v>
      </c>
      <c r="I224" s="5">
        <v>136.1</v>
      </c>
      <c r="J224" s="5">
        <v>128.19999999999999</v>
      </c>
      <c r="K224" s="5">
        <v>122.3</v>
      </c>
      <c r="L224" s="5">
        <v>108.3</v>
      </c>
      <c r="M224" s="5">
        <v>138.9</v>
      </c>
      <c r="N224" s="5">
        <v>137.4</v>
      </c>
      <c r="O224" s="5">
        <v>156.4</v>
      </c>
      <c r="P224" s="5">
        <v>137.30000000000001</v>
      </c>
      <c r="Q224" s="5">
        <v>162.9</v>
      </c>
      <c r="R224" s="5">
        <v>150.80000000000001</v>
      </c>
      <c r="S224" s="5">
        <v>146.1</v>
      </c>
      <c r="T224" s="5">
        <v>150.1</v>
      </c>
      <c r="U224" s="5" t="s">
        <v>67</v>
      </c>
      <c r="V224" s="5">
        <v>146.4</v>
      </c>
      <c r="W224" s="5">
        <v>150</v>
      </c>
      <c r="X224" s="5">
        <v>150.4</v>
      </c>
      <c r="Y224" s="5">
        <v>129.9</v>
      </c>
      <c r="Z224" s="5">
        <v>143.80000000000001</v>
      </c>
      <c r="AA224" s="5">
        <v>155.5</v>
      </c>
      <c r="AB224" s="5">
        <v>134</v>
      </c>
      <c r="AC224" s="5">
        <v>142.4</v>
      </c>
      <c r="AD224" s="12">
        <v>141.19999999999999</v>
      </c>
      <c r="AE224" s="26">
        <v>1</v>
      </c>
    </row>
    <row r="225" spans="1:31">
      <c r="A225" s="11" t="s">
        <v>68</v>
      </c>
      <c r="B225" s="5">
        <v>2019</v>
      </c>
      <c r="C225" s="5" t="s">
        <v>71</v>
      </c>
      <c r="D225" s="5">
        <v>139.69999999999999</v>
      </c>
      <c r="E225" s="5">
        <v>151.1</v>
      </c>
      <c r="F225" s="5">
        <v>142.9</v>
      </c>
      <c r="G225" s="5">
        <v>141.9</v>
      </c>
      <c r="H225" s="5">
        <v>118.4</v>
      </c>
      <c r="I225" s="5">
        <v>139.4</v>
      </c>
      <c r="J225" s="5">
        <v>141.19999999999999</v>
      </c>
      <c r="K225" s="5">
        <v>120.7</v>
      </c>
      <c r="L225" s="5">
        <v>110.4</v>
      </c>
      <c r="M225" s="5">
        <v>140.69999999999999</v>
      </c>
      <c r="N225" s="5">
        <v>128.5</v>
      </c>
      <c r="O225" s="5">
        <v>153.9</v>
      </c>
      <c r="P225" s="5">
        <v>139.6</v>
      </c>
      <c r="Q225" s="5">
        <v>165.3</v>
      </c>
      <c r="R225" s="5">
        <v>143.5</v>
      </c>
      <c r="S225" s="5">
        <v>131.19999999999999</v>
      </c>
      <c r="T225" s="5">
        <v>141.6</v>
      </c>
      <c r="U225" s="5">
        <v>149</v>
      </c>
      <c r="V225" s="5">
        <v>128.80000000000001</v>
      </c>
      <c r="W225" s="5">
        <v>136.80000000000001</v>
      </c>
      <c r="X225" s="5">
        <v>139.19999999999999</v>
      </c>
      <c r="Y225" s="5">
        <v>119.9</v>
      </c>
      <c r="Z225" s="5">
        <v>133</v>
      </c>
      <c r="AA225" s="5">
        <v>146.69999999999999</v>
      </c>
      <c r="AB225" s="5">
        <v>132.5</v>
      </c>
      <c r="AC225" s="5">
        <v>132.80000000000001</v>
      </c>
      <c r="AD225" s="12">
        <v>139.5</v>
      </c>
      <c r="AE225" s="26">
        <v>1</v>
      </c>
    </row>
    <row r="226" spans="1:31">
      <c r="A226" s="11" t="s">
        <v>69</v>
      </c>
      <c r="B226" s="5">
        <v>2019</v>
      </c>
      <c r="C226" s="5" t="s">
        <v>71</v>
      </c>
      <c r="D226" s="5">
        <v>137.80000000000001</v>
      </c>
      <c r="E226" s="5">
        <v>153</v>
      </c>
      <c r="F226" s="5">
        <v>140.30000000000001</v>
      </c>
      <c r="G226" s="5">
        <v>142.30000000000001</v>
      </c>
      <c r="H226" s="5">
        <v>122</v>
      </c>
      <c r="I226" s="5">
        <v>137.6</v>
      </c>
      <c r="J226" s="5">
        <v>132.6</v>
      </c>
      <c r="K226" s="5">
        <v>121.8</v>
      </c>
      <c r="L226" s="5">
        <v>109</v>
      </c>
      <c r="M226" s="5">
        <v>139.5</v>
      </c>
      <c r="N226" s="5">
        <v>133.69999999999999</v>
      </c>
      <c r="O226" s="5">
        <v>155.19999999999999</v>
      </c>
      <c r="P226" s="5">
        <v>138.1</v>
      </c>
      <c r="Q226" s="5">
        <v>163.5</v>
      </c>
      <c r="R226" s="5">
        <v>147.9</v>
      </c>
      <c r="S226" s="5">
        <v>139.9</v>
      </c>
      <c r="T226" s="5">
        <v>146.69999999999999</v>
      </c>
      <c r="U226" s="5">
        <v>149</v>
      </c>
      <c r="V226" s="5">
        <v>139.69999999999999</v>
      </c>
      <c r="W226" s="5">
        <v>143.80000000000001</v>
      </c>
      <c r="X226" s="5">
        <v>146.19999999999999</v>
      </c>
      <c r="Y226" s="5">
        <v>124.6</v>
      </c>
      <c r="Z226" s="5">
        <v>137.69999999999999</v>
      </c>
      <c r="AA226" s="5">
        <v>150.30000000000001</v>
      </c>
      <c r="AB226" s="5">
        <v>133.4</v>
      </c>
      <c r="AC226" s="5">
        <v>137.69999999999999</v>
      </c>
      <c r="AD226" s="12">
        <v>140.4</v>
      </c>
      <c r="AE226" s="26">
        <v>1</v>
      </c>
    </row>
    <row r="227" spans="1:31">
      <c r="A227" s="11" t="s">
        <v>65</v>
      </c>
      <c r="B227" s="5">
        <v>2019</v>
      </c>
      <c r="C227" s="5" t="s">
        <v>73</v>
      </c>
      <c r="D227" s="5">
        <v>137.4</v>
      </c>
      <c r="E227" s="5">
        <v>159.5</v>
      </c>
      <c r="F227" s="5">
        <v>134.5</v>
      </c>
      <c r="G227" s="5">
        <v>142.6</v>
      </c>
      <c r="H227" s="5">
        <v>124</v>
      </c>
      <c r="I227" s="5">
        <v>143.69999999999999</v>
      </c>
      <c r="J227" s="5">
        <v>133.4</v>
      </c>
      <c r="K227" s="5">
        <v>125.1</v>
      </c>
      <c r="L227" s="5">
        <v>109.3</v>
      </c>
      <c r="M227" s="5">
        <v>139.30000000000001</v>
      </c>
      <c r="N227" s="5">
        <v>137.69999999999999</v>
      </c>
      <c r="O227" s="5">
        <v>156.4</v>
      </c>
      <c r="P227" s="5">
        <v>139.19999999999999</v>
      </c>
      <c r="Q227" s="5">
        <v>163.30000000000001</v>
      </c>
      <c r="R227" s="5">
        <v>151.30000000000001</v>
      </c>
      <c r="S227" s="5">
        <v>146.6</v>
      </c>
      <c r="T227" s="5">
        <v>150.69999999999999</v>
      </c>
      <c r="U227" s="5" t="s">
        <v>67</v>
      </c>
      <c r="V227" s="5">
        <v>146.9</v>
      </c>
      <c r="W227" s="5">
        <v>149.5</v>
      </c>
      <c r="X227" s="5">
        <v>151.30000000000001</v>
      </c>
      <c r="Y227" s="5">
        <v>130.19999999999999</v>
      </c>
      <c r="Z227" s="5">
        <v>145.9</v>
      </c>
      <c r="AA227" s="5">
        <v>156.69999999999999</v>
      </c>
      <c r="AB227" s="5">
        <v>133.9</v>
      </c>
      <c r="AC227" s="5">
        <v>142.9</v>
      </c>
      <c r="AD227" s="12">
        <v>142.4</v>
      </c>
      <c r="AE227" s="26">
        <v>1</v>
      </c>
    </row>
    <row r="228" spans="1:31">
      <c r="A228" s="11" t="s">
        <v>68</v>
      </c>
      <c r="B228" s="5">
        <v>2019</v>
      </c>
      <c r="C228" s="5" t="s">
        <v>73</v>
      </c>
      <c r="D228" s="5">
        <v>140.4</v>
      </c>
      <c r="E228" s="5">
        <v>156.69999999999999</v>
      </c>
      <c r="F228" s="5">
        <v>138.30000000000001</v>
      </c>
      <c r="G228" s="5">
        <v>142.4</v>
      </c>
      <c r="H228" s="5">
        <v>118.6</v>
      </c>
      <c r="I228" s="5">
        <v>149.69999999999999</v>
      </c>
      <c r="J228" s="5">
        <v>161.6</v>
      </c>
      <c r="K228" s="5">
        <v>124.4</v>
      </c>
      <c r="L228" s="5">
        <v>111.2</v>
      </c>
      <c r="M228" s="5">
        <v>141</v>
      </c>
      <c r="N228" s="5">
        <v>128.9</v>
      </c>
      <c r="O228" s="5">
        <v>154.5</v>
      </c>
      <c r="P228" s="5">
        <v>143.80000000000001</v>
      </c>
      <c r="Q228" s="5">
        <v>166.2</v>
      </c>
      <c r="R228" s="5">
        <v>144</v>
      </c>
      <c r="S228" s="5">
        <v>131.69999999999999</v>
      </c>
      <c r="T228" s="5">
        <v>142.19999999999999</v>
      </c>
      <c r="U228" s="5">
        <v>150.1</v>
      </c>
      <c r="V228" s="5">
        <v>129.4</v>
      </c>
      <c r="W228" s="5">
        <v>137.19999999999999</v>
      </c>
      <c r="X228" s="5">
        <v>139.80000000000001</v>
      </c>
      <c r="Y228" s="5">
        <v>120.1</v>
      </c>
      <c r="Z228" s="5">
        <v>134</v>
      </c>
      <c r="AA228" s="5">
        <v>148</v>
      </c>
      <c r="AB228" s="5">
        <v>132.6</v>
      </c>
      <c r="AC228" s="5">
        <v>133.30000000000001</v>
      </c>
      <c r="AD228" s="12">
        <v>141.5</v>
      </c>
      <c r="AE228" s="26">
        <v>1</v>
      </c>
    </row>
    <row r="229" spans="1:31">
      <c r="A229" s="11" t="s">
        <v>69</v>
      </c>
      <c r="B229" s="5">
        <v>2019</v>
      </c>
      <c r="C229" s="5" t="s">
        <v>73</v>
      </c>
      <c r="D229" s="5">
        <v>138.30000000000001</v>
      </c>
      <c r="E229" s="5">
        <v>158.5</v>
      </c>
      <c r="F229" s="5">
        <v>136</v>
      </c>
      <c r="G229" s="5">
        <v>142.5</v>
      </c>
      <c r="H229" s="5">
        <v>122</v>
      </c>
      <c r="I229" s="5">
        <v>146.5</v>
      </c>
      <c r="J229" s="5">
        <v>143</v>
      </c>
      <c r="K229" s="5">
        <v>124.9</v>
      </c>
      <c r="L229" s="5">
        <v>109.9</v>
      </c>
      <c r="M229" s="5">
        <v>139.9</v>
      </c>
      <c r="N229" s="5">
        <v>134</v>
      </c>
      <c r="O229" s="5">
        <v>155.5</v>
      </c>
      <c r="P229" s="5">
        <v>140.9</v>
      </c>
      <c r="Q229" s="5">
        <v>164.1</v>
      </c>
      <c r="R229" s="5">
        <v>148.4</v>
      </c>
      <c r="S229" s="5">
        <v>140.4</v>
      </c>
      <c r="T229" s="5">
        <v>147.30000000000001</v>
      </c>
      <c r="U229" s="5">
        <v>150.1</v>
      </c>
      <c r="V229" s="5">
        <v>140.30000000000001</v>
      </c>
      <c r="W229" s="5">
        <v>143.69999999999999</v>
      </c>
      <c r="X229" s="5">
        <v>146.9</v>
      </c>
      <c r="Y229" s="5">
        <v>124.9</v>
      </c>
      <c r="Z229" s="5">
        <v>139.19999999999999</v>
      </c>
      <c r="AA229" s="5">
        <v>151.6</v>
      </c>
      <c r="AB229" s="5">
        <v>133.4</v>
      </c>
      <c r="AC229" s="5">
        <v>138.19999999999999</v>
      </c>
      <c r="AD229" s="12">
        <v>142</v>
      </c>
      <c r="AE229" s="26">
        <v>1</v>
      </c>
    </row>
    <row r="230" spans="1:31">
      <c r="A230" s="11" t="s">
        <v>65</v>
      </c>
      <c r="B230" s="5">
        <v>2019</v>
      </c>
      <c r="C230" s="5" t="s">
        <v>74</v>
      </c>
      <c r="D230" s="5">
        <v>137.80000000000001</v>
      </c>
      <c r="E230" s="5">
        <v>163.5</v>
      </c>
      <c r="F230" s="5">
        <v>136.19999999999999</v>
      </c>
      <c r="G230" s="5">
        <v>143.19999999999999</v>
      </c>
      <c r="H230" s="5">
        <v>124.3</v>
      </c>
      <c r="I230" s="5">
        <v>143.30000000000001</v>
      </c>
      <c r="J230" s="5">
        <v>140.6</v>
      </c>
      <c r="K230" s="5">
        <v>128.69999999999999</v>
      </c>
      <c r="L230" s="5">
        <v>110.6</v>
      </c>
      <c r="M230" s="5">
        <v>140.4</v>
      </c>
      <c r="N230" s="5">
        <v>138</v>
      </c>
      <c r="O230" s="5">
        <v>156.6</v>
      </c>
      <c r="P230" s="5">
        <v>141</v>
      </c>
      <c r="Q230" s="5">
        <v>164.2</v>
      </c>
      <c r="R230" s="5">
        <v>151.4</v>
      </c>
      <c r="S230" s="5">
        <v>146.5</v>
      </c>
      <c r="T230" s="5">
        <v>150.69999999999999</v>
      </c>
      <c r="U230" s="5" t="s">
        <v>67</v>
      </c>
      <c r="V230" s="5">
        <v>147.80000000000001</v>
      </c>
      <c r="W230" s="5">
        <v>149.6</v>
      </c>
      <c r="X230" s="5">
        <v>151.69999999999999</v>
      </c>
      <c r="Y230" s="5">
        <v>130.19999999999999</v>
      </c>
      <c r="Z230" s="5">
        <v>146.4</v>
      </c>
      <c r="AA230" s="5">
        <v>157.69999999999999</v>
      </c>
      <c r="AB230" s="5">
        <v>134.80000000000001</v>
      </c>
      <c r="AC230" s="5">
        <v>143.30000000000001</v>
      </c>
      <c r="AD230" s="12">
        <v>143.6</v>
      </c>
      <c r="AE230" s="26">
        <v>1</v>
      </c>
    </row>
    <row r="231" spans="1:31">
      <c r="A231" s="11" t="s">
        <v>68</v>
      </c>
      <c r="B231" s="5">
        <v>2019</v>
      </c>
      <c r="C231" s="5" t="s">
        <v>74</v>
      </c>
      <c r="D231" s="5">
        <v>140.69999999999999</v>
      </c>
      <c r="E231" s="5">
        <v>159.6</v>
      </c>
      <c r="F231" s="5">
        <v>140.4</v>
      </c>
      <c r="G231" s="5">
        <v>143.4</v>
      </c>
      <c r="H231" s="5">
        <v>118.6</v>
      </c>
      <c r="I231" s="5">
        <v>150.9</v>
      </c>
      <c r="J231" s="5">
        <v>169.8</v>
      </c>
      <c r="K231" s="5">
        <v>127.4</v>
      </c>
      <c r="L231" s="5">
        <v>111.8</v>
      </c>
      <c r="M231" s="5">
        <v>141</v>
      </c>
      <c r="N231" s="5">
        <v>129</v>
      </c>
      <c r="O231" s="5">
        <v>155.1</v>
      </c>
      <c r="P231" s="5">
        <v>145.6</v>
      </c>
      <c r="Q231" s="5">
        <v>166.7</v>
      </c>
      <c r="R231" s="5">
        <v>144.30000000000001</v>
      </c>
      <c r="S231" s="5">
        <v>131.69999999999999</v>
      </c>
      <c r="T231" s="5">
        <v>142.4</v>
      </c>
      <c r="U231" s="5">
        <v>149.4</v>
      </c>
      <c r="V231" s="5">
        <v>130.5</v>
      </c>
      <c r="W231" s="5">
        <v>137.4</v>
      </c>
      <c r="X231" s="5">
        <v>140.30000000000001</v>
      </c>
      <c r="Y231" s="5">
        <v>119.6</v>
      </c>
      <c r="Z231" s="5">
        <v>134.30000000000001</v>
      </c>
      <c r="AA231" s="5">
        <v>148.9</v>
      </c>
      <c r="AB231" s="5">
        <v>133.69999999999999</v>
      </c>
      <c r="AC231" s="5">
        <v>133.6</v>
      </c>
      <c r="AD231" s="12">
        <v>142.1</v>
      </c>
      <c r="AE231" s="26">
        <v>1</v>
      </c>
    </row>
    <row r="232" spans="1:31">
      <c r="A232" s="11" t="s">
        <v>69</v>
      </c>
      <c r="B232" s="5">
        <v>2019</v>
      </c>
      <c r="C232" s="5" t="s">
        <v>74</v>
      </c>
      <c r="D232" s="5">
        <v>138.69999999999999</v>
      </c>
      <c r="E232" s="5">
        <v>162.1</v>
      </c>
      <c r="F232" s="5">
        <v>137.80000000000001</v>
      </c>
      <c r="G232" s="5">
        <v>143.30000000000001</v>
      </c>
      <c r="H232" s="5">
        <v>122.2</v>
      </c>
      <c r="I232" s="5">
        <v>146.80000000000001</v>
      </c>
      <c r="J232" s="5">
        <v>150.5</v>
      </c>
      <c r="K232" s="5">
        <v>128.30000000000001</v>
      </c>
      <c r="L232" s="5">
        <v>111</v>
      </c>
      <c r="M232" s="5">
        <v>140.6</v>
      </c>
      <c r="N232" s="5">
        <v>134.19999999999999</v>
      </c>
      <c r="O232" s="5">
        <v>155.9</v>
      </c>
      <c r="P232" s="5">
        <v>142.69999999999999</v>
      </c>
      <c r="Q232" s="5">
        <v>164.9</v>
      </c>
      <c r="R232" s="5">
        <v>148.6</v>
      </c>
      <c r="S232" s="5">
        <v>140.4</v>
      </c>
      <c r="T232" s="5">
        <v>147.4</v>
      </c>
      <c r="U232" s="5">
        <v>149.4</v>
      </c>
      <c r="V232" s="5">
        <v>141.19999999999999</v>
      </c>
      <c r="W232" s="5">
        <v>143.80000000000001</v>
      </c>
      <c r="X232" s="5">
        <v>147.4</v>
      </c>
      <c r="Y232" s="5">
        <v>124.6</v>
      </c>
      <c r="Z232" s="5">
        <v>139.6</v>
      </c>
      <c r="AA232" s="5">
        <v>152.5</v>
      </c>
      <c r="AB232" s="5">
        <v>134.30000000000001</v>
      </c>
      <c r="AC232" s="5">
        <v>138.6</v>
      </c>
      <c r="AD232" s="12">
        <v>142.9</v>
      </c>
      <c r="AE232" s="26">
        <v>1</v>
      </c>
    </row>
    <row r="233" spans="1:31">
      <c r="A233" s="11" t="s">
        <v>65</v>
      </c>
      <c r="B233" s="5">
        <v>2019</v>
      </c>
      <c r="C233" s="5" t="s">
        <v>75</v>
      </c>
      <c r="D233" s="5">
        <v>138.4</v>
      </c>
      <c r="E233" s="5">
        <v>164</v>
      </c>
      <c r="F233" s="5">
        <v>138.4</v>
      </c>
      <c r="G233" s="5">
        <v>143.9</v>
      </c>
      <c r="H233" s="5">
        <v>124.4</v>
      </c>
      <c r="I233" s="5">
        <v>146.4</v>
      </c>
      <c r="J233" s="5">
        <v>150.1</v>
      </c>
      <c r="K233" s="5">
        <v>130.6</v>
      </c>
      <c r="L233" s="5">
        <v>110.8</v>
      </c>
      <c r="M233" s="5">
        <v>141.69999999999999</v>
      </c>
      <c r="N233" s="5">
        <v>138.5</v>
      </c>
      <c r="O233" s="5">
        <v>156.69999999999999</v>
      </c>
      <c r="P233" s="5">
        <v>143</v>
      </c>
      <c r="Q233" s="5">
        <v>164.5</v>
      </c>
      <c r="R233" s="5">
        <v>151.6</v>
      </c>
      <c r="S233" s="5">
        <v>146.6</v>
      </c>
      <c r="T233" s="5">
        <v>150.9</v>
      </c>
      <c r="U233" s="5" t="s">
        <v>67</v>
      </c>
      <c r="V233" s="5">
        <v>146.80000000000001</v>
      </c>
      <c r="W233" s="5">
        <v>150</v>
      </c>
      <c r="X233" s="5">
        <v>152.19999999999999</v>
      </c>
      <c r="Y233" s="5">
        <v>131.19999999999999</v>
      </c>
      <c r="Z233" s="5">
        <v>147.5</v>
      </c>
      <c r="AA233" s="5">
        <v>159.1</v>
      </c>
      <c r="AB233" s="5">
        <v>136.1</v>
      </c>
      <c r="AC233" s="5">
        <v>144.19999999999999</v>
      </c>
      <c r="AD233" s="12">
        <v>144.9</v>
      </c>
      <c r="AE233" s="26">
        <v>1</v>
      </c>
    </row>
    <row r="234" spans="1:31">
      <c r="A234" s="11" t="s">
        <v>68</v>
      </c>
      <c r="B234" s="5">
        <v>2019</v>
      </c>
      <c r="C234" s="5" t="s">
        <v>75</v>
      </c>
      <c r="D234" s="5">
        <v>141.4</v>
      </c>
      <c r="E234" s="5">
        <v>160.19999999999999</v>
      </c>
      <c r="F234" s="5">
        <v>142.5</v>
      </c>
      <c r="G234" s="5">
        <v>144.1</v>
      </c>
      <c r="H234" s="5">
        <v>119.3</v>
      </c>
      <c r="I234" s="5">
        <v>154.69999999999999</v>
      </c>
      <c r="J234" s="5">
        <v>180.1</v>
      </c>
      <c r="K234" s="5">
        <v>128.9</v>
      </c>
      <c r="L234" s="5">
        <v>111.8</v>
      </c>
      <c r="M234" s="5">
        <v>141.6</v>
      </c>
      <c r="N234" s="5">
        <v>129.5</v>
      </c>
      <c r="O234" s="5">
        <v>155.6</v>
      </c>
      <c r="P234" s="5">
        <v>147.69999999999999</v>
      </c>
      <c r="Q234" s="5">
        <v>167.2</v>
      </c>
      <c r="R234" s="5">
        <v>144.69999999999999</v>
      </c>
      <c r="S234" s="5">
        <v>131.9</v>
      </c>
      <c r="T234" s="5">
        <v>142.69999999999999</v>
      </c>
      <c r="U234" s="5">
        <v>150.6</v>
      </c>
      <c r="V234" s="5">
        <v>127</v>
      </c>
      <c r="W234" s="5">
        <v>137.69999999999999</v>
      </c>
      <c r="X234" s="5">
        <v>140.80000000000001</v>
      </c>
      <c r="Y234" s="5">
        <v>120.6</v>
      </c>
      <c r="Z234" s="5">
        <v>135</v>
      </c>
      <c r="AA234" s="5">
        <v>150.4</v>
      </c>
      <c r="AB234" s="5">
        <v>135.1</v>
      </c>
      <c r="AC234" s="5">
        <v>134.5</v>
      </c>
      <c r="AD234" s="12">
        <v>143.30000000000001</v>
      </c>
      <c r="AE234" s="26">
        <v>1</v>
      </c>
    </row>
    <row r="235" spans="1:31">
      <c r="A235" s="11" t="s">
        <v>69</v>
      </c>
      <c r="B235" s="5">
        <v>2019</v>
      </c>
      <c r="C235" s="5" t="s">
        <v>75</v>
      </c>
      <c r="D235" s="5">
        <v>139.30000000000001</v>
      </c>
      <c r="E235" s="5">
        <v>162.69999999999999</v>
      </c>
      <c r="F235" s="5">
        <v>140</v>
      </c>
      <c r="G235" s="5">
        <v>144</v>
      </c>
      <c r="H235" s="5">
        <v>122.5</v>
      </c>
      <c r="I235" s="5">
        <v>150.30000000000001</v>
      </c>
      <c r="J235" s="5">
        <v>160.30000000000001</v>
      </c>
      <c r="K235" s="5">
        <v>130</v>
      </c>
      <c r="L235" s="5">
        <v>111.1</v>
      </c>
      <c r="M235" s="5">
        <v>141.69999999999999</v>
      </c>
      <c r="N235" s="5">
        <v>134.69999999999999</v>
      </c>
      <c r="O235" s="5">
        <v>156.19999999999999</v>
      </c>
      <c r="P235" s="5">
        <v>144.69999999999999</v>
      </c>
      <c r="Q235" s="5">
        <v>165.2</v>
      </c>
      <c r="R235" s="5">
        <v>148.9</v>
      </c>
      <c r="S235" s="5">
        <v>140.5</v>
      </c>
      <c r="T235" s="5">
        <v>147.6</v>
      </c>
      <c r="U235" s="5">
        <v>150.6</v>
      </c>
      <c r="V235" s="5">
        <v>139.30000000000001</v>
      </c>
      <c r="W235" s="5">
        <v>144.19999999999999</v>
      </c>
      <c r="X235" s="5">
        <v>147.9</v>
      </c>
      <c r="Y235" s="5">
        <v>125.6</v>
      </c>
      <c r="Z235" s="5">
        <v>140.5</v>
      </c>
      <c r="AA235" s="5">
        <v>154</v>
      </c>
      <c r="AB235" s="5">
        <v>135.69999999999999</v>
      </c>
      <c r="AC235" s="5">
        <v>139.5</v>
      </c>
      <c r="AD235" s="12">
        <v>144.19999999999999</v>
      </c>
      <c r="AE235" s="26">
        <v>1</v>
      </c>
    </row>
    <row r="236" spans="1:31">
      <c r="A236" s="11" t="s">
        <v>65</v>
      </c>
      <c r="B236" s="5">
        <v>2019</v>
      </c>
      <c r="C236" s="5" t="s">
        <v>76</v>
      </c>
      <c r="D236" s="5">
        <v>139.19999999999999</v>
      </c>
      <c r="E236" s="5">
        <v>161.9</v>
      </c>
      <c r="F236" s="5">
        <v>137.1</v>
      </c>
      <c r="G236" s="5">
        <v>144.6</v>
      </c>
      <c r="H236" s="5">
        <v>124.7</v>
      </c>
      <c r="I236" s="5">
        <v>145.5</v>
      </c>
      <c r="J236" s="5">
        <v>156.19999999999999</v>
      </c>
      <c r="K236" s="5">
        <v>131.5</v>
      </c>
      <c r="L236" s="5">
        <v>111.7</v>
      </c>
      <c r="M236" s="5">
        <v>142.69999999999999</v>
      </c>
      <c r="N236" s="5">
        <v>138.5</v>
      </c>
      <c r="O236" s="5">
        <v>156.9</v>
      </c>
      <c r="P236" s="5">
        <v>144</v>
      </c>
      <c r="Q236" s="5">
        <v>165.1</v>
      </c>
      <c r="R236" s="5">
        <v>151.80000000000001</v>
      </c>
      <c r="S236" s="5">
        <v>146.6</v>
      </c>
      <c r="T236" s="5">
        <v>151.1</v>
      </c>
      <c r="U236" s="5" t="s">
        <v>67</v>
      </c>
      <c r="V236" s="5">
        <v>146.4</v>
      </c>
      <c r="W236" s="5">
        <v>150.19999999999999</v>
      </c>
      <c r="X236" s="5">
        <v>152.69999999999999</v>
      </c>
      <c r="Y236" s="5">
        <v>131.4</v>
      </c>
      <c r="Z236" s="5">
        <v>148</v>
      </c>
      <c r="AA236" s="5">
        <v>159.69999999999999</v>
      </c>
      <c r="AB236" s="5">
        <v>138.80000000000001</v>
      </c>
      <c r="AC236" s="5">
        <v>144.9</v>
      </c>
      <c r="AD236" s="12">
        <v>145.69999999999999</v>
      </c>
      <c r="AE236" s="26">
        <v>1</v>
      </c>
    </row>
    <row r="237" spans="1:31">
      <c r="A237" s="11" t="s">
        <v>68</v>
      </c>
      <c r="B237" s="5">
        <v>2019</v>
      </c>
      <c r="C237" s="5" t="s">
        <v>76</v>
      </c>
      <c r="D237" s="5">
        <v>142.1</v>
      </c>
      <c r="E237" s="5">
        <v>158.30000000000001</v>
      </c>
      <c r="F237" s="5">
        <v>140.80000000000001</v>
      </c>
      <c r="G237" s="5">
        <v>144.9</v>
      </c>
      <c r="H237" s="5">
        <v>119.9</v>
      </c>
      <c r="I237" s="5">
        <v>153.9</v>
      </c>
      <c r="J237" s="5">
        <v>189.1</v>
      </c>
      <c r="K237" s="5">
        <v>129.80000000000001</v>
      </c>
      <c r="L237" s="5">
        <v>112.7</v>
      </c>
      <c r="M237" s="5">
        <v>142.5</v>
      </c>
      <c r="N237" s="5">
        <v>129.80000000000001</v>
      </c>
      <c r="O237" s="5">
        <v>156.19999999999999</v>
      </c>
      <c r="P237" s="5">
        <v>149.1</v>
      </c>
      <c r="Q237" s="5">
        <v>167.9</v>
      </c>
      <c r="R237" s="5">
        <v>145</v>
      </c>
      <c r="S237" s="5">
        <v>132.19999999999999</v>
      </c>
      <c r="T237" s="5">
        <v>143</v>
      </c>
      <c r="U237" s="5">
        <v>151.6</v>
      </c>
      <c r="V237" s="5">
        <v>125.5</v>
      </c>
      <c r="W237" s="5">
        <v>138.1</v>
      </c>
      <c r="X237" s="5">
        <v>141.5</v>
      </c>
      <c r="Y237" s="5">
        <v>120.8</v>
      </c>
      <c r="Z237" s="5">
        <v>135.4</v>
      </c>
      <c r="AA237" s="5">
        <v>151.5</v>
      </c>
      <c r="AB237" s="5">
        <v>137.80000000000001</v>
      </c>
      <c r="AC237" s="5">
        <v>135.30000000000001</v>
      </c>
      <c r="AD237" s="12">
        <v>144.19999999999999</v>
      </c>
      <c r="AE237" s="26">
        <v>1</v>
      </c>
    </row>
    <row r="238" spans="1:31">
      <c r="A238" s="11" t="s">
        <v>69</v>
      </c>
      <c r="B238" s="5">
        <v>2019</v>
      </c>
      <c r="C238" s="5" t="s">
        <v>76</v>
      </c>
      <c r="D238" s="5">
        <v>140.1</v>
      </c>
      <c r="E238" s="5">
        <v>160.6</v>
      </c>
      <c r="F238" s="5">
        <v>138.5</v>
      </c>
      <c r="G238" s="5">
        <v>144.69999999999999</v>
      </c>
      <c r="H238" s="5">
        <v>122.9</v>
      </c>
      <c r="I238" s="5">
        <v>149.4</v>
      </c>
      <c r="J238" s="5">
        <v>167.4</v>
      </c>
      <c r="K238" s="5">
        <v>130.9</v>
      </c>
      <c r="L238" s="5">
        <v>112</v>
      </c>
      <c r="M238" s="5">
        <v>142.6</v>
      </c>
      <c r="N238" s="5">
        <v>134.9</v>
      </c>
      <c r="O238" s="5">
        <v>156.6</v>
      </c>
      <c r="P238" s="5">
        <v>145.9</v>
      </c>
      <c r="Q238" s="5">
        <v>165.8</v>
      </c>
      <c r="R238" s="5">
        <v>149.1</v>
      </c>
      <c r="S238" s="5">
        <v>140.6</v>
      </c>
      <c r="T238" s="5">
        <v>147.9</v>
      </c>
      <c r="U238" s="5">
        <v>151.6</v>
      </c>
      <c r="V238" s="5">
        <v>138.5</v>
      </c>
      <c r="W238" s="5">
        <v>144.5</v>
      </c>
      <c r="X238" s="5">
        <v>148.5</v>
      </c>
      <c r="Y238" s="5">
        <v>125.8</v>
      </c>
      <c r="Z238" s="5">
        <v>140.9</v>
      </c>
      <c r="AA238" s="5">
        <v>154.9</v>
      </c>
      <c r="AB238" s="5">
        <v>138.4</v>
      </c>
      <c r="AC238" s="5">
        <v>140.19999999999999</v>
      </c>
      <c r="AD238" s="12">
        <v>145</v>
      </c>
      <c r="AE238" s="26">
        <v>1</v>
      </c>
    </row>
    <row r="239" spans="1:31">
      <c r="A239" s="11" t="s">
        <v>65</v>
      </c>
      <c r="B239" s="5">
        <v>2019</v>
      </c>
      <c r="C239" s="5" t="s">
        <v>77</v>
      </c>
      <c r="D239" s="5">
        <v>140.1</v>
      </c>
      <c r="E239" s="5">
        <v>161.9</v>
      </c>
      <c r="F239" s="5">
        <v>138.30000000000001</v>
      </c>
      <c r="G239" s="5">
        <v>145.69999999999999</v>
      </c>
      <c r="H239" s="5">
        <v>125.1</v>
      </c>
      <c r="I239" s="5">
        <v>143.80000000000001</v>
      </c>
      <c r="J239" s="5">
        <v>163.4</v>
      </c>
      <c r="K239" s="5">
        <v>132.19999999999999</v>
      </c>
      <c r="L239" s="5">
        <v>112.8</v>
      </c>
      <c r="M239" s="5">
        <v>144.19999999999999</v>
      </c>
      <c r="N239" s="5">
        <v>138.5</v>
      </c>
      <c r="O239" s="5">
        <v>157.19999999999999</v>
      </c>
      <c r="P239" s="5">
        <v>145.5</v>
      </c>
      <c r="Q239" s="5">
        <v>165.7</v>
      </c>
      <c r="R239" s="5">
        <v>151.69999999999999</v>
      </c>
      <c r="S239" s="5">
        <v>146.6</v>
      </c>
      <c r="T239" s="5">
        <v>151</v>
      </c>
      <c r="U239" s="5" t="s">
        <v>67</v>
      </c>
      <c r="V239" s="5">
        <v>146.9</v>
      </c>
      <c r="W239" s="5">
        <v>150.30000000000001</v>
      </c>
      <c r="X239" s="5">
        <v>153.4</v>
      </c>
      <c r="Y239" s="5">
        <v>131.6</v>
      </c>
      <c r="Z239" s="5">
        <v>148.30000000000001</v>
      </c>
      <c r="AA239" s="5">
        <v>160.19999999999999</v>
      </c>
      <c r="AB239" s="5">
        <v>140.19999999999999</v>
      </c>
      <c r="AC239" s="5">
        <v>145.4</v>
      </c>
      <c r="AD239" s="12">
        <v>146.69999999999999</v>
      </c>
      <c r="AE239" s="26">
        <v>1</v>
      </c>
    </row>
    <row r="240" spans="1:31">
      <c r="A240" s="11" t="s">
        <v>68</v>
      </c>
      <c r="B240" s="5">
        <v>2019</v>
      </c>
      <c r="C240" s="5" t="s">
        <v>77</v>
      </c>
      <c r="D240" s="5">
        <v>142.69999999999999</v>
      </c>
      <c r="E240" s="5">
        <v>158.69999999999999</v>
      </c>
      <c r="F240" s="5">
        <v>141.6</v>
      </c>
      <c r="G240" s="5">
        <v>144.9</v>
      </c>
      <c r="H240" s="5">
        <v>120.8</v>
      </c>
      <c r="I240" s="5">
        <v>149.80000000000001</v>
      </c>
      <c r="J240" s="5">
        <v>192.4</v>
      </c>
      <c r="K240" s="5">
        <v>130.30000000000001</v>
      </c>
      <c r="L240" s="5">
        <v>114</v>
      </c>
      <c r="M240" s="5">
        <v>143.80000000000001</v>
      </c>
      <c r="N240" s="5">
        <v>130</v>
      </c>
      <c r="O240" s="5">
        <v>156.4</v>
      </c>
      <c r="P240" s="5">
        <v>149.5</v>
      </c>
      <c r="Q240" s="5">
        <v>168.6</v>
      </c>
      <c r="R240" s="5">
        <v>145.30000000000001</v>
      </c>
      <c r="S240" s="5">
        <v>132.19999999999999</v>
      </c>
      <c r="T240" s="5">
        <v>143.30000000000001</v>
      </c>
      <c r="U240" s="5">
        <v>152.19999999999999</v>
      </c>
      <c r="V240" s="5">
        <v>126.6</v>
      </c>
      <c r="W240" s="5">
        <v>138.30000000000001</v>
      </c>
      <c r="X240" s="5">
        <v>141.9</v>
      </c>
      <c r="Y240" s="5">
        <v>121.2</v>
      </c>
      <c r="Z240" s="5">
        <v>135.9</v>
      </c>
      <c r="AA240" s="5">
        <v>151.6</v>
      </c>
      <c r="AB240" s="5">
        <v>139</v>
      </c>
      <c r="AC240" s="5">
        <v>135.69999999999999</v>
      </c>
      <c r="AD240" s="12">
        <v>144.69999999999999</v>
      </c>
      <c r="AE240" s="26">
        <v>1</v>
      </c>
    </row>
    <row r="241" spans="1:31">
      <c r="A241" s="11" t="s">
        <v>69</v>
      </c>
      <c r="B241" s="5">
        <v>2019</v>
      </c>
      <c r="C241" s="5" t="s">
        <v>77</v>
      </c>
      <c r="D241" s="5">
        <v>140.9</v>
      </c>
      <c r="E241" s="5">
        <v>160.80000000000001</v>
      </c>
      <c r="F241" s="5">
        <v>139.6</v>
      </c>
      <c r="G241" s="5">
        <v>145.4</v>
      </c>
      <c r="H241" s="5">
        <v>123.5</v>
      </c>
      <c r="I241" s="5">
        <v>146.6</v>
      </c>
      <c r="J241" s="5">
        <v>173.2</v>
      </c>
      <c r="K241" s="5">
        <v>131.6</v>
      </c>
      <c r="L241" s="5">
        <v>113.2</v>
      </c>
      <c r="M241" s="5">
        <v>144.1</v>
      </c>
      <c r="N241" s="5">
        <v>135</v>
      </c>
      <c r="O241" s="5">
        <v>156.80000000000001</v>
      </c>
      <c r="P241" s="5">
        <v>147</v>
      </c>
      <c r="Q241" s="5">
        <v>166.5</v>
      </c>
      <c r="R241" s="5">
        <v>149.19999999999999</v>
      </c>
      <c r="S241" s="5">
        <v>140.6</v>
      </c>
      <c r="T241" s="5">
        <v>147.9</v>
      </c>
      <c r="U241" s="5">
        <v>152.19999999999999</v>
      </c>
      <c r="V241" s="5">
        <v>139.19999999999999</v>
      </c>
      <c r="W241" s="5">
        <v>144.6</v>
      </c>
      <c r="X241" s="5">
        <v>149</v>
      </c>
      <c r="Y241" s="5">
        <v>126.1</v>
      </c>
      <c r="Z241" s="5">
        <v>141.30000000000001</v>
      </c>
      <c r="AA241" s="5">
        <v>155.19999999999999</v>
      </c>
      <c r="AB241" s="5">
        <v>139.69999999999999</v>
      </c>
      <c r="AC241" s="5">
        <v>140.69999999999999</v>
      </c>
      <c r="AD241" s="12">
        <v>145.80000000000001</v>
      </c>
      <c r="AE241" s="26">
        <v>1</v>
      </c>
    </row>
    <row r="242" spans="1:31">
      <c r="A242" s="11" t="s">
        <v>65</v>
      </c>
      <c r="B242" s="5">
        <v>2019</v>
      </c>
      <c r="C242" s="5" t="s">
        <v>78</v>
      </c>
      <c r="D242" s="5">
        <v>141</v>
      </c>
      <c r="E242" s="5">
        <v>161.6</v>
      </c>
      <c r="F242" s="5">
        <v>141.19999999999999</v>
      </c>
      <c r="G242" s="5">
        <v>146.5</v>
      </c>
      <c r="H242" s="5">
        <v>125.6</v>
      </c>
      <c r="I242" s="5">
        <v>145.69999999999999</v>
      </c>
      <c r="J242" s="5">
        <v>178.8</v>
      </c>
      <c r="K242" s="5">
        <v>133.1</v>
      </c>
      <c r="L242" s="5">
        <v>113.6</v>
      </c>
      <c r="M242" s="5">
        <v>145.5</v>
      </c>
      <c r="N242" s="5">
        <v>138.6</v>
      </c>
      <c r="O242" s="5">
        <v>157.4</v>
      </c>
      <c r="P242" s="5">
        <v>148.30000000000001</v>
      </c>
      <c r="Q242" s="5">
        <v>166.3</v>
      </c>
      <c r="R242" s="5">
        <v>151.69999999999999</v>
      </c>
      <c r="S242" s="5">
        <v>146.69999999999999</v>
      </c>
      <c r="T242" s="5">
        <v>151</v>
      </c>
      <c r="U242" s="5" t="s">
        <v>67</v>
      </c>
      <c r="V242" s="5">
        <v>147.69999999999999</v>
      </c>
      <c r="W242" s="5">
        <v>150.6</v>
      </c>
      <c r="X242" s="5">
        <v>153.69999999999999</v>
      </c>
      <c r="Y242" s="5">
        <v>131.69999999999999</v>
      </c>
      <c r="Z242" s="5">
        <v>148.69999999999999</v>
      </c>
      <c r="AA242" s="5">
        <v>160.69999999999999</v>
      </c>
      <c r="AB242" s="5">
        <v>140.30000000000001</v>
      </c>
      <c r="AC242" s="5">
        <v>145.69999999999999</v>
      </c>
      <c r="AD242" s="12">
        <v>148.30000000000001</v>
      </c>
      <c r="AE242" s="26">
        <v>1</v>
      </c>
    </row>
    <row r="243" spans="1:31">
      <c r="A243" s="11" t="s">
        <v>68</v>
      </c>
      <c r="B243" s="5">
        <v>2019</v>
      </c>
      <c r="C243" s="5" t="s">
        <v>78</v>
      </c>
      <c r="D243" s="5">
        <v>143.5</v>
      </c>
      <c r="E243" s="5">
        <v>159.80000000000001</v>
      </c>
      <c r="F243" s="5">
        <v>144.69999999999999</v>
      </c>
      <c r="G243" s="5">
        <v>145.6</v>
      </c>
      <c r="H243" s="5">
        <v>121.1</v>
      </c>
      <c r="I243" s="5">
        <v>150.6</v>
      </c>
      <c r="J243" s="5">
        <v>207.2</v>
      </c>
      <c r="K243" s="5">
        <v>131.19999999999999</v>
      </c>
      <c r="L243" s="5">
        <v>114.8</v>
      </c>
      <c r="M243" s="5">
        <v>145.19999999999999</v>
      </c>
      <c r="N243" s="5">
        <v>130.19999999999999</v>
      </c>
      <c r="O243" s="5">
        <v>156.80000000000001</v>
      </c>
      <c r="P243" s="5">
        <v>151.9</v>
      </c>
      <c r="Q243" s="5">
        <v>169.3</v>
      </c>
      <c r="R243" s="5">
        <v>145.9</v>
      </c>
      <c r="S243" s="5">
        <v>132.4</v>
      </c>
      <c r="T243" s="5">
        <v>143.9</v>
      </c>
      <c r="U243" s="5">
        <v>153</v>
      </c>
      <c r="V243" s="5">
        <v>128.9</v>
      </c>
      <c r="W243" s="5">
        <v>138.69999999999999</v>
      </c>
      <c r="X243" s="5">
        <v>142.4</v>
      </c>
      <c r="Y243" s="5">
        <v>121.5</v>
      </c>
      <c r="Z243" s="5">
        <v>136.19999999999999</v>
      </c>
      <c r="AA243" s="5">
        <v>151.69999999999999</v>
      </c>
      <c r="AB243" s="5">
        <v>139.5</v>
      </c>
      <c r="AC243" s="5">
        <v>136</v>
      </c>
      <c r="AD243" s="12">
        <v>146</v>
      </c>
      <c r="AE243" s="26">
        <v>1</v>
      </c>
    </row>
    <row r="244" spans="1:31">
      <c r="A244" s="11" t="s">
        <v>69</v>
      </c>
      <c r="B244" s="5">
        <v>2019</v>
      </c>
      <c r="C244" s="5" t="s">
        <v>78</v>
      </c>
      <c r="D244" s="5">
        <v>141.80000000000001</v>
      </c>
      <c r="E244" s="5">
        <v>161</v>
      </c>
      <c r="F244" s="5">
        <v>142.6</v>
      </c>
      <c r="G244" s="5">
        <v>146.19999999999999</v>
      </c>
      <c r="H244" s="5">
        <v>123.9</v>
      </c>
      <c r="I244" s="5">
        <v>148</v>
      </c>
      <c r="J244" s="5">
        <v>188.4</v>
      </c>
      <c r="K244" s="5">
        <v>132.5</v>
      </c>
      <c r="L244" s="5">
        <v>114</v>
      </c>
      <c r="M244" s="5">
        <v>145.4</v>
      </c>
      <c r="N244" s="5">
        <v>135.1</v>
      </c>
      <c r="O244" s="5">
        <v>157.1</v>
      </c>
      <c r="P244" s="5">
        <v>149.6</v>
      </c>
      <c r="Q244" s="5">
        <v>167.1</v>
      </c>
      <c r="R244" s="5">
        <v>149.4</v>
      </c>
      <c r="S244" s="5">
        <v>140.80000000000001</v>
      </c>
      <c r="T244" s="5">
        <v>148.19999999999999</v>
      </c>
      <c r="U244" s="5">
        <v>153</v>
      </c>
      <c r="V244" s="5">
        <v>140.6</v>
      </c>
      <c r="W244" s="5">
        <v>145</v>
      </c>
      <c r="X244" s="5">
        <v>149.4</v>
      </c>
      <c r="Y244" s="5">
        <v>126.3</v>
      </c>
      <c r="Z244" s="5">
        <v>141.69999999999999</v>
      </c>
      <c r="AA244" s="5">
        <v>155.4</v>
      </c>
      <c r="AB244" s="5">
        <v>140</v>
      </c>
      <c r="AC244" s="5">
        <v>141</v>
      </c>
      <c r="AD244" s="12">
        <v>147.19999999999999</v>
      </c>
      <c r="AE244" s="26">
        <v>1</v>
      </c>
    </row>
    <row r="245" spans="1:31">
      <c r="A245" s="11" t="s">
        <v>65</v>
      </c>
      <c r="B245" s="5">
        <v>2019</v>
      </c>
      <c r="C245" s="5" t="s">
        <v>79</v>
      </c>
      <c r="D245" s="5">
        <v>141.80000000000001</v>
      </c>
      <c r="E245" s="5">
        <v>163.69999999999999</v>
      </c>
      <c r="F245" s="5">
        <v>143.80000000000001</v>
      </c>
      <c r="G245" s="5">
        <v>147.1</v>
      </c>
      <c r="H245" s="5">
        <v>126</v>
      </c>
      <c r="I245" s="5">
        <v>146.19999999999999</v>
      </c>
      <c r="J245" s="5">
        <v>191.4</v>
      </c>
      <c r="K245" s="5">
        <v>136.19999999999999</v>
      </c>
      <c r="L245" s="5">
        <v>113.8</v>
      </c>
      <c r="M245" s="5">
        <v>147.30000000000001</v>
      </c>
      <c r="N245" s="5">
        <v>138.69999999999999</v>
      </c>
      <c r="O245" s="5">
        <v>157.69999999999999</v>
      </c>
      <c r="P245" s="5">
        <v>150.9</v>
      </c>
      <c r="Q245" s="5">
        <v>167.2</v>
      </c>
      <c r="R245" s="5">
        <v>152.30000000000001</v>
      </c>
      <c r="S245" s="5">
        <v>147</v>
      </c>
      <c r="T245" s="5">
        <v>151.5</v>
      </c>
      <c r="U245" s="5" t="s">
        <v>67</v>
      </c>
      <c r="V245" s="5">
        <v>148.4</v>
      </c>
      <c r="W245" s="5">
        <v>150.9</v>
      </c>
      <c r="X245" s="5">
        <v>154.30000000000001</v>
      </c>
      <c r="Y245" s="5">
        <v>132.1</v>
      </c>
      <c r="Z245" s="5">
        <v>149.1</v>
      </c>
      <c r="AA245" s="5">
        <v>160.80000000000001</v>
      </c>
      <c r="AB245" s="5">
        <v>140.6</v>
      </c>
      <c r="AC245" s="5">
        <v>146.1</v>
      </c>
      <c r="AD245" s="12">
        <v>149.9</v>
      </c>
      <c r="AE245" s="26">
        <v>1</v>
      </c>
    </row>
    <row r="246" spans="1:31">
      <c r="A246" s="11" t="s">
        <v>68</v>
      </c>
      <c r="B246" s="5">
        <v>2019</v>
      </c>
      <c r="C246" s="5" t="s">
        <v>79</v>
      </c>
      <c r="D246" s="5">
        <v>144.1</v>
      </c>
      <c r="E246" s="5">
        <v>162.4</v>
      </c>
      <c r="F246" s="5">
        <v>148.4</v>
      </c>
      <c r="G246" s="5">
        <v>145.9</v>
      </c>
      <c r="H246" s="5">
        <v>121.5</v>
      </c>
      <c r="I246" s="5">
        <v>148.80000000000001</v>
      </c>
      <c r="J246" s="5">
        <v>215.7</v>
      </c>
      <c r="K246" s="5">
        <v>134.6</v>
      </c>
      <c r="L246" s="5">
        <v>115</v>
      </c>
      <c r="M246" s="5">
        <v>146.30000000000001</v>
      </c>
      <c r="N246" s="5">
        <v>130.5</v>
      </c>
      <c r="O246" s="5">
        <v>157.19999999999999</v>
      </c>
      <c r="P246" s="5">
        <v>153.6</v>
      </c>
      <c r="Q246" s="5">
        <v>169.9</v>
      </c>
      <c r="R246" s="5">
        <v>146.30000000000001</v>
      </c>
      <c r="S246" s="5">
        <v>132.6</v>
      </c>
      <c r="T246" s="5">
        <v>144.19999999999999</v>
      </c>
      <c r="U246" s="5">
        <v>153.5</v>
      </c>
      <c r="V246" s="5">
        <v>132.19999999999999</v>
      </c>
      <c r="W246" s="5">
        <v>139.1</v>
      </c>
      <c r="X246" s="5">
        <v>142.80000000000001</v>
      </c>
      <c r="Y246" s="5">
        <v>121.7</v>
      </c>
      <c r="Z246" s="5">
        <v>136.69999999999999</v>
      </c>
      <c r="AA246" s="5">
        <v>151.80000000000001</v>
      </c>
      <c r="AB246" s="5">
        <v>139.80000000000001</v>
      </c>
      <c r="AC246" s="5">
        <v>136.30000000000001</v>
      </c>
      <c r="AD246" s="12">
        <v>147</v>
      </c>
      <c r="AE246" s="26">
        <v>1</v>
      </c>
    </row>
    <row r="247" spans="1:31">
      <c r="A247" s="11" t="s">
        <v>69</v>
      </c>
      <c r="B247" s="5">
        <v>2019</v>
      </c>
      <c r="C247" s="5" t="s">
        <v>79</v>
      </c>
      <c r="D247" s="5">
        <v>142.5</v>
      </c>
      <c r="E247" s="5">
        <v>163.19999999999999</v>
      </c>
      <c r="F247" s="5">
        <v>145.6</v>
      </c>
      <c r="G247" s="5">
        <v>146.69999999999999</v>
      </c>
      <c r="H247" s="5">
        <v>124.3</v>
      </c>
      <c r="I247" s="5">
        <v>147.4</v>
      </c>
      <c r="J247" s="5">
        <v>199.6</v>
      </c>
      <c r="K247" s="5">
        <v>135.69999999999999</v>
      </c>
      <c r="L247" s="5">
        <v>114.2</v>
      </c>
      <c r="M247" s="5">
        <v>147</v>
      </c>
      <c r="N247" s="5">
        <v>135.30000000000001</v>
      </c>
      <c r="O247" s="5">
        <v>157.5</v>
      </c>
      <c r="P247" s="5">
        <v>151.9</v>
      </c>
      <c r="Q247" s="5">
        <v>167.9</v>
      </c>
      <c r="R247" s="5">
        <v>149.9</v>
      </c>
      <c r="S247" s="5">
        <v>141</v>
      </c>
      <c r="T247" s="5">
        <v>148.6</v>
      </c>
      <c r="U247" s="5">
        <v>153.5</v>
      </c>
      <c r="V247" s="5">
        <v>142.30000000000001</v>
      </c>
      <c r="W247" s="5">
        <v>145.30000000000001</v>
      </c>
      <c r="X247" s="5">
        <v>149.9</v>
      </c>
      <c r="Y247" s="5">
        <v>126.6</v>
      </c>
      <c r="Z247" s="5">
        <v>142.1</v>
      </c>
      <c r="AA247" s="5">
        <v>155.5</v>
      </c>
      <c r="AB247" s="5">
        <v>140.30000000000001</v>
      </c>
      <c r="AC247" s="5">
        <v>141.30000000000001</v>
      </c>
      <c r="AD247" s="12">
        <v>148.6</v>
      </c>
      <c r="AE247" s="26">
        <v>1</v>
      </c>
    </row>
    <row r="248" spans="1:31">
      <c r="A248" s="11" t="s">
        <v>65</v>
      </c>
      <c r="B248" s="5">
        <v>2019</v>
      </c>
      <c r="C248" s="5" t="s">
        <v>80</v>
      </c>
      <c r="D248" s="5">
        <v>142.80000000000001</v>
      </c>
      <c r="E248" s="5">
        <v>165.3</v>
      </c>
      <c r="F248" s="5">
        <v>149.5</v>
      </c>
      <c r="G248" s="5">
        <v>148.69999999999999</v>
      </c>
      <c r="H248" s="5">
        <v>127.5</v>
      </c>
      <c r="I248" s="5">
        <v>144.30000000000001</v>
      </c>
      <c r="J248" s="5">
        <v>209.5</v>
      </c>
      <c r="K248" s="5">
        <v>138.80000000000001</v>
      </c>
      <c r="L248" s="5">
        <v>113.6</v>
      </c>
      <c r="M248" s="5">
        <v>149.1</v>
      </c>
      <c r="N248" s="5">
        <v>139.30000000000001</v>
      </c>
      <c r="O248" s="5">
        <v>158.30000000000001</v>
      </c>
      <c r="P248" s="5">
        <v>154.30000000000001</v>
      </c>
      <c r="Q248" s="5">
        <v>167.8</v>
      </c>
      <c r="R248" s="5">
        <v>152.6</v>
      </c>
      <c r="S248" s="5">
        <v>147.30000000000001</v>
      </c>
      <c r="T248" s="5">
        <v>151.9</v>
      </c>
      <c r="U248" s="5" t="s">
        <v>67</v>
      </c>
      <c r="V248" s="5">
        <v>149.9</v>
      </c>
      <c r="W248" s="5">
        <v>151.19999999999999</v>
      </c>
      <c r="X248" s="5">
        <v>154.80000000000001</v>
      </c>
      <c r="Y248" s="5">
        <v>135</v>
      </c>
      <c r="Z248" s="5">
        <v>149.5</v>
      </c>
      <c r="AA248" s="5">
        <v>161.1</v>
      </c>
      <c r="AB248" s="5">
        <v>140.6</v>
      </c>
      <c r="AC248" s="5">
        <v>147.1</v>
      </c>
      <c r="AD248" s="12">
        <v>152.30000000000001</v>
      </c>
      <c r="AE248" s="26">
        <v>1</v>
      </c>
    </row>
    <row r="249" spans="1:31">
      <c r="A249" s="11" t="s">
        <v>68</v>
      </c>
      <c r="B249" s="5">
        <v>2019</v>
      </c>
      <c r="C249" s="5" t="s">
        <v>80</v>
      </c>
      <c r="D249" s="5">
        <v>144.9</v>
      </c>
      <c r="E249" s="5">
        <v>164.5</v>
      </c>
      <c r="F249" s="5">
        <v>153.69999999999999</v>
      </c>
      <c r="G249" s="5">
        <v>147.5</v>
      </c>
      <c r="H249" s="5">
        <v>122.7</v>
      </c>
      <c r="I249" s="5">
        <v>147.19999999999999</v>
      </c>
      <c r="J249" s="5">
        <v>231.5</v>
      </c>
      <c r="K249" s="5">
        <v>137.19999999999999</v>
      </c>
      <c r="L249" s="5">
        <v>114.7</v>
      </c>
      <c r="M249" s="5">
        <v>148</v>
      </c>
      <c r="N249" s="5">
        <v>130.80000000000001</v>
      </c>
      <c r="O249" s="5">
        <v>157.69999999999999</v>
      </c>
      <c r="P249" s="5">
        <v>156.30000000000001</v>
      </c>
      <c r="Q249" s="5">
        <v>170.4</v>
      </c>
      <c r="R249" s="5">
        <v>146.80000000000001</v>
      </c>
      <c r="S249" s="5">
        <v>132.80000000000001</v>
      </c>
      <c r="T249" s="5">
        <v>144.6</v>
      </c>
      <c r="U249" s="5">
        <v>152.80000000000001</v>
      </c>
      <c r="V249" s="5">
        <v>133.6</v>
      </c>
      <c r="W249" s="5">
        <v>139.80000000000001</v>
      </c>
      <c r="X249" s="5">
        <v>143.19999999999999</v>
      </c>
      <c r="Y249" s="5">
        <v>125.2</v>
      </c>
      <c r="Z249" s="5">
        <v>136.80000000000001</v>
      </c>
      <c r="AA249" s="5">
        <v>151.9</v>
      </c>
      <c r="AB249" s="5">
        <v>140.19999999999999</v>
      </c>
      <c r="AC249" s="5">
        <v>137.69999999999999</v>
      </c>
      <c r="AD249" s="12">
        <v>148.30000000000001</v>
      </c>
      <c r="AE249" s="26">
        <v>1</v>
      </c>
    </row>
    <row r="250" spans="1:31">
      <c r="A250" s="11" t="s">
        <v>69</v>
      </c>
      <c r="B250" s="5">
        <v>2019</v>
      </c>
      <c r="C250" s="5" t="s">
        <v>80</v>
      </c>
      <c r="D250" s="5">
        <v>143.5</v>
      </c>
      <c r="E250" s="5">
        <v>165</v>
      </c>
      <c r="F250" s="5">
        <v>151.1</v>
      </c>
      <c r="G250" s="5">
        <v>148.30000000000001</v>
      </c>
      <c r="H250" s="5">
        <v>125.7</v>
      </c>
      <c r="I250" s="5">
        <v>145.69999999999999</v>
      </c>
      <c r="J250" s="5">
        <v>217</v>
      </c>
      <c r="K250" s="5">
        <v>138.30000000000001</v>
      </c>
      <c r="L250" s="5">
        <v>114</v>
      </c>
      <c r="M250" s="5">
        <v>148.69999999999999</v>
      </c>
      <c r="N250" s="5">
        <v>135.80000000000001</v>
      </c>
      <c r="O250" s="5">
        <v>158</v>
      </c>
      <c r="P250" s="5">
        <v>155</v>
      </c>
      <c r="Q250" s="5">
        <v>168.5</v>
      </c>
      <c r="R250" s="5">
        <v>150.30000000000001</v>
      </c>
      <c r="S250" s="5">
        <v>141.30000000000001</v>
      </c>
      <c r="T250" s="5">
        <v>149</v>
      </c>
      <c r="U250" s="5">
        <v>152.80000000000001</v>
      </c>
      <c r="V250" s="5">
        <v>143.69999999999999</v>
      </c>
      <c r="W250" s="5">
        <v>145.80000000000001</v>
      </c>
      <c r="X250" s="5">
        <v>150.4</v>
      </c>
      <c r="Y250" s="5">
        <v>129.80000000000001</v>
      </c>
      <c r="Z250" s="5">
        <v>142.30000000000001</v>
      </c>
      <c r="AA250" s="5">
        <v>155.69999999999999</v>
      </c>
      <c r="AB250" s="5">
        <v>140.4</v>
      </c>
      <c r="AC250" s="5">
        <v>142.5</v>
      </c>
      <c r="AD250" s="12">
        <v>150.4</v>
      </c>
      <c r="AE250" s="26">
        <v>1</v>
      </c>
    </row>
    <row r="251" spans="1:31">
      <c r="A251" s="11" t="s">
        <v>65</v>
      </c>
      <c r="B251" s="5">
        <v>2020</v>
      </c>
      <c r="C251" s="5" t="s">
        <v>66</v>
      </c>
      <c r="D251" s="5">
        <v>143.69999999999999</v>
      </c>
      <c r="E251" s="5">
        <v>167.3</v>
      </c>
      <c r="F251" s="5">
        <v>153.5</v>
      </c>
      <c r="G251" s="5">
        <v>150.5</v>
      </c>
      <c r="H251" s="5">
        <v>132</v>
      </c>
      <c r="I251" s="5">
        <v>142.19999999999999</v>
      </c>
      <c r="J251" s="5">
        <v>191.5</v>
      </c>
      <c r="K251" s="5">
        <v>141.1</v>
      </c>
      <c r="L251" s="5">
        <v>113.8</v>
      </c>
      <c r="M251" s="5">
        <v>151.6</v>
      </c>
      <c r="N251" s="5">
        <v>139.69999999999999</v>
      </c>
      <c r="O251" s="5">
        <v>158.69999999999999</v>
      </c>
      <c r="P251" s="5">
        <v>153</v>
      </c>
      <c r="Q251" s="5">
        <v>168.6</v>
      </c>
      <c r="R251" s="5">
        <v>152.80000000000001</v>
      </c>
      <c r="S251" s="5">
        <v>147.4</v>
      </c>
      <c r="T251" s="5">
        <v>152.1</v>
      </c>
      <c r="U251" s="5" t="s">
        <v>67</v>
      </c>
      <c r="V251" s="5">
        <v>150.4</v>
      </c>
      <c r="W251" s="5">
        <v>151.69999999999999</v>
      </c>
      <c r="X251" s="5">
        <v>155.69999999999999</v>
      </c>
      <c r="Y251" s="5">
        <v>136.30000000000001</v>
      </c>
      <c r="Z251" s="5">
        <v>150.1</v>
      </c>
      <c r="AA251" s="5">
        <v>161.69999999999999</v>
      </c>
      <c r="AB251" s="5">
        <v>142.5</v>
      </c>
      <c r="AC251" s="5">
        <v>148.1</v>
      </c>
      <c r="AD251" s="12">
        <v>151.9</v>
      </c>
      <c r="AE251" s="26">
        <v>1</v>
      </c>
    </row>
    <row r="252" spans="1:31">
      <c r="A252" s="11" t="s">
        <v>68</v>
      </c>
      <c r="B252" s="5">
        <v>2020</v>
      </c>
      <c r="C252" s="5" t="s">
        <v>66</v>
      </c>
      <c r="D252" s="5">
        <v>145.6</v>
      </c>
      <c r="E252" s="5">
        <v>167.6</v>
      </c>
      <c r="F252" s="5">
        <v>157</v>
      </c>
      <c r="G252" s="5">
        <v>149.30000000000001</v>
      </c>
      <c r="H252" s="5">
        <v>126.3</v>
      </c>
      <c r="I252" s="5">
        <v>144.4</v>
      </c>
      <c r="J252" s="5">
        <v>207.8</v>
      </c>
      <c r="K252" s="5">
        <v>139.1</v>
      </c>
      <c r="L252" s="5">
        <v>114.8</v>
      </c>
      <c r="M252" s="5">
        <v>149.5</v>
      </c>
      <c r="N252" s="5">
        <v>131.1</v>
      </c>
      <c r="O252" s="5">
        <v>158.5</v>
      </c>
      <c r="P252" s="5">
        <v>154.4</v>
      </c>
      <c r="Q252" s="5">
        <v>170.8</v>
      </c>
      <c r="R252" s="5">
        <v>147</v>
      </c>
      <c r="S252" s="5">
        <v>133.19999999999999</v>
      </c>
      <c r="T252" s="5">
        <v>144.9</v>
      </c>
      <c r="U252" s="5">
        <v>153.9</v>
      </c>
      <c r="V252" s="5">
        <v>135.1</v>
      </c>
      <c r="W252" s="5">
        <v>140.1</v>
      </c>
      <c r="X252" s="5">
        <v>143.80000000000001</v>
      </c>
      <c r="Y252" s="5">
        <v>126.1</v>
      </c>
      <c r="Z252" s="5">
        <v>137.19999999999999</v>
      </c>
      <c r="AA252" s="5">
        <v>152.1</v>
      </c>
      <c r="AB252" s="5">
        <v>142.1</v>
      </c>
      <c r="AC252" s="5">
        <v>138.4</v>
      </c>
      <c r="AD252" s="12">
        <v>148.19999999999999</v>
      </c>
      <c r="AE252" s="26">
        <v>1</v>
      </c>
    </row>
    <row r="253" spans="1:31">
      <c r="A253" s="11" t="s">
        <v>69</v>
      </c>
      <c r="B253" s="5">
        <v>2020</v>
      </c>
      <c r="C253" s="5" t="s">
        <v>66</v>
      </c>
      <c r="D253" s="5">
        <v>144.30000000000001</v>
      </c>
      <c r="E253" s="5">
        <v>167.4</v>
      </c>
      <c r="F253" s="5">
        <v>154.9</v>
      </c>
      <c r="G253" s="5">
        <v>150.1</v>
      </c>
      <c r="H253" s="5">
        <v>129.9</v>
      </c>
      <c r="I253" s="5">
        <v>143.19999999999999</v>
      </c>
      <c r="J253" s="5">
        <v>197</v>
      </c>
      <c r="K253" s="5">
        <v>140.4</v>
      </c>
      <c r="L253" s="5">
        <v>114.1</v>
      </c>
      <c r="M253" s="5">
        <v>150.9</v>
      </c>
      <c r="N253" s="5">
        <v>136.1</v>
      </c>
      <c r="O253" s="5">
        <v>158.6</v>
      </c>
      <c r="P253" s="5">
        <v>153.5</v>
      </c>
      <c r="Q253" s="5">
        <v>169.2</v>
      </c>
      <c r="R253" s="5">
        <v>150.5</v>
      </c>
      <c r="S253" s="5">
        <v>141.5</v>
      </c>
      <c r="T253" s="5">
        <v>149.19999999999999</v>
      </c>
      <c r="U253" s="5">
        <v>153.9</v>
      </c>
      <c r="V253" s="5">
        <v>144.6</v>
      </c>
      <c r="W253" s="5">
        <v>146.19999999999999</v>
      </c>
      <c r="X253" s="5">
        <v>151.19999999999999</v>
      </c>
      <c r="Y253" s="5">
        <v>130.9</v>
      </c>
      <c r="Z253" s="5">
        <v>142.80000000000001</v>
      </c>
      <c r="AA253" s="5">
        <v>156.1</v>
      </c>
      <c r="AB253" s="5">
        <v>142.30000000000001</v>
      </c>
      <c r="AC253" s="5">
        <v>143.4</v>
      </c>
      <c r="AD253" s="12">
        <v>150.19999999999999</v>
      </c>
      <c r="AE253" s="26">
        <v>1</v>
      </c>
    </row>
    <row r="254" spans="1:31">
      <c r="A254" s="11" t="s">
        <v>65</v>
      </c>
      <c r="B254" s="5">
        <v>2020</v>
      </c>
      <c r="C254" s="5" t="s">
        <v>70</v>
      </c>
      <c r="D254" s="5">
        <v>144.19999999999999</v>
      </c>
      <c r="E254" s="5">
        <v>167.5</v>
      </c>
      <c r="F254" s="5">
        <v>150.9</v>
      </c>
      <c r="G254" s="5">
        <v>150.9</v>
      </c>
      <c r="H254" s="5">
        <v>133.69999999999999</v>
      </c>
      <c r="I254" s="5">
        <v>140.69999999999999</v>
      </c>
      <c r="J254" s="5">
        <v>165.1</v>
      </c>
      <c r="K254" s="5">
        <v>141.80000000000001</v>
      </c>
      <c r="L254" s="5">
        <v>113.1</v>
      </c>
      <c r="M254" s="5">
        <v>152.80000000000001</v>
      </c>
      <c r="N254" s="5">
        <v>140.1</v>
      </c>
      <c r="O254" s="5">
        <v>159.19999999999999</v>
      </c>
      <c r="P254" s="5">
        <v>149.80000000000001</v>
      </c>
      <c r="Q254" s="5">
        <v>169.4</v>
      </c>
      <c r="R254" s="5">
        <v>153</v>
      </c>
      <c r="S254" s="5">
        <v>147.5</v>
      </c>
      <c r="T254" s="5">
        <v>152.30000000000001</v>
      </c>
      <c r="U254" s="5" t="s">
        <v>67</v>
      </c>
      <c r="V254" s="5">
        <v>152.30000000000001</v>
      </c>
      <c r="W254" s="5">
        <v>151.80000000000001</v>
      </c>
      <c r="X254" s="5">
        <v>156.19999999999999</v>
      </c>
      <c r="Y254" s="5">
        <v>136</v>
      </c>
      <c r="Z254" s="5">
        <v>150.4</v>
      </c>
      <c r="AA254" s="5">
        <v>161.9</v>
      </c>
      <c r="AB254" s="5">
        <v>143.4</v>
      </c>
      <c r="AC254" s="5">
        <v>148.4</v>
      </c>
      <c r="AD254" s="12">
        <v>150.4</v>
      </c>
      <c r="AE254" s="26">
        <v>1</v>
      </c>
    </row>
    <row r="255" spans="1:31">
      <c r="A255" s="11" t="s">
        <v>68</v>
      </c>
      <c r="B255" s="5">
        <v>2020</v>
      </c>
      <c r="C255" s="5" t="s">
        <v>70</v>
      </c>
      <c r="D255" s="5">
        <v>146.19999999999999</v>
      </c>
      <c r="E255" s="5">
        <v>167.6</v>
      </c>
      <c r="F255" s="5">
        <v>153.1</v>
      </c>
      <c r="G255" s="5">
        <v>150.69999999999999</v>
      </c>
      <c r="H255" s="5">
        <v>127.4</v>
      </c>
      <c r="I255" s="5">
        <v>143.1</v>
      </c>
      <c r="J255" s="5">
        <v>181.7</v>
      </c>
      <c r="K255" s="5">
        <v>139.6</v>
      </c>
      <c r="L255" s="5">
        <v>114.6</v>
      </c>
      <c r="M255" s="5">
        <v>150.4</v>
      </c>
      <c r="N255" s="5">
        <v>131.5</v>
      </c>
      <c r="O255" s="5">
        <v>159</v>
      </c>
      <c r="P255" s="5">
        <v>151.69999999999999</v>
      </c>
      <c r="Q255" s="5">
        <v>172</v>
      </c>
      <c r="R255" s="5">
        <v>147.30000000000001</v>
      </c>
      <c r="S255" s="5">
        <v>133.5</v>
      </c>
      <c r="T255" s="5">
        <v>145.19999999999999</v>
      </c>
      <c r="U255" s="5">
        <v>154.80000000000001</v>
      </c>
      <c r="V255" s="5">
        <v>138.9</v>
      </c>
      <c r="W255" s="5">
        <v>140.4</v>
      </c>
      <c r="X255" s="5">
        <v>144.4</v>
      </c>
      <c r="Y255" s="5">
        <v>125.2</v>
      </c>
      <c r="Z255" s="5">
        <v>137.69999999999999</v>
      </c>
      <c r="AA255" s="5">
        <v>152.19999999999999</v>
      </c>
      <c r="AB255" s="5">
        <v>143.5</v>
      </c>
      <c r="AC255" s="5">
        <v>138.4</v>
      </c>
      <c r="AD255" s="12">
        <v>147.69999999999999</v>
      </c>
      <c r="AE255" s="26">
        <v>1</v>
      </c>
    </row>
    <row r="256" spans="1:31">
      <c r="A256" s="11" t="s">
        <v>69</v>
      </c>
      <c r="B256" s="5">
        <v>2020</v>
      </c>
      <c r="C256" s="5" t="s">
        <v>70</v>
      </c>
      <c r="D256" s="5">
        <v>144.80000000000001</v>
      </c>
      <c r="E256" s="5">
        <v>167.5</v>
      </c>
      <c r="F256" s="5">
        <v>151.80000000000001</v>
      </c>
      <c r="G256" s="5">
        <v>150.80000000000001</v>
      </c>
      <c r="H256" s="5">
        <v>131.4</v>
      </c>
      <c r="I256" s="5">
        <v>141.80000000000001</v>
      </c>
      <c r="J256" s="5">
        <v>170.7</v>
      </c>
      <c r="K256" s="5">
        <v>141.1</v>
      </c>
      <c r="L256" s="5">
        <v>113.6</v>
      </c>
      <c r="M256" s="5">
        <v>152</v>
      </c>
      <c r="N256" s="5">
        <v>136.5</v>
      </c>
      <c r="O256" s="5">
        <v>159.1</v>
      </c>
      <c r="P256" s="5">
        <v>150.5</v>
      </c>
      <c r="Q256" s="5">
        <v>170.1</v>
      </c>
      <c r="R256" s="5">
        <v>150.80000000000001</v>
      </c>
      <c r="S256" s="5">
        <v>141.69999999999999</v>
      </c>
      <c r="T256" s="5">
        <v>149.5</v>
      </c>
      <c r="U256" s="5">
        <v>154.80000000000001</v>
      </c>
      <c r="V256" s="5">
        <v>147.19999999999999</v>
      </c>
      <c r="W256" s="5">
        <v>146.4</v>
      </c>
      <c r="X256" s="5">
        <v>151.69999999999999</v>
      </c>
      <c r="Y256" s="5">
        <v>130.30000000000001</v>
      </c>
      <c r="Z256" s="5">
        <v>143.19999999999999</v>
      </c>
      <c r="AA256" s="5">
        <v>156.19999999999999</v>
      </c>
      <c r="AB256" s="5">
        <v>143.4</v>
      </c>
      <c r="AC256" s="5">
        <v>143.6</v>
      </c>
      <c r="AD256" s="12">
        <v>149.1</v>
      </c>
      <c r="AE256" s="26">
        <v>1</v>
      </c>
    </row>
    <row r="257" spans="1:31">
      <c r="A257" s="11" t="s">
        <v>65</v>
      </c>
      <c r="B257" s="5">
        <v>2020</v>
      </c>
      <c r="C257" s="5" t="s">
        <v>71</v>
      </c>
      <c r="D257" s="5">
        <v>144.4</v>
      </c>
      <c r="E257" s="5">
        <v>166.8</v>
      </c>
      <c r="F257" s="5">
        <v>147.6</v>
      </c>
      <c r="G257" s="5">
        <v>151.69999999999999</v>
      </c>
      <c r="H257" s="5">
        <v>133.30000000000001</v>
      </c>
      <c r="I257" s="5">
        <v>141.80000000000001</v>
      </c>
      <c r="J257" s="5">
        <v>152.30000000000001</v>
      </c>
      <c r="K257" s="5">
        <v>141.80000000000001</v>
      </c>
      <c r="L257" s="5">
        <v>112.6</v>
      </c>
      <c r="M257" s="5">
        <v>154</v>
      </c>
      <c r="N257" s="5">
        <v>140.1</v>
      </c>
      <c r="O257" s="5">
        <v>160</v>
      </c>
      <c r="P257" s="5">
        <v>148.19999999999999</v>
      </c>
      <c r="Q257" s="5">
        <v>170.5</v>
      </c>
      <c r="R257" s="5">
        <v>153.4</v>
      </c>
      <c r="S257" s="5">
        <v>147.6</v>
      </c>
      <c r="T257" s="5">
        <v>152.5</v>
      </c>
      <c r="U257" s="5" t="s">
        <v>67</v>
      </c>
      <c r="V257" s="5">
        <v>153.4</v>
      </c>
      <c r="W257" s="5">
        <v>151.5</v>
      </c>
      <c r="X257" s="5">
        <v>156.69999999999999</v>
      </c>
      <c r="Y257" s="5">
        <v>135.80000000000001</v>
      </c>
      <c r="Z257" s="5">
        <v>151.19999999999999</v>
      </c>
      <c r="AA257" s="5">
        <v>161.19999999999999</v>
      </c>
      <c r="AB257" s="5">
        <v>145.1</v>
      </c>
      <c r="AC257" s="5">
        <v>148.6</v>
      </c>
      <c r="AD257" s="12">
        <v>149.80000000000001</v>
      </c>
      <c r="AE257" s="26">
        <v>1</v>
      </c>
    </row>
    <row r="258" spans="1:31">
      <c r="A258" s="11" t="s">
        <v>68</v>
      </c>
      <c r="B258" s="5">
        <v>2020</v>
      </c>
      <c r="C258" s="5" t="s">
        <v>71</v>
      </c>
      <c r="D258" s="5">
        <v>146.5</v>
      </c>
      <c r="E258" s="5">
        <v>167.5</v>
      </c>
      <c r="F258" s="5">
        <v>148.9</v>
      </c>
      <c r="G258" s="5">
        <v>151.1</v>
      </c>
      <c r="H258" s="5">
        <v>127.5</v>
      </c>
      <c r="I258" s="5">
        <v>143.30000000000001</v>
      </c>
      <c r="J258" s="5">
        <v>167</v>
      </c>
      <c r="K258" s="5">
        <v>139.69999999999999</v>
      </c>
      <c r="L258" s="5">
        <v>114.4</v>
      </c>
      <c r="M258" s="5">
        <v>151.5</v>
      </c>
      <c r="N258" s="5">
        <v>131.9</v>
      </c>
      <c r="O258" s="5">
        <v>159.1</v>
      </c>
      <c r="P258" s="5">
        <v>150.1</v>
      </c>
      <c r="Q258" s="5">
        <v>173.3</v>
      </c>
      <c r="R258" s="5">
        <v>147.69999999999999</v>
      </c>
      <c r="S258" s="5">
        <v>133.80000000000001</v>
      </c>
      <c r="T258" s="5">
        <v>145.6</v>
      </c>
      <c r="U258" s="5">
        <v>154.5</v>
      </c>
      <c r="V258" s="5">
        <v>141.4</v>
      </c>
      <c r="W258" s="5">
        <v>140.80000000000001</v>
      </c>
      <c r="X258" s="5">
        <v>145</v>
      </c>
      <c r="Y258" s="5">
        <v>124.6</v>
      </c>
      <c r="Z258" s="5">
        <v>137.9</v>
      </c>
      <c r="AA258" s="5">
        <v>152.5</v>
      </c>
      <c r="AB258" s="5">
        <v>145.30000000000001</v>
      </c>
      <c r="AC258" s="5">
        <v>138.69999999999999</v>
      </c>
      <c r="AD258" s="12">
        <v>147.30000000000001</v>
      </c>
      <c r="AE258" s="26">
        <v>1</v>
      </c>
    </row>
    <row r="259" spans="1:31">
      <c r="A259" s="11" t="s">
        <v>69</v>
      </c>
      <c r="B259" s="5">
        <v>2020</v>
      </c>
      <c r="C259" s="5" t="s">
        <v>71</v>
      </c>
      <c r="D259" s="5">
        <v>145.1</v>
      </c>
      <c r="E259" s="30">
        <v>167</v>
      </c>
      <c r="F259" s="5">
        <v>148.1</v>
      </c>
      <c r="G259" s="5">
        <v>151.5</v>
      </c>
      <c r="H259" s="5">
        <v>131.19999999999999</v>
      </c>
      <c r="I259" s="5">
        <v>142.5</v>
      </c>
      <c r="J259" s="5">
        <v>157.30000000000001</v>
      </c>
      <c r="K259" s="5">
        <v>141.1</v>
      </c>
      <c r="L259" s="5">
        <v>113.2</v>
      </c>
      <c r="M259" s="5">
        <v>153.19999999999999</v>
      </c>
      <c r="N259" s="5">
        <v>136.69999999999999</v>
      </c>
      <c r="O259" s="5">
        <v>159.6</v>
      </c>
      <c r="P259" s="5">
        <v>148.9</v>
      </c>
      <c r="Q259" s="30">
        <v>171.2</v>
      </c>
      <c r="R259" s="30">
        <v>151.19999999999999</v>
      </c>
      <c r="S259" s="5">
        <v>141.9</v>
      </c>
      <c r="T259" s="30">
        <v>149.80000000000001</v>
      </c>
      <c r="U259" s="5">
        <v>154.5</v>
      </c>
      <c r="V259" s="5">
        <v>148.9</v>
      </c>
      <c r="W259" s="30">
        <v>146.4</v>
      </c>
      <c r="X259" s="5">
        <v>152.30000000000001</v>
      </c>
      <c r="Y259" s="30">
        <v>129.9</v>
      </c>
      <c r="Z259" s="30">
        <v>143.69999999999999</v>
      </c>
      <c r="AA259" s="5">
        <v>156.1</v>
      </c>
      <c r="AB259" s="30">
        <v>145.19999999999999</v>
      </c>
      <c r="AC259" s="30">
        <v>143.80000000000001</v>
      </c>
      <c r="AD259" s="31">
        <v>148.6</v>
      </c>
      <c r="AE259" s="26">
        <v>1</v>
      </c>
    </row>
    <row r="260" spans="1:31">
      <c r="A260" s="11" t="s">
        <v>65</v>
      </c>
      <c r="B260" s="5">
        <v>2020</v>
      </c>
      <c r="C260" s="5" t="s">
        <v>72</v>
      </c>
      <c r="D260" s="5">
        <v>147.19999999999999</v>
      </c>
      <c r="E260" s="30">
        <v>174.63333333333335</v>
      </c>
      <c r="F260" s="5">
        <v>146.9</v>
      </c>
      <c r="G260" s="5">
        <v>155.6</v>
      </c>
      <c r="H260" s="5">
        <v>137.1</v>
      </c>
      <c r="I260" s="5">
        <v>147.30000000000001</v>
      </c>
      <c r="J260" s="5">
        <v>162.69999999999999</v>
      </c>
      <c r="K260" s="5">
        <v>150.19999999999999</v>
      </c>
      <c r="L260" s="5">
        <v>119.8</v>
      </c>
      <c r="M260" s="5">
        <v>158.69999999999999</v>
      </c>
      <c r="N260" s="5">
        <v>139.19999999999999</v>
      </c>
      <c r="O260" s="30">
        <v>160.6</v>
      </c>
      <c r="P260" s="5">
        <v>150.1</v>
      </c>
      <c r="Q260" s="30">
        <v>174.46666666666667</v>
      </c>
      <c r="R260" s="30">
        <v>153.83333333333334</v>
      </c>
      <c r="S260" s="30">
        <v>148.4</v>
      </c>
      <c r="T260" s="30">
        <v>153.03333333333333</v>
      </c>
      <c r="U260" s="5" t="s">
        <v>67</v>
      </c>
      <c r="V260" s="5">
        <v>148.4</v>
      </c>
      <c r="W260" s="30">
        <v>151.56666666666666</v>
      </c>
      <c r="X260" s="5">
        <v>154.30000000000001</v>
      </c>
      <c r="Y260" s="30">
        <v>137.66666666666669</v>
      </c>
      <c r="Z260" s="30">
        <v>151.86666666666665</v>
      </c>
      <c r="AA260" s="5">
        <v>161.4</v>
      </c>
      <c r="AB260" s="30">
        <v>147.13333333333333</v>
      </c>
      <c r="AC260" s="30">
        <v>149.63333333333333</v>
      </c>
      <c r="AD260" s="31">
        <v>150.76666666666668</v>
      </c>
      <c r="AE260" s="26">
        <v>1</v>
      </c>
    </row>
    <row r="261" spans="1:31">
      <c r="A261" s="11" t="s">
        <v>68</v>
      </c>
      <c r="B261" s="5">
        <v>2020</v>
      </c>
      <c r="C261" s="5" t="s">
        <v>72</v>
      </c>
      <c r="D261" s="5">
        <v>151.80000000000001</v>
      </c>
      <c r="E261" s="30">
        <v>177.33333333333334</v>
      </c>
      <c r="F261" s="5">
        <v>151.9</v>
      </c>
      <c r="G261" s="5">
        <v>155.5</v>
      </c>
      <c r="H261" s="5">
        <v>131.6</v>
      </c>
      <c r="I261" s="5">
        <v>152.9</v>
      </c>
      <c r="J261" s="5">
        <v>180</v>
      </c>
      <c r="K261" s="5">
        <v>150.80000000000001</v>
      </c>
      <c r="L261" s="5">
        <v>121.2</v>
      </c>
      <c r="M261" s="5">
        <v>154</v>
      </c>
      <c r="N261" s="5">
        <v>133.5</v>
      </c>
      <c r="O261" s="30">
        <v>159.96666666666667</v>
      </c>
      <c r="P261" s="5">
        <v>153.5</v>
      </c>
      <c r="Q261" s="5">
        <v>177.76666666666668</v>
      </c>
      <c r="R261" s="30">
        <v>148.16666666666666</v>
      </c>
      <c r="S261" s="30">
        <v>134.73333333333335</v>
      </c>
      <c r="T261" s="30">
        <v>146.13333333333333</v>
      </c>
      <c r="U261" s="5">
        <v>155.6</v>
      </c>
      <c r="V261" s="5">
        <v>137.1</v>
      </c>
      <c r="W261" s="30">
        <v>140.66666666666669</v>
      </c>
      <c r="X261" s="5">
        <v>144.80000000000001</v>
      </c>
      <c r="Y261" s="30">
        <v>126.16666666666667</v>
      </c>
      <c r="Z261" s="30">
        <v>140.1</v>
      </c>
      <c r="AA261" s="5">
        <v>152.5</v>
      </c>
      <c r="AB261" s="30">
        <v>147.6</v>
      </c>
      <c r="AC261" s="30">
        <v>139.79999999999998</v>
      </c>
      <c r="AD261" s="31">
        <v>148.46666666666667</v>
      </c>
      <c r="AE261" s="26">
        <v>1</v>
      </c>
    </row>
    <row r="262" spans="1:31">
      <c r="A262" s="11" t="s">
        <v>69</v>
      </c>
      <c r="B262" s="5">
        <v>2020</v>
      </c>
      <c r="C262" s="5" t="s">
        <v>72</v>
      </c>
      <c r="D262" s="5">
        <v>148.69999999999999</v>
      </c>
      <c r="E262" s="30">
        <v>175.56666666666666</v>
      </c>
      <c r="F262" s="30">
        <v>148.80000000000001</v>
      </c>
      <c r="G262" s="30">
        <v>155.6</v>
      </c>
      <c r="H262" s="30">
        <v>135.1</v>
      </c>
      <c r="I262" s="30">
        <v>149.9</v>
      </c>
      <c r="J262" s="30">
        <v>168.6</v>
      </c>
      <c r="K262" s="30">
        <v>150.4</v>
      </c>
      <c r="L262" s="5">
        <v>120.3</v>
      </c>
      <c r="M262" s="30">
        <v>157.1</v>
      </c>
      <c r="N262" s="30">
        <v>136.80000000000001</v>
      </c>
      <c r="O262" s="5">
        <v>160.33333333333334</v>
      </c>
      <c r="P262" s="5">
        <v>151.4</v>
      </c>
      <c r="Q262" s="30">
        <v>175.29999999999998</v>
      </c>
      <c r="R262" s="30">
        <v>151.63333333333333</v>
      </c>
      <c r="S262" s="5">
        <v>142.73333333333335</v>
      </c>
      <c r="T262" s="30">
        <v>150.33333333333334</v>
      </c>
      <c r="U262" s="5">
        <v>155.6</v>
      </c>
      <c r="V262" s="30">
        <v>144.1</v>
      </c>
      <c r="W262" s="30">
        <v>146.4</v>
      </c>
      <c r="X262" s="30">
        <v>150.69999999999999</v>
      </c>
      <c r="Y262" s="30">
        <v>131.6</v>
      </c>
      <c r="Z262" s="30">
        <v>145.23333333333332</v>
      </c>
      <c r="AA262" s="5">
        <v>156.19999999999999</v>
      </c>
      <c r="AB262" s="30">
        <v>147.33333333333331</v>
      </c>
      <c r="AC262" s="30">
        <v>144.86666666666667</v>
      </c>
      <c r="AD262" s="31">
        <v>149.66666666666666</v>
      </c>
      <c r="AE262" s="26">
        <v>1</v>
      </c>
    </row>
    <row r="263" spans="1:31">
      <c r="A263" s="11" t="s">
        <v>65</v>
      </c>
      <c r="B263" s="5">
        <v>2020</v>
      </c>
      <c r="C263" s="5" t="s">
        <v>73</v>
      </c>
      <c r="D263" s="5">
        <v>147.69999999999999</v>
      </c>
      <c r="E263" s="30">
        <v>182.46666666666667</v>
      </c>
      <c r="F263" s="30">
        <v>148.15</v>
      </c>
      <c r="G263" s="30">
        <v>154.44999999999999</v>
      </c>
      <c r="H263" s="30">
        <v>137.64999999999998</v>
      </c>
      <c r="I263" s="30">
        <v>145.25</v>
      </c>
      <c r="J263" s="30">
        <v>155.80000000000001</v>
      </c>
      <c r="K263" s="30">
        <v>150.25</v>
      </c>
      <c r="L263" s="30">
        <v>116.5</v>
      </c>
      <c r="M263" s="5">
        <v>159.25</v>
      </c>
      <c r="N263" s="5">
        <v>140.64999999999998</v>
      </c>
      <c r="O263" s="30">
        <v>161.20000000000002</v>
      </c>
      <c r="P263" s="30">
        <v>151.19999999999999</v>
      </c>
      <c r="Q263" s="30">
        <v>178.43333333333334</v>
      </c>
      <c r="R263" s="30">
        <v>154.26666666666665</v>
      </c>
      <c r="S263" s="30">
        <v>149.19999999999999</v>
      </c>
      <c r="T263" s="30">
        <v>153.56666666666666</v>
      </c>
      <c r="U263" s="5" t="s">
        <v>67</v>
      </c>
      <c r="V263" s="5">
        <v>146.65</v>
      </c>
      <c r="W263" s="30">
        <v>151.63333333333333</v>
      </c>
      <c r="X263" s="30">
        <v>156.25</v>
      </c>
      <c r="Y263" s="30">
        <v>139.53333333333333</v>
      </c>
      <c r="Z263" s="30">
        <v>152.53333333333333</v>
      </c>
      <c r="AA263" s="5">
        <v>161.6</v>
      </c>
      <c r="AB263" s="30">
        <v>149.16666666666666</v>
      </c>
      <c r="AC263" s="30">
        <v>150.66666666666666</v>
      </c>
      <c r="AD263" s="31">
        <v>151.73333333333332</v>
      </c>
      <c r="AE263" s="26">
        <v>1</v>
      </c>
    </row>
    <row r="264" spans="1:31">
      <c r="A264" s="11" t="s">
        <v>68</v>
      </c>
      <c r="B264" s="5">
        <v>2020</v>
      </c>
      <c r="C264" s="5" t="s">
        <v>73</v>
      </c>
      <c r="D264" s="5">
        <v>152.25</v>
      </c>
      <c r="E264" s="30">
        <v>187.16666666666666</v>
      </c>
      <c r="F264" s="5">
        <v>153.25</v>
      </c>
      <c r="G264" s="30">
        <v>154.44999999999999</v>
      </c>
      <c r="H264" s="5">
        <v>132.25</v>
      </c>
      <c r="I264" s="30">
        <v>152.35000000000002</v>
      </c>
      <c r="J264" s="30">
        <v>175.6</v>
      </c>
      <c r="K264" s="30">
        <v>151.4</v>
      </c>
      <c r="L264" s="30">
        <v>118.75</v>
      </c>
      <c r="M264" s="5">
        <v>156.4</v>
      </c>
      <c r="N264" s="5">
        <v>136.19999999999999</v>
      </c>
      <c r="O264" s="30">
        <v>160.83333333333331</v>
      </c>
      <c r="P264" s="5">
        <v>155.25</v>
      </c>
      <c r="Q264" s="5">
        <v>182.23333333333332</v>
      </c>
      <c r="R264" s="30">
        <v>148.63333333333333</v>
      </c>
      <c r="S264" s="30">
        <v>135.66666666666666</v>
      </c>
      <c r="T264" s="30">
        <v>146.66666666666666</v>
      </c>
      <c r="U264" s="5">
        <v>155.29999999999998</v>
      </c>
      <c r="V264" s="5">
        <v>137.1</v>
      </c>
      <c r="W264" s="30">
        <v>140.53333333333333</v>
      </c>
      <c r="X264" s="30">
        <v>146.44999999999999</v>
      </c>
      <c r="Y264" s="30">
        <v>127.73333333333333</v>
      </c>
      <c r="Z264" s="30">
        <v>142.30000000000001</v>
      </c>
      <c r="AA264" s="5">
        <v>152.5</v>
      </c>
      <c r="AB264" s="30">
        <v>149.9</v>
      </c>
      <c r="AC264" s="30">
        <v>140.9</v>
      </c>
      <c r="AD264" s="31">
        <v>149.63333333333335</v>
      </c>
      <c r="AE264" s="26">
        <v>1</v>
      </c>
    </row>
    <row r="265" spans="1:31">
      <c r="A265" s="11" t="s">
        <v>69</v>
      </c>
      <c r="B265" s="5">
        <v>2020</v>
      </c>
      <c r="C265" s="5" t="s">
        <v>73</v>
      </c>
      <c r="D265" s="5">
        <v>149.14999999999998</v>
      </c>
      <c r="E265" s="5">
        <v>184.13333333333333</v>
      </c>
      <c r="F265" s="5">
        <v>150.10000000000002</v>
      </c>
      <c r="G265" s="5">
        <v>154.44999999999999</v>
      </c>
      <c r="H265" s="5">
        <v>135.69999999999999</v>
      </c>
      <c r="I265" s="5">
        <v>148.55000000000001</v>
      </c>
      <c r="J265" s="5">
        <v>162.55000000000001</v>
      </c>
      <c r="K265" s="5">
        <v>150.65</v>
      </c>
      <c r="L265" s="5">
        <v>117.25</v>
      </c>
      <c r="M265" s="5">
        <v>158.30000000000001</v>
      </c>
      <c r="N265" s="5">
        <v>138.10000000000002</v>
      </c>
      <c r="O265" s="5">
        <v>161.06666666666666</v>
      </c>
      <c r="P265" s="5">
        <v>152.69999999999999</v>
      </c>
      <c r="Q265" s="5">
        <v>179.4</v>
      </c>
      <c r="R265" s="5">
        <v>152.06666666666666</v>
      </c>
      <c r="S265" s="5">
        <v>143.56666666666666</v>
      </c>
      <c r="T265" s="5">
        <v>150.86666666666667</v>
      </c>
      <c r="U265" s="5">
        <v>155.29999999999998</v>
      </c>
      <c r="V265" s="5">
        <v>143</v>
      </c>
      <c r="W265" s="5">
        <v>146.4</v>
      </c>
      <c r="X265" s="5">
        <v>152.55000000000001</v>
      </c>
      <c r="Y265" s="5">
        <v>133.30000000000001</v>
      </c>
      <c r="Z265" s="5">
        <v>146.76666666666668</v>
      </c>
      <c r="AA265" s="5">
        <v>156.30000000000001</v>
      </c>
      <c r="AB265" s="5">
        <v>149.46666666666667</v>
      </c>
      <c r="AC265" s="5">
        <v>145.93333333333334</v>
      </c>
      <c r="AD265" s="12">
        <v>150.73333333333335</v>
      </c>
      <c r="AE265" s="26">
        <v>1</v>
      </c>
    </row>
    <row r="266" spans="1:31">
      <c r="A266" s="11" t="s">
        <v>65</v>
      </c>
      <c r="B266" s="5">
        <v>2020</v>
      </c>
      <c r="C266" s="5" t="s">
        <v>74</v>
      </c>
      <c r="D266" s="5">
        <v>148.19999999999999</v>
      </c>
      <c r="E266" s="5">
        <v>190.3</v>
      </c>
      <c r="F266" s="5">
        <v>149.4</v>
      </c>
      <c r="G266" s="5">
        <v>153.30000000000001</v>
      </c>
      <c r="H266" s="5">
        <v>138.19999999999999</v>
      </c>
      <c r="I266" s="5">
        <v>143.19999999999999</v>
      </c>
      <c r="J266" s="5">
        <v>148.9</v>
      </c>
      <c r="K266" s="5">
        <v>150.30000000000001</v>
      </c>
      <c r="L266" s="5">
        <v>113.2</v>
      </c>
      <c r="M266" s="5">
        <v>159.80000000000001</v>
      </c>
      <c r="N266" s="5">
        <v>142.1</v>
      </c>
      <c r="O266" s="5">
        <v>161.80000000000001</v>
      </c>
      <c r="P266" s="5">
        <v>152.30000000000001</v>
      </c>
      <c r="Q266" s="5">
        <v>182.4</v>
      </c>
      <c r="R266" s="5">
        <v>154.69999999999999</v>
      </c>
      <c r="S266" s="5">
        <v>150</v>
      </c>
      <c r="T266" s="5">
        <v>154.1</v>
      </c>
      <c r="U266" s="5" t="s">
        <v>67</v>
      </c>
      <c r="V266" s="5">
        <v>144.9</v>
      </c>
      <c r="W266" s="5">
        <v>151.69999999999999</v>
      </c>
      <c r="X266" s="5">
        <v>158.19999999999999</v>
      </c>
      <c r="Y266" s="5">
        <v>141.4</v>
      </c>
      <c r="Z266" s="5">
        <v>153.19999999999999</v>
      </c>
      <c r="AA266" s="5">
        <v>161.80000000000001</v>
      </c>
      <c r="AB266" s="5">
        <v>151.19999999999999</v>
      </c>
      <c r="AC266" s="5">
        <v>151.69999999999999</v>
      </c>
      <c r="AD266" s="12">
        <v>152.69999999999999</v>
      </c>
      <c r="AE266" s="26">
        <v>1</v>
      </c>
    </row>
    <row r="267" spans="1:31">
      <c r="A267" s="11" t="s">
        <v>68</v>
      </c>
      <c r="B267" s="5">
        <v>2020</v>
      </c>
      <c r="C267" s="5" t="s">
        <v>74</v>
      </c>
      <c r="D267" s="5">
        <v>152.69999999999999</v>
      </c>
      <c r="E267" s="5">
        <v>197</v>
      </c>
      <c r="F267" s="5">
        <v>154.6</v>
      </c>
      <c r="G267" s="5">
        <v>153.4</v>
      </c>
      <c r="H267" s="5">
        <v>132.9</v>
      </c>
      <c r="I267" s="5">
        <v>151.80000000000001</v>
      </c>
      <c r="J267" s="5">
        <v>171.2</v>
      </c>
      <c r="K267" s="5">
        <v>152</v>
      </c>
      <c r="L267" s="5">
        <v>116.3</v>
      </c>
      <c r="M267" s="5">
        <v>158.80000000000001</v>
      </c>
      <c r="N267" s="5">
        <v>135.6</v>
      </c>
      <c r="O267" s="5">
        <v>161.69999999999999</v>
      </c>
      <c r="P267" s="5">
        <v>157</v>
      </c>
      <c r="Q267" s="5">
        <v>186.7</v>
      </c>
      <c r="R267" s="5">
        <v>149.1</v>
      </c>
      <c r="S267" s="5">
        <v>136.6</v>
      </c>
      <c r="T267" s="5">
        <v>147.19999999999999</v>
      </c>
      <c r="U267" s="5">
        <v>154.69999999999999</v>
      </c>
      <c r="V267" s="5">
        <v>137.1</v>
      </c>
      <c r="W267" s="5">
        <v>140.4</v>
      </c>
      <c r="X267" s="5">
        <v>148.1</v>
      </c>
      <c r="Y267" s="5">
        <v>129.30000000000001</v>
      </c>
      <c r="Z267" s="5">
        <v>144.5</v>
      </c>
      <c r="AA267" s="5">
        <v>152.5</v>
      </c>
      <c r="AB267" s="5">
        <v>152.19999999999999</v>
      </c>
      <c r="AC267" s="5">
        <v>142</v>
      </c>
      <c r="AD267" s="12">
        <v>150.80000000000001</v>
      </c>
      <c r="AE267" s="26">
        <v>1</v>
      </c>
    </row>
    <row r="268" spans="1:31">
      <c r="A268" s="11" t="s">
        <v>69</v>
      </c>
      <c r="B268" s="5">
        <v>2020</v>
      </c>
      <c r="C268" s="5" t="s">
        <v>74</v>
      </c>
      <c r="D268" s="5">
        <v>149.6</v>
      </c>
      <c r="E268" s="5">
        <v>192.7</v>
      </c>
      <c r="F268" s="5">
        <v>151.4</v>
      </c>
      <c r="G268" s="5">
        <v>153.30000000000001</v>
      </c>
      <c r="H268" s="5">
        <v>136.30000000000001</v>
      </c>
      <c r="I268" s="5">
        <v>147.19999999999999</v>
      </c>
      <c r="J268" s="5">
        <v>156.5</v>
      </c>
      <c r="K268" s="5">
        <v>150.9</v>
      </c>
      <c r="L268" s="5">
        <v>114.2</v>
      </c>
      <c r="M268" s="5">
        <v>159.5</v>
      </c>
      <c r="N268" s="5">
        <v>139.4</v>
      </c>
      <c r="O268" s="5">
        <v>161.80000000000001</v>
      </c>
      <c r="P268" s="5">
        <v>154</v>
      </c>
      <c r="Q268" s="5">
        <v>183.5</v>
      </c>
      <c r="R268" s="5">
        <v>152.5</v>
      </c>
      <c r="S268" s="5">
        <v>144.4</v>
      </c>
      <c r="T268" s="5">
        <v>151.4</v>
      </c>
      <c r="U268" s="5">
        <v>154.69999999999999</v>
      </c>
      <c r="V268" s="5">
        <v>141.9</v>
      </c>
      <c r="W268" s="5">
        <v>146.4</v>
      </c>
      <c r="X268" s="5">
        <v>154.4</v>
      </c>
      <c r="Y268" s="5">
        <v>135</v>
      </c>
      <c r="Z268" s="5">
        <v>148.30000000000001</v>
      </c>
      <c r="AA268" s="5">
        <v>156.4</v>
      </c>
      <c r="AB268" s="5">
        <v>151.6</v>
      </c>
      <c r="AC268" s="5">
        <v>147</v>
      </c>
      <c r="AD268" s="12">
        <v>151.80000000000001</v>
      </c>
      <c r="AE268" s="26">
        <v>1</v>
      </c>
    </row>
    <row r="269" spans="1:31">
      <c r="A269" s="11" t="s">
        <v>65</v>
      </c>
      <c r="B269" s="5">
        <v>2020</v>
      </c>
      <c r="C269" s="5" t="s">
        <v>75</v>
      </c>
      <c r="D269" s="5">
        <v>148.19999999999999</v>
      </c>
      <c r="E269" s="5">
        <v>190.3</v>
      </c>
      <c r="F269" s="5">
        <v>149.4</v>
      </c>
      <c r="G269" s="5">
        <v>153.30000000000001</v>
      </c>
      <c r="H269" s="5">
        <v>138.19999999999999</v>
      </c>
      <c r="I269" s="5">
        <v>143.19999999999999</v>
      </c>
      <c r="J269" s="5">
        <v>148.9</v>
      </c>
      <c r="K269" s="5">
        <v>150.30000000000001</v>
      </c>
      <c r="L269" s="5">
        <v>113.2</v>
      </c>
      <c r="M269" s="5">
        <v>159.80000000000001</v>
      </c>
      <c r="N269" s="5">
        <v>142.1</v>
      </c>
      <c r="O269" s="5">
        <v>161.80000000000001</v>
      </c>
      <c r="P269" s="5">
        <v>152.30000000000001</v>
      </c>
      <c r="Q269" s="5">
        <v>182.4</v>
      </c>
      <c r="R269" s="5">
        <v>154.69999999999999</v>
      </c>
      <c r="S269" s="5">
        <v>150</v>
      </c>
      <c r="T269" s="5">
        <v>154.1</v>
      </c>
      <c r="U269" s="5" t="s">
        <v>67</v>
      </c>
      <c r="V269" s="5">
        <v>144.9</v>
      </c>
      <c r="W269" s="5">
        <v>151.69999999999999</v>
      </c>
      <c r="X269" s="5">
        <v>158.19999999999999</v>
      </c>
      <c r="Y269" s="5">
        <v>141.4</v>
      </c>
      <c r="Z269" s="5">
        <v>153.19999999999999</v>
      </c>
      <c r="AA269" s="5">
        <v>161.80000000000001</v>
      </c>
      <c r="AB269" s="5">
        <v>151.19999999999999</v>
      </c>
      <c r="AC269" s="5">
        <v>151.69999999999999</v>
      </c>
      <c r="AD269" s="12">
        <v>152.69999999999999</v>
      </c>
      <c r="AE269" s="26">
        <v>1</v>
      </c>
    </row>
    <row r="270" spans="1:31">
      <c r="A270" s="11" t="s">
        <v>68</v>
      </c>
      <c r="B270" s="5">
        <v>2020</v>
      </c>
      <c r="C270" s="5" t="s">
        <v>75</v>
      </c>
      <c r="D270" s="5">
        <v>152.69999999999999</v>
      </c>
      <c r="E270" s="5">
        <v>197</v>
      </c>
      <c r="F270" s="5">
        <v>154.6</v>
      </c>
      <c r="G270" s="5">
        <v>153.4</v>
      </c>
      <c r="H270" s="5">
        <v>132.9</v>
      </c>
      <c r="I270" s="5">
        <v>151.80000000000001</v>
      </c>
      <c r="J270" s="5">
        <v>171.2</v>
      </c>
      <c r="K270" s="5">
        <v>152</v>
      </c>
      <c r="L270" s="5">
        <v>116.3</v>
      </c>
      <c r="M270" s="5">
        <v>158.80000000000001</v>
      </c>
      <c r="N270" s="5">
        <v>135.6</v>
      </c>
      <c r="O270" s="5">
        <v>161.69999999999999</v>
      </c>
      <c r="P270" s="5">
        <v>157</v>
      </c>
      <c r="Q270" s="5">
        <v>186.7</v>
      </c>
      <c r="R270" s="5">
        <v>149.1</v>
      </c>
      <c r="S270" s="5">
        <v>136.6</v>
      </c>
      <c r="T270" s="5">
        <v>147.19999999999999</v>
      </c>
      <c r="U270" s="5">
        <v>154.69999999999999</v>
      </c>
      <c r="V270" s="5">
        <v>137.1</v>
      </c>
      <c r="W270" s="5">
        <v>140.4</v>
      </c>
      <c r="X270" s="5">
        <v>148.1</v>
      </c>
      <c r="Y270" s="5">
        <v>129.30000000000001</v>
      </c>
      <c r="Z270" s="5">
        <v>144.5</v>
      </c>
      <c r="AA270" s="5">
        <v>152.5</v>
      </c>
      <c r="AB270" s="5">
        <v>152.19999999999999</v>
      </c>
      <c r="AC270" s="5">
        <v>142</v>
      </c>
      <c r="AD270" s="12">
        <v>150.80000000000001</v>
      </c>
      <c r="AE270" s="26">
        <v>1</v>
      </c>
    </row>
    <row r="271" spans="1:31">
      <c r="A271" s="11" t="s">
        <v>69</v>
      </c>
      <c r="B271" s="5">
        <v>2020</v>
      </c>
      <c r="C271" s="5" t="s">
        <v>75</v>
      </c>
      <c r="D271" s="5">
        <v>149.6</v>
      </c>
      <c r="E271" s="5">
        <v>192.7</v>
      </c>
      <c r="F271" s="5">
        <v>151.4</v>
      </c>
      <c r="G271" s="5">
        <v>153.30000000000001</v>
      </c>
      <c r="H271" s="5">
        <v>136.30000000000001</v>
      </c>
      <c r="I271" s="5">
        <v>147.19999999999999</v>
      </c>
      <c r="J271" s="5">
        <v>156.5</v>
      </c>
      <c r="K271" s="5">
        <v>150.9</v>
      </c>
      <c r="L271" s="5">
        <v>114.2</v>
      </c>
      <c r="M271" s="5">
        <v>159.5</v>
      </c>
      <c r="N271" s="5">
        <v>139.4</v>
      </c>
      <c r="O271" s="5">
        <v>161.80000000000001</v>
      </c>
      <c r="P271" s="5">
        <v>154</v>
      </c>
      <c r="Q271" s="5">
        <v>183.5</v>
      </c>
      <c r="R271" s="5">
        <v>152.5</v>
      </c>
      <c r="S271" s="5">
        <v>144.4</v>
      </c>
      <c r="T271" s="5">
        <v>151.4</v>
      </c>
      <c r="U271" s="5">
        <v>154.69999999999999</v>
      </c>
      <c r="V271" s="5">
        <v>141.9</v>
      </c>
      <c r="W271" s="5">
        <v>146.4</v>
      </c>
      <c r="X271" s="5">
        <v>154.4</v>
      </c>
      <c r="Y271" s="5">
        <v>135</v>
      </c>
      <c r="Z271" s="5">
        <v>148.30000000000001</v>
      </c>
      <c r="AA271" s="5">
        <v>156.4</v>
      </c>
      <c r="AB271" s="5">
        <v>151.6</v>
      </c>
      <c r="AC271" s="5">
        <v>147</v>
      </c>
      <c r="AD271" s="12">
        <v>151.80000000000001</v>
      </c>
      <c r="AE271" s="26">
        <v>1</v>
      </c>
    </row>
    <row r="272" spans="1:31">
      <c r="A272" s="11" t="s">
        <v>65</v>
      </c>
      <c r="B272" s="5">
        <v>2020</v>
      </c>
      <c r="C272" s="5" t="s">
        <v>76</v>
      </c>
      <c r="D272" s="5">
        <v>147.6</v>
      </c>
      <c r="E272" s="5">
        <v>187.2</v>
      </c>
      <c r="F272" s="5">
        <v>148.4</v>
      </c>
      <c r="G272" s="5">
        <v>153.30000000000001</v>
      </c>
      <c r="H272" s="5">
        <v>139.80000000000001</v>
      </c>
      <c r="I272" s="5">
        <v>146.9</v>
      </c>
      <c r="J272" s="5">
        <v>171</v>
      </c>
      <c r="K272" s="5">
        <v>149.9</v>
      </c>
      <c r="L272" s="5">
        <v>114.2</v>
      </c>
      <c r="M272" s="5">
        <v>160</v>
      </c>
      <c r="N272" s="5">
        <v>143.5</v>
      </c>
      <c r="O272" s="5">
        <v>161.5</v>
      </c>
      <c r="P272" s="5">
        <v>155.30000000000001</v>
      </c>
      <c r="Q272" s="5">
        <v>180.9</v>
      </c>
      <c r="R272" s="5">
        <v>155.1</v>
      </c>
      <c r="S272" s="5">
        <v>149.30000000000001</v>
      </c>
      <c r="T272" s="5">
        <v>154.30000000000001</v>
      </c>
      <c r="U272" s="5" t="s">
        <v>67</v>
      </c>
      <c r="V272" s="5">
        <v>145.80000000000001</v>
      </c>
      <c r="W272" s="5">
        <v>151.9</v>
      </c>
      <c r="X272" s="5">
        <v>158.80000000000001</v>
      </c>
      <c r="Y272" s="5">
        <v>143.6</v>
      </c>
      <c r="Z272" s="5">
        <v>152.19999999999999</v>
      </c>
      <c r="AA272" s="5">
        <v>162.69999999999999</v>
      </c>
      <c r="AB272" s="5">
        <v>153.6</v>
      </c>
      <c r="AC272" s="5">
        <v>153</v>
      </c>
      <c r="AD272" s="12">
        <v>154.69999999999999</v>
      </c>
      <c r="AE272" s="26">
        <v>1</v>
      </c>
    </row>
    <row r="273" spans="1:31">
      <c r="A273" s="11" t="s">
        <v>68</v>
      </c>
      <c r="B273" s="5">
        <v>2020</v>
      </c>
      <c r="C273" s="5" t="s">
        <v>76</v>
      </c>
      <c r="D273" s="5">
        <v>151.6</v>
      </c>
      <c r="E273" s="5">
        <v>197.8</v>
      </c>
      <c r="F273" s="5">
        <v>154.5</v>
      </c>
      <c r="G273" s="5">
        <v>153.4</v>
      </c>
      <c r="H273" s="5">
        <v>133.4</v>
      </c>
      <c r="I273" s="5">
        <v>154.5</v>
      </c>
      <c r="J273" s="5">
        <v>191.9</v>
      </c>
      <c r="K273" s="5">
        <v>151.30000000000001</v>
      </c>
      <c r="L273" s="5">
        <v>116.8</v>
      </c>
      <c r="M273" s="5">
        <v>160</v>
      </c>
      <c r="N273" s="5">
        <v>136.5</v>
      </c>
      <c r="O273" s="5">
        <v>163.30000000000001</v>
      </c>
      <c r="P273" s="5">
        <v>159.9</v>
      </c>
      <c r="Q273" s="5">
        <v>187.2</v>
      </c>
      <c r="R273" s="5">
        <v>150</v>
      </c>
      <c r="S273" s="5">
        <v>135.19999999999999</v>
      </c>
      <c r="T273" s="5">
        <v>147.80000000000001</v>
      </c>
      <c r="U273" s="5">
        <v>155.5</v>
      </c>
      <c r="V273" s="5">
        <v>138.30000000000001</v>
      </c>
      <c r="W273" s="5">
        <v>144.5</v>
      </c>
      <c r="X273" s="5">
        <v>148.69999999999999</v>
      </c>
      <c r="Y273" s="5">
        <v>133.9</v>
      </c>
      <c r="Z273" s="5">
        <v>141.19999999999999</v>
      </c>
      <c r="AA273" s="5">
        <v>155.5</v>
      </c>
      <c r="AB273" s="5">
        <v>155.19999999999999</v>
      </c>
      <c r="AC273" s="5">
        <v>144.80000000000001</v>
      </c>
      <c r="AD273" s="12">
        <v>152.9</v>
      </c>
      <c r="AE273" s="26">
        <v>1</v>
      </c>
    </row>
    <row r="274" spans="1:31">
      <c r="A274" s="11" t="s">
        <v>69</v>
      </c>
      <c r="B274" s="5">
        <v>2020</v>
      </c>
      <c r="C274" s="5" t="s">
        <v>76</v>
      </c>
      <c r="D274" s="5">
        <v>148.9</v>
      </c>
      <c r="E274" s="5">
        <v>190.9</v>
      </c>
      <c r="F274" s="5">
        <v>150.80000000000001</v>
      </c>
      <c r="G274" s="5">
        <v>153.30000000000001</v>
      </c>
      <c r="H274" s="5">
        <v>137.4</v>
      </c>
      <c r="I274" s="5">
        <v>150.4</v>
      </c>
      <c r="J274" s="5">
        <v>178.1</v>
      </c>
      <c r="K274" s="5">
        <v>150.4</v>
      </c>
      <c r="L274" s="5">
        <v>115.1</v>
      </c>
      <c r="M274" s="5">
        <v>160</v>
      </c>
      <c r="N274" s="5">
        <v>140.6</v>
      </c>
      <c r="O274" s="5">
        <v>162.30000000000001</v>
      </c>
      <c r="P274" s="5">
        <v>157</v>
      </c>
      <c r="Q274" s="5">
        <v>182.6</v>
      </c>
      <c r="R274" s="5">
        <v>153.1</v>
      </c>
      <c r="S274" s="5">
        <v>143.4</v>
      </c>
      <c r="T274" s="5">
        <v>151.69999999999999</v>
      </c>
      <c r="U274" s="5">
        <v>155.5</v>
      </c>
      <c r="V274" s="5">
        <v>143</v>
      </c>
      <c r="W274" s="5">
        <v>148.4</v>
      </c>
      <c r="X274" s="5">
        <v>155</v>
      </c>
      <c r="Y274" s="5">
        <v>138.5</v>
      </c>
      <c r="Z274" s="5">
        <v>146</v>
      </c>
      <c r="AA274" s="5">
        <v>158.5</v>
      </c>
      <c r="AB274" s="5">
        <v>154.30000000000001</v>
      </c>
      <c r="AC274" s="5">
        <v>149</v>
      </c>
      <c r="AD274" s="12">
        <v>153.9</v>
      </c>
      <c r="AE274" s="26">
        <v>1</v>
      </c>
    </row>
    <row r="275" spans="1:31">
      <c r="A275" s="11" t="s">
        <v>65</v>
      </c>
      <c r="B275" s="5">
        <v>2020</v>
      </c>
      <c r="C275" s="5" t="s">
        <v>77</v>
      </c>
      <c r="D275" s="5">
        <v>146.9</v>
      </c>
      <c r="E275" s="5">
        <v>183.9</v>
      </c>
      <c r="F275" s="5">
        <v>149.5</v>
      </c>
      <c r="G275" s="5">
        <v>153.4</v>
      </c>
      <c r="H275" s="5">
        <v>140.4</v>
      </c>
      <c r="I275" s="5">
        <v>147</v>
      </c>
      <c r="J275" s="5">
        <v>178.8</v>
      </c>
      <c r="K275" s="5">
        <v>149.30000000000001</v>
      </c>
      <c r="L275" s="5">
        <v>115.1</v>
      </c>
      <c r="M275" s="5">
        <v>160</v>
      </c>
      <c r="N275" s="5">
        <v>145.4</v>
      </c>
      <c r="O275" s="5">
        <v>161.6</v>
      </c>
      <c r="P275" s="5">
        <v>156.1</v>
      </c>
      <c r="Q275" s="5">
        <v>182.9</v>
      </c>
      <c r="R275" s="5">
        <v>155.4</v>
      </c>
      <c r="S275" s="5">
        <v>149.9</v>
      </c>
      <c r="T275" s="5">
        <v>154.6</v>
      </c>
      <c r="U275" s="5" t="s">
        <v>67</v>
      </c>
      <c r="V275" s="5">
        <v>146.4</v>
      </c>
      <c r="W275" s="5">
        <v>151.6</v>
      </c>
      <c r="X275" s="5">
        <v>159.1</v>
      </c>
      <c r="Y275" s="5">
        <v>144.6</v>
      </c>
      <c r="Z275" s="5">
        <v>152.80000000000001</v>
      </c>
      <c r="AA275" s="5">
        <v>161.1</v>
      </c>
      <c r="AB275" s="5">
        <v>157.4</v>
      </c>
      <c r="AC275" s="5">
        <v>153.69999999999999</v>
      </c>
      <c r="AD275" s="12">
        <v>155.4</v>
      </c>
      <c r="AE275" s="26">
        <v>1</v>
      </c>
    </row>
    <row r="276" spans="1:31">
      <c r="A276" s="11" t="s">
        <v>68</v>
      </c>
      <c r="B276" s="5">
        <v>2020</v>
      </c>
      <c r="C276" s="5" t="s">
        <v>77</v>
      </c>
      <c r="D276" s="5">
        <v>151.5</v>
      </c>
      <c r="E276" s="5">
        <v>193.1</v>
      </c>
      <c r="F276" s="5">
        <v>157.30000000000001</v>
      </c>
      <c r="G276" s="5">
        <v>153.9</v>
      </c>
      <c r="H276" s="5">
        <v>134.4</v>
      </c>
      <c r="I276" s="5">
        <v>155.4</v>
      </c>
      <c r="J276" s="5">
        <v>202</v>
      </c>
      <c r="K276" s="5">
        <v>150.80000000000001</v>
      </c>
      <c r="L276" s="5">
        <v>118.9</v>
      </c>
      <c r="M276" s="5">
        <v>160.9</v>
      </c>
      <c r="N276" s="5">
        <v>137.69999999999999</v>
      </c>
      <c r="O276" s="5">
        <v>164.4</v>
      </c>
      <c r="P276" s="5">
        <v>161.30000000000001</v>
      </c>
      <c r="Q276" s="5">
        <v>188.7</v>
      </c>
      <c r="R276" s="5">
        <v>150.19999999999999</v>
      </c>
      <c r="S276" s="5">
        <v>136.30000000000001</v>
      </c>
      <c r="T276" s="5">
        <v>148.1</v>
      </c>
      <c r="U276" s="5">
        <v>156.30000000000001</v>
      </c>
      <c r="V276" s="5">
        <v>137.19999999999999</v>
      </c>
      <c r="W276" s="5">
        <v>145.4</v>
      </c>
      <c r="X276" s="5">
        <v>150</v>
      </c>
      <c r="Y276" s="5">
        <v>135.1</v>
      </c>
      <c r="Z276" s="5">
        <v>141.80000000000001</v>
      </c>
      <c r="AA276" s="5">
        <v>154.9</v>
      </c>
      <c r="AB276" s="5">
        <v>159.80000000000001</v>
      </c>
      <c r="AC276" s="5">
        <v>146</v>
      </c>
      <c r="AD276" s="12">
        <v>154</v>
      </c>
      <c r="AE276" s="26">
        <v>1</v>
      </c>
    </row>
    <row r="277" spans="1:31">
      <c r="A277" s="11" t="s">
        <v>69</v>
      </c>
      <c r="B277" s="5">
        <v>2020</v>
      </c>
      <c r="C277" s="5" t="s">
        <v>77</v>
      </c>
      <c r="D277" s="5">
        <v>148.4</v>
      </c>
      <c r="E277" s="5">
        <v>187.1</v>
      </c>
      <c r="F277" s="5">
        <v>152.5</v>
      </c>
      <c r="G277" s="5">
        <v>153.6</v>
      </c>
      <c r="H277" s="5">
        <v>138.19999999999999</v>
      </c>
      <c r="I277" s="5">
        <v>150.9</v>
      </c>
      <c r="J277" s="5">
        <v>186.7</v>
      </c>
      <c r="K277" s="5">
        <v>149.80000000000001</v>
      </c>
      <c r="L277" s="5">
        <v>116.4</v>
      </c>
      <c r="M277" s="5">
        <v>160.30000000000001</v>
      </c>
      <c r="N277" s="5">
        <v>142.19999999999999</v>
      </c>
      <c r="O277" s="5">
        <v>162.9</v>
      </c>
      <c r="P277" s="5">
        <v>158</v>
      </c>
      <c r="Q277" s="5">
        <v>184.4</v>
      </c>
      <c r="R277" s="5">
        <v>153.4</v>
      </c>
      <c r="S277" s="5">
        <v>144.30000000000001</v>
      </c>
      <c r="T277" s="5">
        <v>152</v>
      </c>
      <c r="U277" s="5">
        <v>156.30000000000001</v>
      </c>
      <c r="V277" s="5">
        <v>142.9</v>
      </c>
      <c r="W277" s="5">
        <v>148.69999999999999</v>
      </c>
      <c r="X277" s="5">
        <v>155.6</v>
      </c>
      <c r="Y277" s="5">
        <v>139.6</v>
      </c>
      <c r="Z277" s="5">
        <v>146.6</v>
      </c>
      <c r="AA277" s="5">
        <v>157.5</v>
      </c>
      <c r="AB277" s="5">
        <v>158.4</v>
      </c>
      <c r="AC277" s="5">
        <v>150</v>
      </c>
      <c r="AD277" s="12">
        <v>154.69999999999999</v>
      </c>
      <c r="AE277" s="26">
        <v>1</v>
      </c>
    </row>
    <row r="278" spans="1:31">
      <c r="A278" s="11" t="s">
        <v>65</v>
      </c>
      <c r="B278" s="5">
        <v>2020</v>
      </c>
      <c r="C278" s="5" t="s">
        <v>78</v>
      </c>
      <c r="D278" s="5">
        <v>146</v>
      </c>
      <c r="E278" s="5">
        <v>186.3</v>
      </c>
      <c r="F278" s="5">
        <v>159.19999999999999</v>
      </c>
      <c r="G278" s="5">
        <v>153.6</v>
      </c>
      <c r="H278" s="5">
        <v>142.6</v>
      </c>
      <c r="I278" s="5">
        <v>147.19999999999999</v>
      </c>
      <c r="J278" s="5">
        <v>200.6</v>
      </c>
      <c r="K278" s="5">
        <v>150.30000000000001</v>
      </c>
      <c r="L278" s="5">
        <v>115.3</v>
      </c>
      <c r="M278" s="5">
        <v>160.9</v>
      </c>
      <c r="N278" s="5">
        <v>147.4</v>
      </c>
      <c r="O278" s="5">
        <v>161.9</v>
      </c>
      <c r="P278" s="5">
        <v>159.6</v>
      </c>
      <c r="Q278" s="5">
        <v>182.7</v>
      </c>
      <c r="R278" s="5">
        <v>155.69999999999999</v>
      </c>
      <c r="S278" s="5">
        <v>150.6</v>
      </c>
      <c r="T278" s="5">
        <v>155</v>
      </c>
      <c r="U278" s="5" t="s">
        <v>67</v>
      </c>
      <c r="V278" s="5">
        <v>146.80000000000001</v>
      </c>
      <c r="W278" s="5">
        <v>152</v>
      </c>
      <c r="X278" s="5">
        <v>159.5</v>
      </c>
      <c r="Y278" s="5">
        <v>146.4</v>
      </c>
      <c r="Z278" s="5">
        <v>152.4</v>
      </c>
      <c r="AA278" s="5">
        <v>162.5</v>
      </c>
      <c r="AB278" s="5">
        <v>156.19999999999999</v>
      </c>
      <c r="AC278" s="5">
        <v>154.30000000000001</v>
      </c>
      <c r="AD278" s="12">
        <v>157.5</v>
      </c>
      <c r="AE278" s="26">
        <v>1</v>
      </c>
    </row>
    <row r="279" spans="1:31">
      <c r="A279" s="11" t="s">
        <v>68</v>
      </c>
      <c r="B279" s="5">
        <v>2020</v>
      </c>
      <c r="C279" s="5" t="s">
        <v>78</v>
      </c>
      <c r="D279" s="5">
        <v>150.6</v>
      </c>
      <c r="E279" s="5">
        <v>193.7</v>
      </c>
      <c r="F279" s="5">
        <v>164.8</v>
      </c>
      <c r="G279" s="5">
        <v>153.69999999999999</v>
      </c>
      <c r="H279" s="5">
        <v>135.69999999999999</v>
      </c>
      <c r="I279" s="5">
        <v>155.69999999999999</v>
      </c>
      <c r="J279" s="5">
        <v>226</v>
      </c>
      <c r="K279" s="5">
        <v>152.19999999999999</v>
      </c>
      <c r="L279" s="5">
        <v>118.1</v>
      </c>
      <c r="M279" s="5">
        <v>161.30000000000001</v>
      </c>
      <c r="N279" s="5">
        <v>139.19999999999999</v>
      </c>
      <c r="O279" s="5">
        <v>164.8</v>
      </c>
      <c r="P279" s="5">
        <v>164.4</v>
      </c>
      <c r="Q279" s="5">
        <v>188.7</v>
      </c>
      <c r="R279" s="5">
        <v>150.5</v>
      </c>
      <c r="S279" s="5">
        <v>136.1</v>
      </c>
      <c r="T279" s="5">
        <v>148.30000000000001</v>
      </c>
      <c r="U279" s="5">
        <v>156.5</v>
      </c>
      <c r="V279" s="5">
        <v>137.1</v>
      </c>
      <c r="W279" s="5">
        <v>145.1</v>
      </c>
      <c r="X279" s="5">
        <v>151</v>
      </c>
      <c r="Y279" s="5">
        <v>135.4</v>
      </c>
      <c r="Z279" s="5">
        <v>142</v>
      </c>
      <c r="AA279" s="5">
        <v>155.69999999999999</v>
      </c>
      <c r="AB279" s="5">
        <v>158.1</v>
      </c>
      <c r="AC279" s="5">
        <v>146.19999999999999</v>
      </c>
      <c r="AD279" s="12">
        <v>155.19999999999999</v>
      </c>
      <c r="AE279" s="26">
        <v>1</v>
      </c>
    </row>
    <row r="280" spans="1:31">
      <c r="A280" s="11" t="s">
        <v>69</v>
      </c>
      <c r="B280" s="5">
        <v>2020</v>
      </c>
      <c r="C280" s="5" t="s">
        <v>78</v>
      </c>
      <c r="D280" s="5">
        <v>147.5</v>
      </c>
      <c r="E280" s="5">
        <v>188.9</v>
      </c>
      <c r="F280" s="5">
        <v>161.4</v>
      </c>
      <c r="G280" s="5">
        <v>153.6</v>
      </c>
      <c r="H280" s="5">
        <v>140.1</v>
      </c>
      <c r="I280" s="5">
        <v>151.19999999999999</v>
      </c>
      <c r="J280" s="5">
        <v>209.2</v>
      </c>
      <c r="K280" s="5">
        <v>150.9</v>
      </c>
      <c r="L280" s="5">
        <v>116.2</v>
      </c>
      <c r="M280" s="5">
        <v>161</v>
      </c>
      <c r="N280" s="5">
        <v>144</v>
      </c>
      <c r="O280" s="5">
        <v>163.19999999999999</v>
      </c>
      <c r="P280" s="5">
        <v>161.4</v>
      </c>
      <c r="Q280" s="5">
        <v>184.3</v>
      </c>
      <c r="R280" s="5">
        <v>153.69999999999999</v>
      </c>
      <c r="S280" s="5">
        <v>144.6</v>
      </c>
      <c r="T280" s="5">
        <v>152.30000000000001</v>
      </c>
      <c r="U280" s="5">
        <v>156.5</v>
      </c>
      <c r="V280" s="5">
        <v>143.1</v>
      </c>
      <c r="W280" s="5">
        <v>148.69999999999999</v>
      </c>
      <c r="X280" s="5">
        <v>156.30000000000001</v>
      </c>
      <c r="Y280" s="5">
        <v>140.6</v>
      </c>
      <c r="Z280" s="5">
        <v>146.5</v>
      </c>
      <c r="AA280" s="5">
        <v>158.5</v>
      </c>
      <c r="AB280" s="5">
        <v>157</v>
      </c>
      <c r="AC280" s="5">
        <v>150.4</v>
      </c>
      <c r="AD280" s="12">
        <v>156.4</v>
      </c>
      <c r="AE280" s="26">
        <v>1</v>
      </c>
    </row>
    <row r="281" spans="1:31">
      <c r="A281" s="11" t="s">
        <v>65</v>
      </c>
      <c r="B281" s="5">
        <v>2020</v>
      </c>
      <c r="C281" s="5" t="s">
        <v>79</v>
      </c>
      <c r="D281" s="5">
        <v>145.4</v>
      </c>
      <c r="E281" s="5">
        <v>188.6</v>
      </c>
      <c r="F281" s="5">
        <v>171.6</v>
      </c>
      <c r="G281" s="5">
        <v>153.80000000000001</v>
      </c>
      <c r="H281" s="5">
        <v>145.4</v>
      </c>
      <c r="I281" s="5">
        <v>146.5</v>
      </c>
      <c r="J281" s="5">
        <v>222.2</v>
      </c>
      <c r="K281" s="5">
        <v>155.9</v>
      </c>
      <c r="L281" s="5">
        <v>114.9</v>
      </c>
      <c r="M281" s="5">
        <v>162</v>
      </c>
      <c r="N281" s="5">
        <v>150</v>
      </c>
      <c r="O281" s="5">
        <v>162.69999999999999</v>
      </c>
      <c r="P281" s="5">
        <v>163.4</v>
      </c>
      <c r="Q281" s="5">
        <v>183.4</v>
      </c>
      <c r="R281" s="5">
        <v>156.30000000000001</v>
      </c>
      <c r="S281" s="5">
        <v>151</v>
      </c>
      <c r="T281" s="5">
        <v>155.5</v>
      </c>
      <c r="U281" s="5" t="s">
        <v>67</v>
      </c>
      <c r="V281" s="5">
        <v>147.5</v>
      </c>
      <c r="W281" s="5">
        <v>152.80000000000001</v>
      </c>
      <c r="X281" s="5">
        <v>160.4</v>
      </c>
      <c r="Y281" s="5">
        <v>146.1</v>
      </c>
      <c r="Z281" s="5">
        <v>153.6</v>
      </c>
      <c r="AA281" s="5">
        <v>161.6</v>
      </c>
      <c r="AB281" s="5">
        <v>156.19999999999999</v>
      </c>
      <c r="AC281" s="5">
        <v>154.5</v>
      </c>
      <c r="AD281" s="12">
        <v>159.80000000000001</v>
      </c>
      <c r="AE281" s="26">
        <v>1</v>
      </c>
    </row>
    <row r="282" spans="1:31">
      <c r="A282" s="11" t="s">
        <v>68</v>
      </c>
      <c r="B282" s="5">
        <v>2020</v>
      </c>
      <c r="C282" s="5" t="s">
        <v>79</v>
      </c>
      <c r="D282" s="5">
        <v>149.69999999999999</v>
      </c>
      <c r="E282" s="5">
        <v>195.5</v>
      </c>
      <c r="F282" s="5">
        <v>176.9</v>
      </c>
      <c r="G282" s="5">
        <v>153.9</v>
      </c>
      <c r="H282" s="5">
        <v>138</v>
      </c>
      <c r="I282" s="5">
        <v>150.5</v>
      </c>
      <c r="J282" s="5">
        <v>245.3</v>
      </c>
      <c r="K282" s="5">
        <v>158.69999999999999</v>
      </c>
      <c r="L282" s="5">
        <v>117.2</v>
      </c>
      <c r="M282" s="5">
        <v>161.4</v>
      </c>
      <c r="N282" s="5">
        <v>141.5</v>
      </c>
      <c r="O282" s="5">
        <v>165.1</v>
      </c>
      <c r="P282" s="5">
        <v>167</v>
      </c>
      <c r="Q282" s="5">
        <v>188.8</v>
      </c>
      <c r="R282" s="5">
        <v>151.1</v>
      </c>
      <c r="S282" s="5">
        <v>136.4</v>
      </c>
      <c r="T282" s="5">
        <v>148.80000000000001</v>
      </c>
      <c r="U282" s="5">
        <v>158</v>
      </c>
      <c r="V282" s="5">
        <v>137.30000000000001</v>
      </c>
      <c r="W282" s="5">
        <v>145.1</v>
      </c>
      <c r="X282" s="5">
        <v>152</v>
      </c>
      <c r="Y282" s="5">
        <v>135.19999999999999</v>
      </c>
      <c r="Z282" s="5">
        <v>144.4</v>
      </c>
      <c r="AA282" s="5">
        <v>156.4</v>
      </c>
      <c r="AB282" s="5">
        <v>157.9</v>
      </c>
      <c r="AC282" s="5">
        <v>146.6</v>
      </c>
      <c r="AD282" s="12">
        <v>156.69999999999999</v>
      </c>
      <c r="AE282" s="26">
        <v>1</v>
      </c>
    </row>
    <row r="283" spans="1:31">
      <c r="A283" s="11" t="s">
        <v>69</v>
      </c>
      <c r="B283" s="5">
        <v>2020</v>
      </c>
      <c r="C283" s="5" t="s">
        <v>79</v>
      </c>
      <c r="D283" s="5">
        <v>146.80000000000001</v>
      </c>
      <c r="E283" s="5">
        <v>191</v>
      </c>
      <c r="F283" s="5">
        <v>173.6</v>
      </c>
      <c r="G283" s="5">
        <v>153.80000000000001</v>
      </c>
      <c r="H283" s="5">
        <v>142.69999999999999</v>
      </c>
      <c r="I283" s="5">
        <v>148.4</v>
      </c>
      <c r="J283" s="5">
        <v>230</v>
      </c>
      <c r="K283" s="5">
        <v>156.80000000000001</v>
      </c>
      <c r="L283" s="5">
        <v>115.7</v>
      </c>
      <c r="M283" s="5">
        <v>161.80000000000001</v>
      </c>
      <c r="N283" s="5">
        <v>146.5</v>
      </c>
      <c r="O283" s="5">
        <v>163.80000000000001</v>
      </c>
      <c r="P283" s="5">
        <v>164.7</v>
      </c>
      <c r="Q283" s="5">
        <v>184.8</v>
      </c>
      <c r="R283" s="5">
        <v>154.30000000000001</v>
      </c>
      <c r="S283" s="5">
        <v>144.9</v>
      </c>
      <c r="T283" s="5">
        <v>152.80000000000001</v>
      </c>
      <c r="U283" s="5">
        <v>158</v>
      </c>
      <c r="V283" s="5">
        <v>143.6</v>
      </c>
      <c r="W283" s="5">
        <v>149.19999999999999</v>
      </c>
      <c r="X283" s="5">
        <v>157.19999999999999</v>
      </c>
      <c r="Y283" s="5">
        <v>140.4</v>
      </c>
      <c r="Z283" s="5">
        <v>148.4</v>
      </c>
      <c r="AA283" s="5">
        <v>158.6</v>
      </c>
      <c r="AB283" s="5">
        <v>156.9</v>
      </c>
      <c r="AC283" s="5">
        <v>150.69999999999999</v>
      </c>
      <c r="AD283" s="12">
        <v>158.4</v>
      </c>
      <c r="AE283" s="26">
        <v>1</v>
      </c>
    </row>
    <row r="284" spans="1:31">
      <c r="A284" s="11" t="s">
        <v>65</v>
      </c>
      <c r="B284" s="5">
        <v>2020</v>
      </c>
      <c r="C284" s="5" t="s">
        <v>80</v>
      </c>
      <c r="D284" s="5">
        <v>144.6</v>
      </c>
      <c r="E284" s="5">
        <v>188.5</v>
      </c>
      <c r="F284" s="5">
        <v>173.4</v>
      </c>
      <c r="G284" s="5">
        <v>154</v>
      </c>
      <c r="H284" s="5">
        <v>150</v>
      </c>
      <c r="I284" s="5">
        <v>145.9</v>
      </c>
      <c r="J284" s="5">
        <v>225.2</v>
      </c>
      <c r="K284" s="5">
        <v>159.5</v>
      </c>
      <c r="L284" s="5">
        <v>114.4</v>
      </c>
      <c r="M284" s="5">
        <v>163.5</v>
      </c>
      <c r="N284" s="5">
        <v>153.4</v>
      </c>
      <c r="O284" s="5">
        <v>163.6</v>
      </c>
      <c r="P284" s="5">
        <v>164.5</v>
      </c>
      <c r="Q284" s="5">
        <v>183.6</v>
      </c>
      <c r="R284" s="5">
        <v>157</v>
      </c>
      <c r="S284" s="5">
        <v>151.6</v>
      </c>
      <c r="T284" s="5">
        <v>156.30000000000001</v>
      </c>
      <c r="U284" s="5" t="s">
        <v>67</v>
      </c>
      <c r="V284" s="5">
        <v>148.69999999999999</v>
      </c>
      <c r="W284" s="5">
        <v>153.4</v>
      </c>
      <c r="X284" s="5">
        <v>161.6</v>
      </c>
      <c r="Y284" s="5">
        <v>146.4</v>
      </c>
      <c r="Z284" s="5">
        <v>153.9</v>
      </c>
      <c r="AA284" s="5">
        <v>162.9</v>
      </c>
      <c r="AB284" s="5">
        <v>156.6</v>
      </c>
      <c r="AC284" s="5">
        <v>155.19999999999999</v>
      </c>
      <c r="AD284" s="12">
        <v>160.69999999999999</v>
      </c>
      <c r="AE284" s="26">
        <v>1</v>
      </c>
    </row>
    <row r="285" spans="1:31">
      <c r="A285" s="11" t="s">
        <v>68</v>
      </c>
      <c r="B285" s="5">
        <v>2020</v>
      </c>
      <c r="C285" s="5" t="s">
        <v>80</v>
      </c>
      <c r="D285" s="5">
        <v>149</v>
      </c>
      <c r="E285" s="5">
        <v>195.7</v>
      </c>
      <c r="F285" s="5">
        <v>178.3</v>
      </c>
      <c r="G285" s="5">
        <v>154.19999999999999</v>
      </c>
      <c r="H285" s="5">
        <v>140.69999999999999</v>
      </c>
      <c r="I285" s="5">
        <v>149.69999999999999</v>
      </c>
      <c r="J285" s="5">
        <v>240.9</v>
      </c>
      <c r="K285" s="5">
        <v>161.5</v>
      </c>
      <c r="L285" s="5">
        <v>117.1</v>
      </c>
      <c r="M285" s="5">
        <v>161.9</v>
      </c>
      <c r="N285" s="5">
        <v>143.30000000000001</v>
      </c>
      <c r="O285" s="5">
        <v>166.1</v>
      </c>
      <c r="P285" s="5">
        <v>167</v>
      </c>
      <c r="Q285" s="5">
        <v>190.2</v>
      </c>
      <c r="R285" s="5">
        <v>151.9</v>
      </c>
      <c r="S285" s="5">
        <v>136.69999999999999</v>
      </c>
      <c r="T285" s="5">
        <v>149.6</v>
      </c>
      <c r="U285" s="5">
        <v>158.4</v>
      </c>
      <c r="V285" s="5">
        <v>137.9</v>
      </c>
      <c r="W285" s="5">
        <v>145.5</v>
      </c>
      <c r="X285" s="5">
        <v>152.9</v>
      </c>
      <c r="Y285" s="5">
        <v>135.5</v>
      </c>
      <c r="Z285" s="5">
        <v>144.30000000000001</v>
      </c>
      <c r="AA285" s="5">
        <v>156.9</v>
      </c>
      <c r="AB285" s="5">
        <v>157.9</v>
      </c>
      <c r="AC285" s="5">
        <v>146.9</v>
      </c>
      <c r="AD285" s="12">
        <v>156.9</v>
      </c>
      <c r="AE285" s="26">
        <v>1</v>
      </c>
    </row>
    <row r="286" spans="1:31">
      <c r="A286" s="11" t="s">
        <v>69</v>
      </c>
      <c r="B286" s="5">
        <v>2020</v>
      </c>
      <c r="C286" s="5" t="s">
        <v>80</v>
      </c>
      <c r="D286" s="5">
        <v>146</v>
      </c>
      <c r="E286" s="5">
        <v>191</v>
      </c>
      <c r="F286" s="5">
        <v>175.3</v>
      </c>
      <c r="G286" s="5">
        <v>154.1</v>
      </c>
      <c r="H286" s="5">
        <v>146.6</v>
      </c>
      <c r="I286" s="5">
        <v>147.69999999999999</v>
      </c>
      <c r="J286" s="5">
        <v>230.5</v>
      </c>
      <c r="K286" s="5">
        <v>160.19999999999999</v>
      </c>
      <c r="L286" s="5">
        <v>115.3</v>
      </c>
      <c r="M286" s="5">
        <v>163</v>
      </c>
      <c r="N286" s="5">
        <v>149.19999999999999</v>
      </c>
      <c r="O286" s="5">
        <v>164.8</v>
      </c>
      <c r="P286" s="5">
        <v>165.4</v>
      </c>
      <c r="Q286" s="5">
        <v>185.4</v>
      </c>
      <c r="R286" s="5">
        <v>155</v>
      </c>
      <c r="S286" s="5">
        <v>145.4</v>
      </c>
      <c r="T286" s="5">
        <v>153.6</v>
      </c>
      <c r="U286" s="5">
        <v>158.4</v>
      </c>
      <c r="V286" s="5">
        <v>144.6</v>
      </c>
      <c r="W286" s="5">
        <v>149.69999999999999</v>
      </c>
      <c r="X286" s="5">
        <v>158.30000000000001</v>
      </c>
      <c r="Y286" s="5">
        <v>140.69999999999999</v>
      </c>
      <c r="Z286" s="5">
        <v>148.5</v>
      </c>
      <c r="AA286" s="5">
        <v>159.4</v>
      </c>
      <c r="AB286" s="5">
        <v>157.1</v>
      </c>
      <c r="AC286" s="5">
        <v>151.19999999999999</v>
      </c>
      <c r="AD286" s="12">
        <v>158.9</v>
      </c>
      <c r="AE286" s="26">
        <v>1</v>
      </c>
    </row>
    <row r="287" spans="1:31">
      <c r="A287" s="11" t="s">
        <v>65</v>
      </c>
      <c r="B287" s="5">
        <v>2021</v>
      </c>
      <c r="C287" s="5" t="s">
        <v>66</v>
      </c>
      <c r="D287" s="5">
        <v>143.4</v>
      </c>
      <c r="E287" s="5">
        <v>187.5</v>
      </c>
      <c r="F287" s="5">
        <v>173.4</v>
      </c>
      <c r="G287" s="5">
        <v>154</v>
      </c>
      <c r="H287" s="5">
        <v>154.80000000000001</v>
      </c>
      <c r="I287" s="5">
        <v>147</v>
      </c>
      <c r="J287" s="5">
        <v>187.8</v>
      </c>
      <c r="K287" s="5">
        <v>159.5</v>
      </c>
      <c r="L287" s="5">
        <v>113.8</v>
      </c>
      <c r="M287" s="5">
        <v>164.5</v>
      </c>
      <c r="N287" s="5">
        <v>156.1</v>
      </c>
      <c r="O287" s="5">
        <v>164.3</v>
      </c>
      <c r="P287" s="5">
        <v>159.6</v>
      </c>
      <c r="Q287" s="5">
        <v>184.6</v>
      </c>
      <c r="R287" s="5">
        <v>157.5</v>
      </c>
      <c r="S287" s="5">
        <v>152.4</v>
      </c>
      <c r="T287" s="5">
        <v>156.80000000000001</v>
      </c>
      <c r="U287" s="5" t="s">
        <v>67</v>
      </c>
      <c r="V287" s="5">
        <v>150.9</v>
      </c>
      <c r="W287" s="5">
        <v>153.9</v>
      </c>
      <c r="X287" s="5">
        <v>162.5</v>
      </c>
      <c r="Y287" s="5">
        <v>147.5</v>
      </c>
      <c r="Z287" s="5">
        <v>155.1</v>
      </c>
      <c r="AA287" s="5">
        <v>163.5</v>
      </c>
      <c r="AB287" s="5">
        <v>156.19999999999999</v>
      </c>
      <c r="AC287" s="5">
        <v>155.9</v>
      </c>
      <c r="AD287" s="12">
        <v>158.5</v>
      </c>
      <c r="AE287" s="26">
        <v>1</v>
      </c>
    </row>
    <row r="288" spans="1:31">
      <c r="A288" s="11" t="s">
        <v>68</v>
      </c>
      <c r="B288" s="5">
        <v>2021</v>
      </c>
      <c r="C288" s="5" t="s">
        <v>66</v>
      </c>
      <c r="D288" s="5">
        <v>148</v>
      </c>
      <c r="E288" s="5">
        <v>194.8</v>
      </c>
      <c r="F288" s="5">
        <v>178.4</v>
      </c>
      <c r="G288" s="5">
        <v>154.4</v>
      </c>
      <c r="H288" s="5">
        <v>144.1</v>
      </c>
      <c r="I288" s="5">
        <v>152.6</v>
      </c>
      <c r="J288" s="5">
        <v>206.8</v>
      </c>
      <c r="K288" s="5">
        <v>162.1</v>
      </c>
      <c r="L288" s="5">
        <v>116.3</v>
      </c>
      <c r="M288" s="5">
        <v>163</v>
      </c>
      <c r="N288" s="5">
        <v>145.9</v>
      </c>
      <c r="O288" s="5">
        <v>167.2</v>
      </c>
      <c r="P288" s="5">
        <v>163.4</v>
      </c>
      <c r="Q288" s="5">
        <v>191.8</v>
      </c>
      <c r="R288" s="5">
        <v>152.5</v>
      </c>
      <c r="S288" s="5">
        <v>137.30000000000001</v>
      </c>
      <c r="T288" s="5">
        <v>150.19999999999999</v>
      </c>
      <c r="U288" s="5">
        <v>157.69999999999999</v>
      </c>
      <c r="V288" s="5">
        <v>142.9</v>
      </c>
      <c r="W288" s="5">
        <v>145.69999999999999</v>
      </c>
      <c r="X288" s="5">
        <v>154.1</v>
      </c>
      <c r="Y288" s="5">
        <v>136.9</v>
      </c>
      <c r="Z288" s="5">
        <v>145.4</v>
      </c>
      <c r="AA288" s="5">
        <v>156.1</v>
      </c>
      <c r="AB288" s="5">
        <v>157.69999999999999</v>
      </c>
      <c r="AC288" s="5">
        <v>147.6</v>
      </c>
      <c r="AD288" s="12">
        <v>156</v>
      </c>
      <c r="AE288" s="26">
        <v>1</v>
      </c>
    </row>
    <row r="289" spans="1:31">
      <c r="A289" s="11" t="s">
        <v>69</v>
      </c>
      <c r="B289" s="5">
        <v>2021</v>
      </c>
      <c r="C289" s="5" t="s">
        <v>66</v>
      </c>
      <c r="D289" s="5">
        <v>144.9</v>
      </c>
      <c r="E289" s="5">
        <v>190.1</v>
      </c>
      <c r="F289" s="5">
        <v>175.3</v>
      </c>
      <c r="G289" s="5">
        <v>154.1</v>
      </c>
      <c r="H289" s="5">
        <v>150.9</v>
      </c>
      <c r="I289" s="5">
        <v>149.6</v>
      </c>
      <c r="J289" s="5">
        <v>194.2</v>
      </c>
      <c r="K289" s="5">
        <v>160.4</v>
      </c>
      <c r="L289" s="5">
        <v>114.6</v>
      </c>
      <c r="M289" s="5">
        <v>164</v>
      </c>
      <c r="N289" s="5">
        <v>151.80000000000001</v>
      </c>
      <c r="O289" s="5">
        <v>165.6</v>
      </c>
      <c r="P289" s="5">
        <v>161</v>
      </c>
      <c r="Q289" s="5">
        <v>186.5</v>
      </c>
      <c r="R289" s="5">
        <v>155.5</v>
      </c>
      <c r="S289" s="5">
        <v>146.1</v>
      </c>
      <c r="T289" s="5">
        <v>154.19999999999999</v>
      </c>
      <c r="U289" s="5">
        <v>157.69999999999999</v>
      </c>
      <c r="V289" s="5">
        <v>147.9</v>
      </c>
      <c r="W289" s="5">
        <v>150</v>
      </c>
      <c r="X289" s="5">
        <v>159.30000000000001</v>
      </c>
      <c r="Y289" s="5">
        <v>141.9</v>
      </c>
      <c r="Z289" s="5">
        <v>149.6</v>
      </c>
      <c r="AA289" s="5">
        <v>159.19999999999999</v>
      </c>
      <c r="AB289" s="5">
        <v>156.80000000000001</v>
      </c>
      <c r="AC289" s="5">
        <v>151.9</v>
      </c>
      <c r="AD289" s="12">
        <v>157.30000000000001</v>
      </c>
      <c r="AE289" s="26">
        <v>1</v>
      </c>
    </row>
    <row r="290" spans="1:31">
      <c r="A290" s="11" t="s">
        <v>65</v>
      </c>
      <c r="B290" s="5">
        <v>2021</v>
      </c>
      <c r="C290" s="5" t="s">
        <v>70</v>
      </c>
      <c r="D290" s="5">
        <v>142.80000000000001</v>
      </c>
      <c r="E290" s="5">
        <v>184</v>
      </c>
      <c r="F290" s="5">
        <v>168</v>
      </c>
      <c r="G290" s="5">
        <v>154.4</v>
      </c>
      <c r="H290" s="5">
        <v>163</v>
      </c>
      <c r="I290" s="5">
        <v>147.80000000000001</v>
      </c>
      <c r="J290" s="5">
        <v>149.69999999999999</v>
      </c>
      <c r="K290" s="5">
        <v>158.30000000000001</v>
      </c>
      <c r="L290" s="5">
        <v>111.8</v>
      </c>
      <c r="M290" s="5">
        <v>165</v>
      </c>
      <c r="N290" s="5">
        <v>160</v>
      </c>
      <c r="O290" s="5">
        <v>165.8</v>
      </c>
      <c r="P290" s="5">
        <v>154.69999999999999</v>
      </c>
      <c r="Q290" s="5">
        <v>186.5</v>
      </c>
      <c r="R290" s="5">
        <v>159.1</v>
      </c>
      <c r="S290" s="5">
        <v>153.9</v>
      </c>
      <c r="T290" s="5">
        <v>158.4</v>
      </c>
      <c r="U290" s="5" t="s">
        <v>67</v>
      </c>
      <c r="V290" s="5">
        <v>154.4</v>
      </c>
      <c r="W290" s="5">
        <v>154.80000000000001</v>
      </c>
      <c r="X290" s="5">
        <v>164.3</v>
      </c>
      <c r="Y290" s="5">
        <v>150.19999999999999</v>
      </c>
      <c r="Z290" s="5">
        <v>157</v>
      </c>
      <c r="AA290" s="5">
        <v>163.6</v>
      </c>
      <c r="AB290" s="5">
        <v>155.19999999999999</v>
      </c>
      <c r="AC290" s="5">
        <v>157.19999999999999</v>
      </c>
      <c r="AD290" s="12">
        <v>156.69999999999999</v>
      </c>
      <c r="AE290" s="26">
        <v>1</v>
      </c>
    </row>
    <row r="291" spans="1:31">
      <c r="A291" s="11" t="s">
        <v>68</v>
      </c>
      <c r="B291" s="5">
        <v>2021</v>
      </c>
      <c r="C291" s="5" t="s">
        <v>70</v>
      </c>
      <c r="D291" s="5">
        <v>147.6</v>
      </c>
      <c r="E291" s="5">
        <v>191.2</v>
      </c>
      <c r="F291" s="5">
        <v>169.9</v>
      </c>
      <c r="G291" s="5">
        <v>155.1</v>
      </c>
      <c r="H291" s="5">
        <v>151.4</v>
      </c>
      <c r="I291" s="5">
        <v>154</v>
      </c>
      <c r="J291" s="5">
        <v>180.2</v>
      </c>
      <c r="K291" s="5">
        <v>159.80000000000001</v>
      </c>
      <c r="L291" s="5">
        <v>114.9</v>
      </c>
      <c r="M291" s="5">
        <v>162.5</v>
      </c>
      <c r="N291" s="5">
        <v>149.19999999999999</v>
      </c>
      <c r="O291" s="5">
        <v>169.4</v>
      </c>
      <c r="P291" s="5">
        <v>160.80000000000001</v>
      </c>
      <c r="Q291" s="5">
        <v>193.3</v>
      </c>
      <c r="R291" s="5">
        <v>154.19999999999999</v>
      </c>
      <c r="S291" s="5">
        <v>138.19999999999999</v>
      </c>
      <c r="T291" s="5">
        <v>151.80000000000001</v>
      </c>
      <c r="U291" s="5">
        <v>159.80000000000001</v>
      </c>
      <c r="V291" s="5">
        <v>149.1</v>
      </c>
      <c r="W291" s="5">
        <v>146.5</v>
      </c>
      <c r="X291" s="5">
        <v>156.30000000000001</v>
      </c>
      <c r="Y291" s="5">
        <v>140.5</v>
      </c>
      <c r="Z291" s="5">
        <v>147.30000000000001</v>
      </c>
      <c r="AA291" s="5">
        <v>156.6</v>
      </c>
      <c r="AB291" s="5">
        <v>156.69999999999999</v>
      </c>
      <c r="AC291" s="5">
        <v>149.30000000000001</v>
      </c>
      <c r="AD291" s="12">
        <v>156.5</v>
      </c>
      <c r="AE291" s="26">
        <v>1</v>
      </c>
    </row>
    <row r="292" spans="1:31">
      <c r="A292" s="11" t="s">
        <v>69</v>
      </c>
      <c r="B292" s="5">
        <v>2021</v>
      </c>
      <c r="C292" s="5" t="s">
        <v>70</v>
      </c>
      <c r="D292" s="5">
        <v>144.30000000000001</v>
      </c>
      <c r="E292" s="5">
        <v>186.5</v>
      </c>
      <c r="F292" s="5">
        <v>168.7</v>
      </c>
      <c r="G292" s="5">
        <v>154.69999999999999</v>
      </c>
      <c r="H292" s="5">
        <v>158.69999999999999</v>
      </c>
      <c r="I292" s="5">
        <v>150.69999999999999</v>
      </c>
      <c r="J292" s="5">
        <v>160</v>
      </c>
      <c r="K292" s="5">
        <v>158.80000000000001</v>
      </c>
      <c r="L292" s="5">
        <v>112.8</v>
      </c>
      <c r="M292" s="5">
        <v>164.2</v>
      </c>
      <c r="N292" s="5">
        <v>155.5</v>
      </c>
      <c r="O292" s="5">
        <v>167.5</v>
      </c>
      <c r="P292" s="5">
        <v>156.9</v>
      </c>
      <c r="Q292" s="5">
        <v>188.3</v>
      </c>
      <c r="R292" s="5">
        <v>157.19999999999999</v>
      </c>
      <c r="S292" s="5">
        <v>147.4</v>
      </c>
      <c r="T292" s="5">
        <v>155.80000000000001</v>
      </c>
      <c r="U292" s="7">
        <v>159.80000000000001</v>
      </c>
      <c r="V292" s="5">
        <v>152.4</v>
      </c>
      <c r="W292" s="5">
        <v>150.9</v>
      </c>
      <c r="X292" s="5">
        <v>161.30000000000001</v>
      </c>
      <c r="Y292" s="5">
        <v>145.1</v>
      </c>
      <c r="Z292" s="5">
        <v>151.5</v>
      </c>
      <c r="AA292" s="5">
        <v>159.5</v>
      </c>
      <c r="AB292" s="5">
        <v>155.80000000000001</v>
      </c>
      <c r="AC292" s="5">
        <v>153.4</v>
      </c>
      <c r="AD292" s="12">
        <v>156.6</v>
      </c>
      <c r="AE292" s="26">
        <v>1</v>
      </c>
    </row>
    <row r="293" spans="1:31">
      <c r="A293" s="11" t="s">
        <v>65</v>
      </c>
      <c r="B293" s="5">
        <v>2021</v>
      </c>
      <c r="C293" s="5" t="s">
        <v>71</v>
      </c>
      <c r="D293" s="5">
        <v>142.5</v>
      </c>
      <c r="E293" s="5">
        <v>189.4</v>
      </c>
      <c r="F293" s="5">
        <v>163.19999999999999</v>
      </c>
      <c r="G293" s="5">
        <v>154.5</v>
      </c>
      <c r="H293" s="5">
        <v>168.2</v>
      </c>
      <c r="I293" s="5">
        <v>150.5</v>
      </c>
      <c r="J293" s="5">
        <v>141</v>
      </c>
      <c r="K293" s="5">
        <v>159.19999999999999</v>
      </c>
      <c r="L293" s="5">
        <v>111.7</v>
      </c>
      <c r="M293" s="5">
        <v>164</v>
      </c>
      <c r="N293" s="5">
        <v>160.6</v>
      </c>
      <c r="O293" s="5">
        <v>166.4</v>
      </c>
      <c r="P293" s="5">
        <v>154.5</v>
      </c>
      <c r="Q293" s="5">
        <v>186.1</v>
      </c>
      <c r="R293" s="5">
        <v>159.6</v>
      </c>
      <c r="S293" s="5">
        <v>154.4</v>
      </c>
      <c r="T293" s="5">
        <v>158.9</v>
      </c>
      <c r="U293" s="5" t="s">
        <v>82</v>
      </c>
      <c r="V293" s="5">
        <v>156</v>
      </c>
      <c r="W293" s="5">
        <v>154.80000000000001</v>
      </c>
      <c r="X293" s="5">
        <v>164.6</v>
      </c>
      <c r="Y293" s="5">
        <v>151.30000000000001</v>
      </c>
      <c r="Z293" s="5">
        <v>157.80000000000001</v>
      </c>
      <c r="AA293" s="5">
        <v>163.80000000000001</v>
      </c>
      <c r="AB293" s="5">
        <v>153.1</v>
      </c>
      <c r="AC293" s="5">
        <v>157.30000000000001</v>
      </c>
      <c r="AD293" s="12">
        <v>156.69999999999999</v>
      </c>
      <c r="AE293" s="26">
        <v>1</v>
      </c>
    </row>
    <row r="294" spans="1:31">
      <c r="A294" s="11" t="s">
        <v>68</v>
      </c>
      <c r="B294" s="5">
        <v>2021</v>
      </c>
      <c r="C294" s="5" t="s">
        <v>71</v>
      </c>
      <c r="D294" s="5">
        <v>147.5</v>
      </c>
      <c r="E294" s="5">
        <v>197.5</v>
      </c>
      <c r="F294" s="5">
        <v>164.7</v>
      </c>
      <c r="G294" s="5">
        <v>155.6</v>
      </c>
      <c r="H294" s="5">
        <v>156.4</v>
      </c>
      <c r="I294" s="5">
        <v>157.30000000000001</v>
      </c>
      <c r="J294" s="5">
        <v>166.1</v>
      </c>
      <c r="K294" s="5">
        <v>161.1</v>
      </c>
      <c r="L294" s="5">
        <v>114.3</v>
      </c>
      <c r="M294" s="5">
        <v>162.6</v>
      </c>
      <c r="N294" s="5">
        <v>150.69999999999999</v>
      </c>
      <c r="O294" s="5">
        <v>170.3</v>
      </c>
      <c r="P294" s="5">
        <v>160.4</v>
      </c>
      <c r="Q294" s="5">
        <v>193.5</v>
      </c>
      <c r="R294" s="5">
        <v>155.1</v>
      </c>
      <c r="S294" s="5">
        <v>138.69999999999999</v>
      </c>
      <c r="T294" s="5">
        <v>152.6</v>
      </c>
      <c r="U294" s="5">
        <v>159.9</v>
      </c>
      <c r="V294" s="5">
        <v>154.80000000000001</v>
      </c>
      <c r="W294" s="5">
        <v>147.19999999999999</v>
      </c>
      <c r="X294" s="5">
        <v>156.9</v>
      </c>
      <c r="Y294" s="5">
        <v>141.69999999999999</v>
      </c>
      <c r="Z294" s="5">
        <v>148.6</v>
      </c>
      <c r="AA294" s="5">
        <v>157.6</v>
      </c>
      <c r="AB294" s="5">
        <v>154.9</v>
      </c>
      <c r="AC294" s="5">
        <v>150</v>
      </c>
      <c r="AD294" s="12">
        <v>156.9</v>
      </c>
      <c r="AE294" s="26">
        <v>1</v>
      </c>
    </row>
    <row r="295" spans="1:31">
      <c r="A295" s="11" t="s">
        <v>69</v>
      </c>
      <c r="B295" s="5">
        <v>2021</v>
      </c>
      <c r="C295" s="5" t="s">
        <v>71</v>
      </c>
      <c r="D295" s="5">
        <v>144.1</v>
      </c>
      <c r="E295" s="5">
        <v>192.2</v>
      </c>
      <c r="F295" s="5">
        <v>163.80000000000001</v>
      </c>
      <c r="G295" s="5">
        <v>154.9</v>
      </c>
      <c r="H295" s="5">
        <v>163.9</v>
      </c>
      <c r="I295" s="5">
        <v>153.69999999999999</v>
      </c>
      <c r="J295" s="5">
        <v>149.5</v>
      </c>
      <c r="K295" s="5">
        <v>159.80000000000001</v>
      </c>
      <c r="L295" s="5">
        <v>112.6</v>
      </c>
      <c r="M295" s="5">
        <v>163.5</v>
      </c>
      <c r="N295" s="5">
        <v>156.5</v>
      </c>
      <c r="O295" s="5">
        <v>168.2</v>
      </c>
      <c r="P295" s="5">
        <v>156.69999999999999</v>
      </c>
      <c r="Q295" s="5">
        <v>188.1</v>
      </c>
      <c r="R295" s="5">
        <v>157.80000000000001</v>
      </c>
      <c r="S295" s="5">
        <v>147.9</v>
      </c>
      <c r="T295" s="5">
        <v>156.4</v>
      </c>
      <c r="U295" s="7">
        <v>159.9</v>
      </c>
      <c r="V295" s="5">
        <v>155.5</v>
      </c>
      <c r="W295" s="5">
        <v>151.19999999999999</v>
      </c>
      <c r="X295" s="5">
        <v>161.69999999999999</v>
      </c>
      <c r="Y295" s="5">
        <v>146.19999999999999</v>
      </c>
      <c r="Z295" s="5">
        <v>152.6</v>
      </c>
      <c r="AA295" s="5">
        <v>160.19999999999999</v>
      </c>
      <c r="AB295" s="5">
        <v>153.80000000000001</v>
      </c>
      <c r="AC295" s="5">
        <v>153.80000000000001</v>
      </c>
      <c r="AD295" s="12">
        <v>156.80000000000001</v>
      </c>
      <c r="AE295" s="26">
        <v>1</v>
      </c>
    </row>
    <row r="296" spans="1:31">
      <c r="A296" s="11" t="s">
        <v>65</v>
      </c>
      <c r="B296" s="5">
        <v>2021</v>
      </c>
      <c r="C296" s="5" t="s">
        <v>72</v>
      </c>
      <c r="D296" s="5">
        <v>142.69999999999999</v>
      </c>
      <c r="E296" s="5">
        <v>195.5</v>
      </c>
      <c r="F296" s="5">
        <v>163.4</v>
      </c>
      <c r="G296" s="5">
        <v>155</v>
      </c>
      <c r="H296" s="5">
        <v>175.2</v>
      </c>
      <c r="I296" s="5">
        <v>160.6</v>
      </c>
      <c r="J296" s="5">
        <v>135.1</v>
      </c>
      <c r="K296" s="5">
        <v>161.1</v>
      </c>
      <c r="L296" s="5">
        <v>112.2</v>
      </c>
      <c r="M296" s="5">
        <v>164.4</v>
      </c>
      <c r="N296" s="5">
        <v>161.9</v>
      </c>
      <c r="O296" s="5">
        <v>166.8</v>
      </c>
      <c r="P296" s="5">
        <v>155.6</v>
      </c>
      <c r="Q296" s="5">
        <v>186.8</v>
      </c>
      <c r="R296" s="5">
        <v>160.69999999999999</v>
      </c>
      <c r="S296" s="5">
        <v>155.1</v>
      </c>
      <c r="T296" s="5">
        <v>159.9</v>
      </c>
      <c r="U296" s="5" t="s">
        <v>82</v>
      </c>
      <c r="V296" s="5">
        <v>156</v>
      </c>
      <c r="W296" s="5">
        <v>155.5</v>
      </c>
      <c r="X296" s="5">
        <v>165.3</v>
      </c>
      <c r="Y296" s="5">
        <v>151.69999999999999</v>
      </c>
      <c r="Z296" s="5">
        <v>158.6</v>
      </c>
      <c r="AA296" s="5">
        <v>164.1</v>
      </c>
      <c r="AB296" s="5">
        <v>154.6</v>
      </c>
      <c r="AC296" s="5">
        <v>158</v>
      </c>
      <c r="AD296" s="12">
        <v>157.6</v>
      </c>
      <c r="AE296" s="26">
        <v>1</v>
      </c>
    </row>
    <row r="297" spans="1:31">
      <c r="A297" s="11" t="s">
        <v>68</v>
      </c>
      <c r="B297" s="5">
        <v>2021</v>
      </c>
      <c r="C297" s="5" t="s">
        <v>72</v>
      </c>
      <c r="D297" s="5">
        <v>147.6</v>
      </c>
      <c r="E297" s="5">
        <v>202.5</v>
      </c>
      <c r="F297" s="5">
        <v>166.4</v>
      </c>
      <c r="G297" s="5">
        <v>156</v>
      </c>
      <c r="H297" s="5">
        <v>161.4</v>
      </c>
      <c r="I297" s="5">
        <v>168.8</v>
      </c>
      <c r="J297" s="5">
        <v>161.6</v>
      </c>
      <c r="K297" s="5">
        <v>162.80000000000001</v>
      </c>
      <c r="L297" s="5">
        <v>114.8</v>
      </c>
      <c r="M297" s="5">
        <v>162.80000000000001</v>
      </c>
      <c r="N297" s="5">
        <v>151.5</v>
      </c>
      <c r="O297" s="5">
        <v>171.4</v>
      </c>
      <c r="P297" s="5">
        <v>162</v>
      </c>
      <c r="Q297" s="5">
        <v>194.4</v>
      </c>
      <c r="R297" s="5">
        <v>155.9</v>
      </c>
      <c r="S297" s="5">
        <v>139.30000000000001</v>
      </c>
      <c r="T297" s="5">
        <v>153.4</v>
      </c>
      <c r="U297" s="5">
        <v>161.4</v>
      </c>
      <c r="V297" s="5">
        <v>154.9</v>
      </c>
      <c r="W297" s="5">
        <v>147.6</v>
      </c>
      <c r="X297" s="5">
        <v>157.5</v>
      </c>
      <c r="Y297" s="5">
        <v>142.1</v>
      </c>
      <c r="Z297" s="5">
        <v>149.1</v>
      </c>
      <c r="AA297" s="5">
        <v>157.6</v>
      </c>
      <c r="AB297" s="5">
        <v>156.6</v>
      </c>
      <c r="AC297" s="5">
        <v>150.5</v>
      </c>
      <c r="AD297" s="12">
        <v>158</v>
      </c>
      <c r="AE297" s="26">
        <v>1</v>
      </c>
    </row>
    <row r="298" spans="1:31">
      <c r="A298" s="11" t="s">
        <v>69</v>
      </c>
      <c r="B298" s="5">
        <v>2021</v>
      </c>
      <c r="C298" s="5" t="s">
        <v>72</v>
      </c>
      <c r="D298" s="5">
        <v>144.30000000000001</v>
      </c>
      <c r="E298" s="5">
        <v>198</v>
      </c>
      <c r="F298" s="5">
        <v>164.6</v>
      </c>
      <c r="G298" s="5">
        <v>155.4</v>
      </c>
      <c r="H298" s="5">
        <v>170.1</v>
      </c>
      <c r="I298" s="5">
        <v>164.4</v>
      </c>
      <c r="J298" s="5">
        <v>144.1</v>
      </c>
      <c r="K298" s="5">
        <v>161.69999999999999</v>
      </c>
      <c r="L298" s="5">
        <v>113.1</v>
      </c>
      <c r="M298" s="5">
        <v>163.9</v>
      </c>
      <c r="N298" s="5">
        <v>157.6</v>
      </c>
      <c r="O298" s="5">
        <v>168.9</v>
      </c>
      <c r="P298" s="5">
        <v>158</v>
      </c>
      <c r="Q298" s="5">
        <v>188.8</v>
      </c>
      <c r="R298" s="5">
        <v>158.80000000000001</v>
      </c>
      <c r="S298" s="5">
        <v>148.5</v>
      </c>
      <c r="T298" s="5">
        <v>157.30000000000001</v>
      </c>
      <c r="U298" s="5">
        <v>161.4</v>
      </c>
      <c r="V298" s="5">
        <v>155.6</v>
      </c>
      <c r="W298" s="5">
        <v>151.80000000000001</v>
      </c>
      <c r="X298" s="5">
        <v>162.30000000000001</v>
      </c>
      <c r="Y298" s="5">
        <v>146.6</v>
      </c>
      <c r="Z298" s="5">
        <v>153.19999999999999</v>
      </c>
      <c r="AA298" s="5">
        <v>160.30000000000001</v>
      </c>
      <c r="AB298" s="5">
        <v>155.4</v>
      </c>
      <c r="AC298" s="5">
        <v>154.4</v>
      </c>
      <c r="AD298" s="12">
        <v>157.80000000000001</v>
      </c>
      <c r="AE298" s="26">
        <v>1</v>
      </c>
    </row>
    <row r="299" spans="1:31">
      <c r="A299" s="11" t="s">
        <v>65</v>
      </c>
      <c r="B299" s="5">
        <v>2021</v>
      </c>
      <c r="C299" s="5" t="s">
        <v>73</v>
      </c>
      <c r="D299" s="5">
        <v>145.1</v>
      </c>
      <c r="E299" s="5">
        <v>198.5</v>
      </c>
      <c r="F299" s="5">
        <v>168.6</v>
      </c>
      <c r="G299" s="5">
        <v>155.80000000000001</v>
      </c>
      <c r="H299" s="5">
        <v>184.4</v>
      </c>
      <c r="I299" s="5">
        <v>162.30000000000001</v>
      </c>
      <c r="J299" s="5">
        <v>138.4</v>
      </c>
      <c r="K299" s="5">
        <v>165.1</v>
      </c>
      <c r="L299" s="5">
        <v>114.3</v>
      </c>
      <c r="M299" s="5">
        <v>169.7</v>
      </c>
      <c r="N299" s="5">
        <v>164.6</v>
      </c>
      <c r="O299" s="5">
        <v>169.8</v>
      </c>
      <c r="P299" s="5">
        <v>158.69999999999999</v>
      </c>
      <c r="Q299" s="5">
        <v>189.6</v>
      </c>
      <c r="R299" s="5">
        <v>165.3</v>
      </c>
      <c r="S299" s="5">
        <v>160.6</v>
      </c>
      <c r="T299" s="5">
        <v>164.5</v>
      </c>
      <c r="U299" s="5" t="s">
        <v>67</v>
      </c>
      <c r="V299" s="5">
        <v>161.69999999999999</v>
      </c>
      <c r="W299" s="5">
        <v>158.80000000000001</v>
      </c>
      <c r="X299" s="5">
        <v>169.1</v>
      </c>
      <c r="Y299" s="5">
        <v>153.19999999999999</v>
      </c>
      <c r="Z299" s="5">
        <v>160</v>
      </c>
      <c r="AA299" s="5">
        <v>167.6</v>
      </c>
      <c r="AB299" s="5">
        <v>159.30000000000001</v>
      </c>
      <c r="AC299" s="5">
        <v>161.1</v>
      </c>
      <c r="AD299" s="12">
        <v>161.1</v>
      </c>
      <c r="AE299" s="26">
        <v>1</v>
      </c>
    </row>
    <row r="300" spans="1:31">
      <c r="A300" s="11" t="s">
        <v>68</v>
      </c>
      <c r="B300" s="5">
        <v>2021</v>
      </c>
      <c r="C300" s="5" t="s">
        <v>73</v>
      </c>
      <c r="D300" s="5">
        <v>148.80000000000001</v>
      </c>
      <c r="E300" s="5">
        <v>204.3</v>
      </c>
      <c r="F300" s="5">
        <v>173</v>
      </c>
      <c r="G300" s="5">
        <v>156.5</v>
      </c>
      <c r="H300" s="5">
        <v>168.8</v>
      </c>
      <c r="I300" s="5">
        <v>172.5</v>
      </c>
      <c r="J300" s="5">
        <v>166.5</v>
      </c>
      <c r="K300" s="5">
        <v>165.9</v>
      </c>
      <c r="L300" s="5">
        <v>115.9</v>
      </c>
      <c r="M300" s="5">
        <v>165.2</v>
      </c>
      <c r="N300" s="5">
        <v>152</v>
      </c>
      <c r="O300" s="5">
        <v>171.1</v>
      </c>
      <c r="P300" s="5">
        <v>164.2</v>
      </c>
      <c r="Q300" s="5">
        <v>198.2</v>
      </c>
      <c r="R300" s="5">
        <v>156.5</v>
      </c>
      <c r="S300" s="5">
        <v>140.19999999999999</v>
      </c>
      <c r="T300" s="5">
        <v>154.1</v>
      </c>
      <c r="U300" s="5">
        <v>161.6</v>
      </c>
      <c r="V300" s="5">
        <v>155.5</v>
      </c>
      <c r="W300" s="5">
        <v>150.1</v>
      </c>
      <c r="X300" s="5">
        <v>160.4</v>
      </c>
      <c r="Y300" s="5">
        <v>145</v>
      </c>
      <c r="Z300" s="5">
        <v>152.6</v>
      </c>
      <c r="AA300" s="5">
        <v>156.6</v>
      </c>
      <c r="AB300" s="5">
        <v>157.5</v>
      </c>
      <c r="AC300" s="5">
        <v>152.30000000000001</v>
      </c>
      <c r="AD300" s="12">
        <v>159.5</v>
      </c>
      <c r="AE300" s="26">
        <v>1</v>
      </c>
    </row>
    <row r="301" spans="1:31">
      <c r="A301" s="11" t="s">
        <v>69</v>
      </c>
      <c r="B301" s="5">
        <v>2021</v>
      </c>
      <c r="C301" s="5" t="s">
        <v>73</v>
      </c>
      <c r="D301" s="5">
        <v>146.30000000000001</v>
      </c>
      <c r="E301" s="5">
        <v>200.5</v>
      </c>
      <c r="F301" s="5">
        <v>170.3</v>
      </c>
      <c r="G301" s="5">
        <v>156.1</v>
      </c>
      <c r="H301" s="5">
        <v>178.7</v>
      </c>
      <c r="I301" s="5">
        <v>167.1</v>
      </c>
      <c r="J301" s="5">
        <v>147.9</v>
      </c>
      <c r="K301" s="5">
        <v>165.4</v>
      </c>
      <c r="L301" s="5">
        <v>114.8</v>
      </c>
      <c r="M301" s="5">
        <v>168.2</v>
      </c>
      <c r="N301" s="5">
        <v>159.30000000000001</v>
      </c>
      <c r="O301" s="5">
        <v>170.4</v>
      </c>
      <c r="P301" s="5">
        <v>160.69999999999999</v>
      </c>
      <c r="Q301" s="5">
        <v>191.9</v>
      </c>
      <c r="R301" s="5">
        <v>161.80000000000001</v>
      </c>
      <c r="S301" s="5">
        <v>152.1</v>
      </c>
      <c r="T301" s="5">
        <v>160.4</v>
      </c>
      <c r="U301" s="5">
        <v>161.6</v>
      </c>
      <c r="V301" s="5">
        <v>159.4</v>
      </c>
      <c r="W301" s="5">
        <v>154.69999999999999</v>
      </c>
      <c r="X301" s="5">
        <v>165.8</v>
      </c>
      <c r="Y301" s="5">
        <v>148.9</v>
      </c>
      <c r="Z301" s="5">
        <v>155.80000000000001</v>
      </c>
      <c r="AA301" s="5">
        <v>161.19999999999999</v>
      </c>
      <c r="AB301" s="5">
        <v>158.6</v>
      </c>
      <c r="AC301" s="5">
        <v>156.80000000000001</v>
      </c>
      <c r="AD301" s="12">
        <v>160.4</v>
      </c>
      <c r="AE301" s="26">
        <v>1</v>
      </c>
    </row>
    <row r="302" spans="1:31">
      <c r="A302" s="11" t="s">
        <v>65</v>
      </c>
      <c r="B302" s="5">
        <v>2021</v>
      </c>
      <c r="C302" s="5" t="s">
        <v>74</v>
      </c>
      <c r="D302" s="5">
        <v>145.6</v>
      </c>
      <c r="E302" s="5">
        <v>200.1</v>
      </c>
      <c r="F302" s="5">
        <v>179.3</v>
      </c>
      <c r="G302" s="5">
        <v>156.1</v>
      </c>
      <c r="H302" s="5">
        <v>190.4</v>
      </c>
      <c r="I302" s="5">
        <v>158.6</v>
      </c>
      <c r="J302" s="5">
        <v>144.69999999999999</v>
      </c>
      <c r="K302" s="5">
        <v>165.5</v>
      </c>
      <c r="L302" s="5">
        <v>114.6</v>
      </c>
      <c r="M302" s="5">
        <v>170</v>
      </c>
      <c r="N302" s="5">
        <v>165.5</v>
      </c>
      <c r="O302" s="5">
        <v>171.7</v>
      </c>
      <c r="P302" s="5">
        <v>160.5</v>
      </c>
      <c r="Q302" s="5">
        <v>189.1</v>
      </c>
      <c r="R302" s="5">
        <v>165.3</v>
      </c>
      <c r="S302" s="5">
        <v>159.9</v>
      </c>
      <c r="T302" s="5">
        <v>164.6</v>
      </c>
      <c r="U302" s="5" t="s">
        <v>67</v>
      </c>
      <c r="V302" s="5">
        <v>162.1</v>
      </c>
      <c r="W302" s="5">
        <v>159.19999999999999</v>
      </c>
      <c r="X302" s="5">
        <v>169.7</v>
      </c>
      <c r="Y302" s="5">
        <v>154.19999999999999</v>
      </c>
      <c r="Z302" s="5">
        <v>160.4</v>
      </c>
      <c r="AA302" s="5">
        <v>166.8</v>
      </c>
      <c r="AB302" s="5">
        <v>159.4</v>
      </c>
      <c r="AC302" s="5">
        <v>161.5</v>
      </c>
      <c r="AD302" s="12">
        <v>162.1</v>
      </c>
      <c r="AE302" s="26">
        <v>1</v>
      </c>
    </row>
    <row r="303" spans="1:31">
      <c r="A303" s="11" t="s">
        <v>68</v>
      </c>
      <c r="B303" s="5">
        <v>2021</v>
      </c>
      <c r="C303" s="5" t="s">
        <v>74</v>
      </c>
      <c r="D303" s="5">
        <v>149.19999999999999</v>
      </c>
      <c r="E303" s="5">
        <v>205.5</v>
      </c>
      <c r="F303" s="5">
        <v>182.8</v>
      </c>
      <c r="G303" s="5">
        <v>156.5</v>
      </c>
      <c r="H303" s="5">
        <v>172.2</v>
      </c>
      <c r="I303" s="5">
        <v>171.5</v>
      </c>
      <c r="J303" s="5">
        <v>176.2</v>
      </c>
      <c r="K303" s="5">
        <v>166.9</v>
      </c>
      <c r="L303" s="5">
        <v>116.1</v>
      </c>
      <c r="M303" s="5">
        <v>165.5</v>
      </c>
      <c r="N303" s="5">
        <v>152.30000000000001</v>
      </c>
      <c r="O303" s="5">
        <v>173.3</v>
      </c>
      <c r="P303" s="5">
        <v>166.2</v>
      </c>
      <c r="Q303" s="5">
        <v>195.6</v>
      </c>
      <c r="R303" s="5">
        <v>157.30000000000001</v>
      </c>
      <c r="S303" s="5">
        <v>140.5</v>
      </c>
      <c r="T303" s="5">
        <v>154.80000000000001</v>
      </c>
      <c r="U303" s="5">
        <v>160.5</v>
      </c>
      <c r="V303" s="5">
        <v>156.1</v>
      </c>
      <c r="W303" s="5">
        <v>149.80000000000001</v>
      </c>
      <c r="X303" s="5">
        <v>160.80000000000001</v>
      </c>
      <c r="Y303" s="5">
        <v>147.5</v>
      </c>
      <c r="Z303" s="5">
        <v>150.69999999999999</v>
      </c>
      <c r="AA303" s="5">
        <v>158.1</v>
      </c>
      <c r="AB303" s="5">
        <v>158</v>
      </c>
      <c r="AC303" s="5">
        <v>153.4</v>
      </c>
      <c r="AD303" s="12">
        <v>160.4</v>
      </c>
      <c r="AE303" s="26">
        <v>1</v>
      </c>
    </row>
    <row r="304" spans="1:31">
      <c r="A304" s="11" t="s">
        <v>69</v>
      </c>
      <c r="B304" s="5">
        <v>2021</v>
      </c>
      <c r="C304" s="5" t="s">
        <v>74</v>
      </c>
      <c r="D304" s="5">
        <v>146.69999999999999</v>
      </c>
      <c r="E304" s="5">
        <v>202</v>
      </c>
      <c r="F304" s="5">
        <v>180.7</v>
      </c>
      <c r="G304" s="5">
        <v>156.19999999999999</v>
      </c>
      <c r="H304" s="5">
        <v>183.7</v>
      </c>
      <c r="I304" s="5">
        <v>164.6</v>
      </c>
      <c r="J304" s="5">
        <v>155.4</v>
      </c>
      <c r="K304" s="5">
        <v>166</v>
      </c>
      <c r="L304" s="5">
        <v>115.1</v>
      </c>
      <c r="M304" s="5">
        <v>168.5</v>
      </c>
      <c r="N304" s="5">
        <v>160</v>
      </c>
      <c r="O304" s="5">
        <v>172.4</v>
      </c>
      <c r="P304" s="5">
        <v>162.6</v>
      </c>
      <c r="Q304" s="5">
        <v>190.8</v>
      </c>
      <c r="R304" s="5">
        <v>162.19999999999999</v>
      </c>
      <c r="S304" s="5">
        <v>151.80000000000001</v>
      </c>
      <c r="T304" s="5">
        <v>160.69999999999999</v>
      </c>
      <c r="U304" s="5">
        <v>160.5</v>
      </c>
      <c r="V304" s="5">
        <v>159.80000000000001</v>
      </c>
      <c r="W304" s="5">
        <v>154.80000000000001</v>
      </c>
      <c r="X304" s="5">
        <v>166.3</v>
      </c>
      <c r="Y304" s="5">
        <v>150.69999999999999</v>
      </c>
      <c r="Z304" s="5">
        <v>154.9</v>
      </c>
      <c r="AA304" s="5">
        <v>161.69999999999999</v>
      </c>
      <c r="AB304" s="5">
        <v>158.80000000000001</v>
      </c>
      <c r="AC304" s="5">
        <v>157.6</v>
      </c>
      <c r="AD304" s="12">
        <v>161.30000000000001</v>
      </c>
      <c r="AE304" s="26">
        <v>1</v>
      </c>
    </row>
    <row r="305" spans="1:31">
      <c r="A305" s="11" t="s">
        <v>65</v>
      </c>
      <c r="B305" s="5">
        <v>2021</v>
      </c>
      <c r="C305" s="5" t="s">
        <v>75</v>
      </c>
      <c r="D305" s="5">
        <v>145.1</v>
      </c>
      <c r="E305" s="5">
        <v>204.5</v>
      </c>
      <c r="F305" s="5">
        <v>180.4</v>
      </c>
      <c r="G305" s="5">
        <v>157.1</v>
      </c>
      <c r="H305" s="5">
        <v>188.7</v>
      </c>
      <c r="I305" s="5">
        <v>157.69999999999999</v>
      </c>
      <c r="J305" s="5">
        <v>152.80000000000001</v>
      </c>
      <c r="K305" s="5">
        <v>163.6</v>
      </c>
      <c r="L305" s="5">
        <v>113.9</v>
      </c>
      <c r="M305" s="5">
        <v>169.7</v>
      </c>
      <c r="N305" s="5">
        <v>166.2</v>
      </c>
      <c r="O305" s="5">
        <v>171</v>
      </c>
      <c r="P305" s="5">
        <v>161.69999999999999</v>
      </c>
      <c r="Q305" s="5">
        <v>189.7</v>
      </c>
      <c r="R305" s="5">
        <v>166</v>
      </c>
      <c r="S305" s="5">
        <v>161.1</v>
      </c>
      <c r="T305" s="5">
        <v>165.3</v>
      </c>
      <c r="U305" s="5" t="s">
        <v>67</v>
      </c>
      <c r="V305" s="5">
        <v>162.5</v>
      </c>
      <c r="W305" s="5">
        <v>160.30000000000001</v>
      </c>
      <c r="X305" s="5">
        <v>170.4</v>
      </c>
      <c r="Y305" s="5">
        <v>157.1</v>
      </c>
      <c r="Z305" s="5">
        <v>160.69999999999999</v>
      </c>
      <c r="AA305" s="5">
        <v>167.2</v>
      </c>
      <c r="AB305" s="5">
        <v>160.4</v>
      </c>
      <c r="AC305" s="5">
        <v>162.80000000000001</v>
      </c>
      <c r="AD305" s="12">
        <v>163.19999999999999</v>
      </c>
      <c r="AE305" s="26">
        <v>1</v>
      </c>
    </row>
    <row r="306" spans="1:31">
      <c r="A306" s="11" t="s">
        <v>68</v>
      </c>
      <c r="B306" s="5">
        <v>2021</v>
      </c>
      <c r="C306" s="5" t="s">
        <v>75</v>
      </c>
      <c r="D306" s="5">
        <v>149.1</v>
      </c>
      <c r="E306" s="5">
        <v>210.9</v>
      </c>
      <c r="F306" s="5">
        <v>185</v>
      </c>
      <c r="G306" s="5">
        <v>158.19999999999999</v>
      </c>
      <c r="H306" s="5">
        <v>170.6</v>
      </c>
      <c r="I306" s="5">
        <v>170.9</v>
      </c>
      <c r="J306" s="5">
        <v>186.4</v>
      </c>
      <c r="K306" s="5">
        <v>164.7</v>
      </c>
      <c r="L306" s="5">
        <v>115.7</v>
      </c>
      <c r="M306" s="5">
        <v>165.5</v>
      </c>
      <c r="N306" s="5">
        <v>153.4</v>
      </c>
      <c r="O306" s="5">
        <v>173.5</v>
      </c>
      <c r="P306" s="5">
        <v>167.9</v>
      </c>
      <c r="Q306" s="5">
        <v>195.5</v>
      </c>
      <c r="R306" s="5">
        <v>157.9</v>
      </c>
      <c r="S306" s="5">
        <v>141.9</v>
      </c>
      <c r="T306" s="5">
        <v>155.5</v>
      </c>
      <c r="U306" s="5">
        <v>161.5</v>
      </c>
      <c r="V306" s="5">
        <v>157.69999999999999</v>
      </c>
      <c r="W306" s="5">
        <v>150.69999999999999</v>
      </c>
      <c r="X306" s="5">
        <v>161.5</v>
      </c>
      <c r="Y306" s="5">
        <v>149.5</v>
      </c>
      <c r="Z306" s="5">
        <v>151.19999999999999</v>
      </c>
      <c r="AA306" s="5">
        <v>160.30000000000001</v>
      </c>
      <c r="AB306" s="5">
        <v>159.6</v>
      </c>
      <c r="AC306" s="5">
        <v>155</v>
      </c>
      <c r="AD306" s="12">
        <v>161.80000000000001</v>
      </c>
      <c r="AE306" s="26">
        <v>1</v>
      </c>
    </row>
    <row r="307" spans="1:31">
      <c r="A307" s="11" t="s">
        <v>69</v>
      </c>
      <c r="B307" s="5">
        <v>2021</v>
      </c>
      <c r="C307" s="5" t="s">
        <v>75</v>
      </c>
      <c r="D307" s="5">
        <v>146.4</v>
      </c>
      <c r="E307" s="5">
        <v>206.8</v>
      </c>
      <c r="F307" s="5">
        <v>182.2</v>
      </c>
      <c r="G307" s="5">
        <v>157.5</v>
      </c>
      <c r="H307" s="5">
        <v>182.1</v>
      </c>
      <c r="I307" s="5">
        <v>163.9</v>
      </c>
      <c r="J307" s="5">
        <v>164.2</v>
      </c>
      <c r="K307" s="5">
        <v>164</v>
      </c>
      <c r="L307" s="5">
        <v>114.5</v>
      </c>
      <c r="M307" s="5">
        <v>168.3</v>
      </c>
      <c r="N307" s="5">
        <v>160.9</v>
      </c>
      <c r="O307" s="5">
        <v>172.2</v>
      </c>
      <c r="P307" s="5">
        <v>164</v>
      </c>
      <c r="Q307" s="5">
        <v>191.2</v>
      </c>
      <c r="R307" s="5">
        <v>162.80000000000001</v>
      </c>
      <c r="S307" s="5">
        <v>153.1</v>
      </c>
      <c r="T307" s="5">
        <v>161.4</v>
      </c>
      <c r="U307" s="5">
        <v>161.5</v>
      </c>
      <c r="V307" s="5">
        <v>160.69999999999999</v>
      </c>
      <c r="W307" s="5">
        <v>155.80000000000001</v>
      </c>
      <c r="X307" s="5">
        <v>167</v>
      </c>
      <c r="Y307" s="5">
        <v>153.1</v>
      </c>
      <c r="Z307" s="5">
        <v>155.30000000000001</v>
      </c>
      <c r="AA307" s="5">
        <v>163.19999999999999</v>
      </c>
      <c r="AB307" s="5">
        <v>160.1</v>
      </c>
      <c r="AC307" s="5">
        <v>159</v>
      </c>
      <c r="AD307" s="12">
        <v>162.5</v>
      </c>
      <c r="AE307" s="26">
        <v>1</v>
      </c>
    </row>
    <row r="308" spans="1:31">
      <c r="A308" s="11" t="s">
        <v>65</v>
      </c>
      <c r="B308" s="5">
        <v>2021</v>
      </c>
      <c r="C308" s="5" t="s">
        <v>76</v>
      </c>
      <c r="D308" s="5">
        <v>144.9</v>
      </c>
      <c r="E308" s="5">
        <v>202.3</v>
      </c>
      <c r="F308" s="5">
        <v>176.5</v>
      </c>
      <c r="G308" s="5">
        <v>157.5</v>
      </c>
      <c r="H308" s="5">
        <v>190.9</v>
      </c>
      <c r="I308" s="5">
        <v>155.69999999999999</v>
      </c>
      <c r="J308" s="5">
        <v>153.9</v>
      </c>
      <c r="K308" s="5">
        <v>162.80000000000001</v>
      </c>
      <c r="L308" s="5">
        <v>115.2</v>
      </c>
      <c r="M308" s="5">
        <v>169.8</v>
      </c>
      <c r="N308" s="5">
        <v>167.6</v>
      </c>
      <c r="O308" s="5">
        <v>171.9</v>
      </c>
      <c r="P308" s="5">
        <v>161.80000000000001</v>
      </c>
      <c r="Q308" s="5">
        <v>190.2</v>
      </c>
      <c r="R308" s="5">
        <v>167</v>
      </c>
      <c r="S308" s="5">
        <v>162.6</v>
      </c>
      <c r="T308" s="5">
        <v>166.3</v>
      </c>
      <c r="U308" s="5" t="s">
        <v>67</v>
      </c>
      <c r="V308" s="5">
        <v>163.1</v>
      </c>
      <c r="W308" s="5">
        <v>160.9</v>
      </c>
      <c r="X308" s="5">
        <v>171.1</v>
      </c>
      <c r="Y308" s="5">
        <v>157.69999999999999</v>
      </c>
      <c r="Z308" s="5">
        <v>161.1</v>
      </c>
      <c r="AA308" s="5">
        <v>167.5</v>
      </c>
      <c r="AB308" s="5">
        <v>160.30000000000001</v>
      </c>
      <c r="AC308" s="5">
        <v>163.30000000000001</v>
      </c>
      <c r="AD308" s="12">
        <v>163.6</v>
      </c>
      <c r="AE308" s="26">
        <v>1</v>
      </c>
    </row>
    <row r="309" spans="1:31">
      <c r="A309" s="11" t="s">
        <v>68</v>
      </c>
      <c r="B309" s="5">
        <v>2021</v>
      </c>
      <c r="C309" s="5" t="s">
        <v>76</v>
      </c>
      <c r="D309" s="5">
        <v>149.30000000000001</v>
      </c>
      <c r="E309" s="5">
        <v>207.4</v>
      </c>
      <c r="F309" s="5">
        <v>174.1</v>
      </c>
      <c r="G309" s="5">
        <v>159.19999999999999</v>
      </c>
      <c r="H309" s="5">
        <v>175</v>
      </c>
      <c r="I309" s="5">
        <v>161.30000000000001</v>
      </c>
      <c r="J309" s="5">
        <v>183.3</v>
      </c>
      <c r="K309" s="5">
        <v>164.5</v>
      </c>
      <c r="L309" s="5">
        <v>120.4</v>
      </c>
      <c r="M309" s="5">
        <v>166.2</v>
      </c>
      <c r="N309" s="5">
        <v>154.80000000000001</v>
      </c>
      <c r="O309" s="5">
        <v>175.1</v>
      </c>
      <c r="P309" s="5">
        <v>167.3</v>
      </c>
      <c r="Q309" s="5">
        <v>196.5</v>
      </c>
      <c r="R309" s="5">
        <v>159.80000000000001</v>
      </c>
      <c r="S309" s="5">
        <v>143.6</v>
      </c>
      <c r="T309" s="5">
        <v>157.30000000000001</v>
      </c>
      <c r="U309" s="5">
        <v>162.1</v>
      </c>
      <c r="V309" s="5">
        <v>160.69999999999999</v>
      </c>
      <c r="W309" s="5">
        <v>153.19999999999999</v>
      </c>
      <c r="X309" s="5">
        <v>162.80000000000001</v>
      </c>
      <c r="Y309" s="5">
        <v>150.4</v>
      </c>
      <c r="Z309" s="5">
        <v>153.69999999999999</v>
      </c>
      <c r="AA309" s="5">
        <v>160.4</v>
      </c>
      <c r="AB309" s="5">
        <v>159.6</v>
      </c>
      <c r="AC309" s="5">
        <v>156</v>
      </c>
      <c r="AD309" s="12">
        <v>162.30000000000001</v>
      </c>
      <c r="AE309" s="26">
        <v>1</v>
      </c>
    </row>
    <row r="310" spans="1:31">
      <c r="A310" s="11" t="s">
        <v>69</v>
      </c>
      <c r="B310" s="5">
        <v>2021</v>
      </c>
      <c r="C310" s="5" t="s">
        <v>76</v>
      </c>
      <c r="D310" s="5">
        <v>146.6</v>
      </c>
      <c r="E310" s="5">
        <v>204</v>
      </c>
      <c r="F310" s="5">
        <v>172.8</v>
      </c>
      <c r="G310" s="5">
        <v>158.4</v>
      </c>
      <c r="H310" s="5">
        <v>188</v>
      </c>
      <c r="I310" s="5">
        <v>156.80000000000001</v>
      </c>
      <c r="J310" s="5">
        <v>162.19999999999999</v>
      </c>
      <c r="K310" s="5">
        <v>164.1</v>
      </c>
      <c r="L310" s="5">
        <v>119.7</v>
      </c>
      <c r="M310" s="5">
        <v>168.8</v>
      </c>
      <c r="N310" s="5">
        <v>162.69999999999999</v>
      </c>
      <c r="O310" s="5">
        <v>173.9</v>
      </c>
      <c r="P310" s="5">
        <v>164</v>
      </c>
      <c r="Q310" s="5">
        <v>192.1</v>
      </c>
      <c r="R310" s="5">
        <v>164.5</v>
      </c>
      <c r="S310" s="5">
        <v>155.30000000000001</v>
      </c>
      <c r="T310" s="5">
        <v>163.19999999999999</v>
      </c>
      <c r="U310" s="5">
        <v>162.1</v>
      </c>
      <c r="V310" s="5">
        <v>162.6</v>
      </c>
      <c r="W310" s="5">
        <v>157.5</v>
      </c>
      <c r="X310" s="5">
        <v>168.4</v>
      </c>
      <c r="Y310" s="5">
        <v>154</v>
      </c>
      <c r="Z310" s="5">
        <v>157.6</v>
      </c>
      <c r="AA310" s="5">
        <v>163.80000000000001</v>
      </c>
      <c r="AB310" s="5">
        <v>160</v>
      </c>
      <c r="AC310" s="5">
        <v>160</v>
      </c>
      <c r="AD310" s="12">
        <v>163.19999999999999</v>
      </c>
      <c r="AE310" s="26">
        <v>1</v>
      </c>
    </row>
    <row r="311" spans="1:31">
      <c r="A311" s="11" t="s">
        <v>65</v>
      </c>
      <c r="B311" s="5">
        <v>2021</v>
      </c>
      <c r="C311" s="5" t="s">
        <v>77</v>
      </c>
      <c r="D311" s="5">
        <v>145.4</v>
      </c>
      <c r="E311" s="5">
        <v>202.1</v>
      </c>
      <c r="F311" s="5">
        <v>172</v>
      </c>
      <c r="G311" s="5">
        <v>158</v>
      </c>
      <c r="H311" s="5">
        <v>195.5</v>
      </c>
      <c r="I311" s="5">
        <v>152.69999999999999</v>
      </c>
      <c r="J311" s="5">
        <v>151.4</v>
      </c>
      <c r="K311" s="5">
        <v>163.9</v>
      </c>
      <c r="L311" s="5">
        <v>119.3</v>
      </c>
      <c r="M311" s="5">
        <v>170.1</v>
      </c>
      <c r="N311" s="5">
        <v>168.3</v>
      </c>
      <c r="O311" s="5">
        <v>172.8</v>
      </c>
      <c r="P311" s="5">
        <v>162.1</v>
      </c>
      <c r="Q311" s="5">
        <v>190.5</v>
      </c>
      <c r="R311" s="5">
        <v>167.7</v>
      </c>
      <c r="S311" s="5">
        <v>163.6</v>
      </c>
      <c r="T311" s="5">
        <v>167.1</v>
      </c>
      <c r="U311" s="5" t="s">
        <v>67</v>
      </c>
      <c r="V311" s="5">
        <v>163.69999999999999</v>
      </c>
      <c r="W311" s="5">
        <v>161.30000000000001</v>
      </c>
      <c r="X311" s="5">
        <v>171.9</v>
      </c>
      <c r="Y311" s="5">
        <v>157.80000000000001</v>
      </c>
      <c r="Z311" s="5">
        <v>162.69999999999999</v>
      </c>
      <c r="AA311" s="5">
        <v>168.5</v>
      </c>
      <c r="AB311" s="5">
        <v>160.19999999999999</v>
      </c>
      <c r="AC311" s="5">
        <v>163.80000000000001</v>
      </c>
      <c r="AD311" s="12">
        <v>164</v>
      </c>
      <c r="AE311" s="26">
        <v>1</v>
      </c>
    </row>
    <row r="312" spans="1:31">
      <c r="A312" s="11" t="s">
        <v>68</v>
      </c>
      <c r="B312" s="5">
        <v>2021</v>
      </c>
      <c r="C312" s="5" t="s">
        <v>77</v>
      </c>
      <c r="D312" s="5">
        <v>149.30000000000001</v>
      </c>
      <c r="E312" s="5">
        <v>207.4</v>
      </c>
      <c r="F312" s="5">
        <v>174.1</v>
      </c>
      <c r="G312" s="5">
        <v>159.1</v>
      </c>
      <c r="H312" s="5">
        <v>175</v>
      </c>
      <c r="I312" s="5">
        <v>161.19999999999999</v>
      </c>
      <c r="J312" s="5">
        <v>183.5</v>
      </c>
      <c r="K312" s="5">
        <v>164.5</v>
      </c>
      <c r="L312" s="5">
        <v>120.4</v>
      </c>
      <c r="M312" s="5">
        <v>166.2</v>
      </c>
      <c r="N312" s="5">
        <v>154.80000000000001</v>
      </c>
      <c r="O312" s="5">
        <v>175.1</v>
      </c>
      <c r="P312" s="5">
        <v>167.3</v>
      </c>
      <c r="Q312" s="5">
        <v>196.5</v>
      </c>
      <c r="R312" s="5">
        <v>159.80000000000001</v>
      </c>
      <c r="S312" s="5">
        <v>143.6</v>
      </c>
      <c r="T312" s="5">
        <v>157.4</v>
      </c>
      <c r="U312" s="5">
        <v>162.1</v>
      </c>
      <c r="V312" s="5">
        <v>160.80000000000001</v>
      </c>
      <c r="W312" s="5">
        <v>153.30000000000001</v>
      </c>
      <c r="X312" s="5">
        <v>162.80000000000001</v>
      </c>
      <c r="Y312" s="5">
        <v>150.5</v>
      </c>
      <c r="Z312" s="5">
        <v>153.9</v>
      </c>
      <c r="AA312" s="5">
        <v>160.30000000000001</v>
      </c>
      <c r="AB312" s="5">
        <v>159.6</v>
      </c>
      <c r="AC312" s="5">
        <v>156</v>
      </c>
      <c r="AD312" s="12">
        <v>162.30000000000001</v>
      </c>
      <c r="AE312" s="26">
        <v>1</v>
      </c>
    </row>
    <row r="313" spans="1:31">
      <c r="A313" s="11" t="s">
        <v>69</v>
      </c>
      <c r="B313" s="5">
        <v>2021</v>
      </c>
      <c r="C313" s="5" t="s">
        <v>77</v>
      </c>
      <c r="D313" s="5">
        <v>146.6</v>
      </c>
      <c r="E313" s="5">
        <v>204</v>
      </c>
      <c r="F313" s="5">
        <v>172.8</v>
      </c>
      <c r="G313" s="5">
        <v>158.4</v>
      </c>
      <c r="H313" s="5">
        <v>188</v>
      </c>
      <c r="I313" s="5">
        <v>156.69999999999999</v>
      </c>
      <c r="J313" s="5">
        <v>162.30000000000001</v>
      </c>
      <c r="K313" s="5">
        <v>164.1</v>
      </c>
      <c r="L313" s="5">
        <v>119.7</v>
      </c>
      <c r="M313" s="5">
        <v>168.8</v>
      </c>
      <c r="N313" s="5">
        <v>162.69999999999999</v>
      </c>
      <c r="O313" s="5">
        <v>173.9</v>
      </c>
      <c r="P313" s="5">
        <v>164</v>
      </c>
      <c r="Q313" s="5">
        <v>192.1</v>
      </c>
      <c r="R313" s="5">
        <v>164.6</v>
      </c>
      <c r="S313" s="5">
        <v>155.30000000000001</v>
      </c>
      <c r="T313" s="5">
        <v>163.30000000000001</v>
      </c>
      <c r="U313" s="5">
        <v>162.1</v>
      </c>
      <c r="V313" s="5">
        <v>162.6</v>
      </c>
      <c r="W313" s="5">
        <v>157.5</v>
      </c>
      <c r="X313" s="5">
        <v>168.4</v>
      </c>
      <c r="Y313" s="5">
        <v>154</v>
      </c>
      <c r="Z313" s="5">
        <v>157.69999999999999</v>
      </c>
      <c r="AA313" s="5">
        <v>163.69999999999999</v>
      </c>
      <c r="AB313" s="5">
        <v>160</v>
      </c>
      <c r="AC313" s="5">
        <v>160</v>
      </c>
      <c r="AD313" s="12">
        <v>163.19999999999999</v>
      </c>
      <c r="AE313" s="26">
        <v>1</v>
      </c>
    </row>
    <row r="314" spans="1:31">
      <c r="A314" s="11" t="s">
        <v>65</v>
      </c>
      <c r="B314" s="5">
        <v>2021</v>
      </c>
      <c r="C314" s="5" t="s">
        <v>78</v>
      </c>
      <c r="D314" s="5">
        <v>146.1</v>
      </c>
      <c r="E314" s="5">
        <v>202.5</v>
      </c>
      <c r="F314" s="5">
        <v>170.1</v>
      </c>
      <c r="G314" s="5">
        <v>158.4</v>
      </c>
      <c r="H314" s="5">
        <v>198.8</v>
      </c>
      <c r="I314" s="5">
        <v>152.6</v>
      </c>
      <c r="J314" s="5">
        <v>170.4</v>
      </c>
      <c r="K314" s="5">
        <v>165.2</v>
      </c>
      <c r="L314" s="5">
        <v>121.6</v>
      </c>
      <c r="M314" s="5">
        <v>170.6</v>
      </c>
      <c r="N314" s="5">
        <v>168.8</v>
      </c>
      <c r="O314" s="5">
        <v>173.6</v>
      </c>
      <c r="P314" s="5">
        <v>165.5</v>
      </c>
      <c r="Q314" s="5">
        <v>191.2</v>
      </c>
      <c r="R314" s="5">
        <v>168.9</v>
      </c>
      <c r="S314" s="5">
        <v>164.8</v>
      </c>
      <c r="T314" s="5">
        <v>168.3</v>
      </c>
      <c r="U314" s="5" t="s">
        <v>67</v>
      </c>
      <c r="V314" s="5">
        <v>165.5</v>
      </c>
      <c r="W314" s="5">
        <v>162</v>
      </c>
      <c r="X314" s="5">
        <v>172.5</v>
      </c>
      <c r="Y314" s="5">
        <v>159.5</v>
      </c>
      <c r="Z314" s="5">
        <v>163.19999999999999</v>
      </c>
      <c r="AA314" s="5">
        <v>169</v>
      </c>
      <c r="AB314" s="5">
        <v>161.1</v>
      </c>
      <c r="AC314" s="5">
        <v>164.7</v>
      </c>
      <c r="AD314" s="12">
        <v>166.3</v>
      </c>
      <c r="AE314" s="26">
        <v>1</v>
      </c>
    </row>
    <row r="315" spans="1:31">
      <c r="A315" s="11" t="s">
        <v>68</v>
      </c>
      <c r="B315" s="5">
        <v>2021</v>
      </c>
      <c r="C315" s="5" t="s">
        <v>78</v>
      </c>
      <c r="D315" s="5">
        <v>150.1</v>
      </c>
      <c r="E315" s="5">
        <v>208.4</v>
      </c>
      <c r="F315" s="5">
        <v>173</v>
      </c>
      <c r="G315" s="5">
        <v>159.19999999999999</v>
      </c>
      <c r="H315" s="5">
        <v>176.6</v>
      </c>
      <c r="I315" s="5">
        <v>159.30000000000001</v>
      </c>
      <c r="J315" s="5">
        <v>214.4</v>
      </c>
      <c r="K315" s="5">
        <v>165.3</v>
      </c>
      <c r="L315" s="5">
        <v>122.5</v>
      </c>
      <c r="M315" s="5">
        <v>166.8</v>
      </c>
      <c r="N315" s="5">
        <v>155.4</v>
      </c>
      <c r="O315" s="5">
        <v>175.9</v>
      </c>
      <c r="P315" s="5">
        <v>171.5</v>
      </c>
      <c r="Q315" s="5">
        <v>197</v>
      </c>
      <c r="R315" s="5">
        <v>160.80000000000001</v>
      </c>
      <c r="S315" s="5">
        <v>144.4</v>
      </c>
      <c r="T315" s="5">
        <v>158.30000000000001</v>
      </c>
      <c r="U315" s="5">
        <v>163.6</v>
      </c>
      <c r="V315" s="5">
        <v>162.19999999999999</v>
      </c>
      <c r="W315" s="5">
        <v>154.30000000000001</v>
      </c>
      <c r="X315" s="5">
        <v>163.5</v>
      </c>
      <c r="Y315" s="5">
        <v>152.19999999999999</v>
      </c>
      <c r="Z315" s="5">
        <v>155.1</v>
      </c>
      <c r="AA315" s="5">
        <v>160.30000000000001</v>
      </c>
      <c r="AB315" s="5">
        <v>160.30000000000001</v>
      </c>
      <c r="AC315" s="5">
        <v>157</v>
      </c>
      <c r="AD315" s="12">
        <v>164.6</v>
      </c>
      <c r="AE315" s="26">
        <v>1</v>
      </c>
    </row>
    <row r="316" spans="1:31">
      <c r="A316" s="11" t="s">
        <v>69</v>
      </c>
      <c r="B316" s="5">
        <v>2021</v>
      </c>
      <c r="C316" s="5" t="s">
        <v>78</v>
      </c>
      <c r="D316" s="5">
        <v>147.4</v>
      </c>
      <c r="E316" s="5">
        <v>204.6</v>
      </c>
      <c r="F316" s="5">
        <v>171.2</v>
      </c>
      <c r="G316" s="5">
        <v>158.69999999999999</v>
      </c>
      <c r="H316" s="5">
        <v>190.6</v>
      </c>
      <c r="I316" s="5">
        <v>155.69999999999999</v>
      </c>
      <c r="J316" s="5">
        <v>185.3</v>
      </c>
      <c r="K316" s="5">
        <v>165.2</v>
      </c>
      <c r="L316" s="5">
        <v>121.9</v>
      </c>
      <c r="M316" s="5">
        <v>169.3</v>
      </c>
      <c r="N316" s="5">
        <v>163.19999999999999</v>
      </c>
      <c r="O316" s="5">
        <v>174.7</v>
      </c>
      <c r="P316" s="5">
        <v>167.7</v>
      </c>
      <c r="Q316" s="5">
        <v>192.7</v>
      </c>
      <c r="R316" s="5">
        <v>165.7</v>
      </c>
      <c r="S316" s="5">
        <v>156.30000000000001</v>
      </c>
      <c r="T316" s="5">
        <v>164.3</v>
      </c>
      <c r="U316" s="5">
        <v>163.6</v>
      </c>
      <c r="V316" s="5">
        <v>164.2</v>
      </c>
      <c r="W316" s="5">
        <v>158.4</v>
      </c>
      <c r="X316" s="5">
        <v>169.1</v>
      </c>
      <c r="Y316" s="5">
        <v>155.69999999999999</v>
      </c>
      <c r="Z316" s="5">
        <v>158.6</v>
      </c>
      <c r="AA316" s="5">
        <v>163.9</v>
      </c>
      <c r="AB316" s="5">
        <v>160.80000000000001</v>
      </c>
      <c r="AC316" s="5">
        <v>161</v>
      </c>
      <c r="AD316" s="12">
        <v>165.5</v>
      </c>
      <c r="AE316" s="26">
        <v>1</v>
      </c>
    </row>
    <row r="317" spans="1:31">
      <c r="A317" s="11" t="s">
        <v>65</v>
      </c>
      <c r="B317" s="5">
        <v>2021</v>
      </c>
      <c r="C317" s="5" t="s">
        <v>79</v>
      </c>
      <c r="D317" s="5">
        <v>146.9</v>
      </c>
      <c r="E317" s="5">
        <v>199.8</v>
      </c>
      <c r="F317" s="5">
        <v>171.5</v>
      </c>
      <c r="G317" s="5">
        <v>159.1</v>
      </c>
      <c r="H317" s="5">
        <v>198.4</v>
      </c>
      <c r="I317" s="5">
        <v>153.19999999999999</v>
      </c>
      <c r="J317" s="5">
        <v>183.9</v>
      </c>
      <c r="K317" s="5">
        <v>165.4</v>
      </c>
      <c r="L317" s="5">
        <v>122.1</v>
      </c>
      <c r="M317" s="5">
        <v>170.8</v>
      </c>
      <c r="N317" s="5">
        <v>169.1</v>
      </c>
      <c r="O317" s="5">
        <v>174.3</v>
      </c>
      <c r="P317" s="5">
        <v>167.5</v>
      </c>
      <c r="Q317" s="5">
        <v>191.4</v>
      </c>
      <c r="R317" s="5">
        <v>170.4</v>
      </c>
      <c r="S317" s="5">
        <v>166</v>
      </c>
      <c r="T317" s="5">
        <v>169.8</v>
      </c>
      <c r="U317" s="5" t="s">
        <v>67</v>
      </c>
      <c r="V317" s="5">
        <v>165.3</v>
      </c>
      <c r="W317" s="5">
        <v>162.9</v>
      </c>
      <c r="X317" s="5">
        <v>173.4</v>
      </c>
      <c r="Y317" s="5">
        <v>158.9</v>
      </c>
      <c r="Z317" s="5">
        <v>163.80000000000001</v>
      </c>
      <c r="AA317" s="5">
        <v>169.3</v>
      </c>
      <c r="AB317" s="5">
        <v>162.4</v>
      </c>
      <c r="AC317" s="5">
        <v>165.2</v>
      </c>
      <c r="AD317" s="12">
        <v>167.6</v>
      </c>
      <c r="AE317" s="26">
        <v>1</v>
      </c>
    </row>
    <row r="318" spans="1:31">
      <c r="A318" s="11" t="s">
        <v>68</v>
      </c>
      <c r="B318" s="5">
        <v>2021</v>
      </c>
      <c r="C318" s="5" t="s">
        <v>79</v>
      </c>
      <c r="D318" s="5">
        <v>151</v>
      </c>
      <c r="E318" s="5">
        <v>204.9</v>
      </c>
      <c r="F318" s="5">
        <v>175.4</v>
      </c>
      <c r="G318" s="5">
        <v>159.6</v>
      </c>
      <c r="H318" s="5">
        <v>175.8</v>
      </c>
      <c r="I318" s="5">
        <v>160.30000000000001</v>
      </c>
      <c r="J318" s="5">
        <v>229.1</v>
      </c>
      <c r="K318" s="5">
        <v>165.1</v>
      </c>
      <c r="L318" s="5">
        <v>123.1</v>
      </c>
      <c r="M318" s="5">
        <v>167.2</v>
      </c>
      <c r="N318" s="5">
        <v>156.1</v>
      </c>
      <c r="O318" s="5">
        <v>176.8</v>
      </c>
      <c r="P318" s="5">
        <v>173.5</v>
      </c>
      <c r="Q318" s="5">
        <v>197</v>
      </c>
      <c r="R318" s="5">
        <v>162.30000000000001</v>
      </c>
      <c r="S318" s="5">
        <v>145.30000000000001</v>
      </c>
      <c r="T318" s="5">
        <v>159.69999999999999</v>
      </c>
      <c r="U318" s="5">
        <v>164.2</v>
      </c>
      <c r="V318" s="5">
        <v>161.6</v>
      </c>
      <c r="W318" s="5">
        <v>155.19999999999999</v>
      </c>
      <c r="X318" s="5">
        <v>164.2</v>
      </c>
      <c r="Y318" s="5">
        <v>151.19999999999999</v>
      </c>
      <c r="Z318" s="5">
        <v>156.69999999999999</v>
      </c>
      <c r="AA318" s="5">
        <v>160.80000000000001</v>
      </c>
      <c r="AB318" s="5">
        <v>161.80000000000001</v>
      </c>
      <c r="AC318" s="5">
        <v>157.30000000000001</v>
      </c>
      <c r="AD318" s="12">
        <v>165.6</v>
      </c>
      <c r="AE318" s="26">
        <v>1</v>
      </c>
    </row>
    <row r="319" spans="1:31">
      <c r="A319" s="11" t="s">
        <v>69</v>
      </c>
      <c r="B319" s="5">
        <v>2021</v>
      </c>
      <c r="C319" s="5" t="s">
        <v>79</v>
      </c>
      <c r="D319" s="5">
        <v>148.19999999999999</v>
      </c>
      <c r="E319" s="5">
        <v>201.6</v>
      </c>
      <c r="F319" s="5">
        <v>173</v>
      </c>
      <c r="G319" s="5">
        <v>159.30000000000001</v>
      </c>
      <c r="H319" s="5">
        <v>190.1</v>
      </c>
      <c r="I319" s="5">
        <v>156.5</v>
      </c>
      <c r="J319" s="5">
        <v>199.2</v>
      </c>
      <c r="K319" s="5">
        <v>165.3</v>
      </c>
      <c r="L319" s="5">
        <v>122.4</v>
      </c>
      <c r="M319" s="5">
        <v>169.6</v>
      </c>
      <c r="N319" s="5">
        <v>163.69999999999999</v>
      </c>
      <c r="O319" s="5">
        <v>175.5</v>
      </c>
      <c r="P319" s="5">
        <v>169.7</v>
      </c>
      <c r="Q319" s="5">
        <v>192.9</v>
      </c>
      <c r="R319" s="5">
        <v>167.2</v>
      </c>
      <c r="S319" s="5">
        <v>157.4</v>
      </c>
      <c r="T319" s="5">
        <v>165.8</v>
      </c>
      <c r="U319" s="5">
        <v>164.2</v>
      </c>
      <c r="V319" s="5">
        <v>163.9</v>
      </c>
      <c r="W319" s="5">
        <v>159.30000000000001</v>
      </c>
      <c r="X319" s="5">
        <v>169.9</v>
      </c>
      <c r="Y319" s="5">
        <v>154.80000000000001</v>
      </c>
      <c r="Z319" s="5">
        <v>159.80000000000001</v>
      </c>
      <c r="AA319" s="5">
        <v>164.3</v>
      </c>
      <c r="AB319" s="5">
        <v>162.19999999999999</v>
      </c>
      <c r="AC319" s="5">
        <v>161.4</v>
      </c>
      <c r="AD319" s="12">
        <v>166.7</v>
      </c>
      <c r="AE319" s="26">
        <v>1</v>
      </c>
    </row>
    <row r="320" spans="1:31">
      <c r="A320" s="11" t="s">
        <v>65</v>
      </c>
      <c r="B320" s="5">
        <v>2021</v>
      </c>
      <c r="C320" s="5" t="s">
        <v>80</v>
      </c>
      <c r="D320" s="5">
        <v>147.4</v>
      </c>
      <c r="E320" s="5">
        <v>197</v>
      </c>
      <c r="F320" s="5">
        <v>176.5</v>
      </c>
      <c r="G320" s="5">
        <v>159.80000000000001</v>
      </c>
      <c r="H320" s="5">
        <v>195.8</v>
      </c>
      <c r="I320" s="5">
        <v>152</v>
      </c>
      <c r="J320" s="5">
        <v>172.3</v>
      </c>
      <c r="K320" s="5">
        <v>164.5</v>
      </c>
      <c r="L320" s="5">
        <v>120.6</v>
      </c>
      <c r="M320" s="5">
        <v>171.7</v>
      </c>
      <c r="N320" s="5">
        <v>169.7</v>
      </c>
      <c r="O320" s="5">
        <v>175.1</v>
      </c>
      <c r="P320" s="5">
        <v>165.8</v>
      </c>
      <c r="Q320" s="5">
        <v>190.8</v>
      </c>
      <c r="R320" s="5">
        <v>171.8</v>
      </c>
      <c r="S320" s="5">
        <v>167.3</v>
      </c>
      <c r="T320" s="5">
        <v>171.2</v>
      </c>
      <c r="U320" s="5" t="s">
        <v>67</v>
      </c>
      <c r="V320" s="5">
        <v>165.6</v>
      </c>
      <c r="W320" s="5">
        <v>163.9</v>
      </c>
      <c r="X320" s="5">
        <v>174</v>
      </c>
      <c r="Y320" s="5">
        <v>160.1</v>
      </c>
      <c r="Z320" s="5">
        <v>164.5</v>
      </c>
      <c r="AA320" s="5">
        <v>169.7</v>
      </c>
      <c r="AB320" s="5">
        <v>162.80000000000001</v>
      </c>
      <c r="AC320" s="5">
        <v>166</v>
      </c>
      <c r="AD320" s="12">
        <v>167</v>
      </c>
      <c r="AE320" s="26">
        <v>1</v>
      </c>
    </row>
    <row r="321" spans="1:31">
      <c r="A321" s="11" t="s">
        <v>68</v>
      </c>
      <c r="B321" s="5">
        <v>2021</v>
      </c>
      <c r="C321" s="5" t="s">
        <v>80</v>
      </c>
      <c r="D321" s="5">
        <v>151.6</v>
      </c>
      <c r="E321" s="5">
        <v>202.2</v>
      </c>
      <c r="F321" s="5">
        <v>180</v>
      </c>
      <c r="G321" s="5">
        <v>160</v>
      </c>
      <c r="H321" s="5">
        <v>173.5</v>
      </c>
      <c r="I321" s="5">
        <v>158.30000000000001</v>
      </c>
      <c r="J321" s="5">
        <v>219.5</v>
      </c>
      <c r="K321" s="5">
        <v>164.2</v>
      </c>
      <c r="L321" s="5">
        <v>121.9</v>
      </c>
      <c r="M321" s="5">
        <v>168.2</v>
      </c>
      <c r="N321" s="5">
        <v>156.5</v>
      </c>
      <c r="O321" s="5">
        <v>178.2</v>
      </c>
      <c r="P321" s="5">
        <v>172.2</v>
      </c>
      <c r="Q321" s="5">
        <v>196.8</v>
      </c>
      <c r="R321" s="5">
        <v>163.30000000000001</v>
      </c>
      <c r="S321" s="5">
        <v>146.69999999999999</v>
      </c>
      <c r="T321" s="5">
        <v>160.69999999999999</v>
      </c>
      <c r="U321" s="5">
        <v>163.4</v>
      </c>
      <c r="V321" s="5">
        <v>161.69999999999999</v>
      </c>
      <c r="W321" s="5">
        <v>156</v>
      </c>
      <c r="X321" s="5">
        <v>165.1</v>
      </c>
      <c r="Y321" s="5">
        <v>151.80000000000001</v>
      </c>
      <c r="Z321" s="5">
        <v>157.6</v>
      </c>
      <c r="AA321" s="5">
        <v>160.6</v>
      </c>
      <c r="AB321" s="5">
        <v>162.4</v>
      </c>
      <c r="AC321" s="5">
        <v>157.80000000000001</v>
      </c>
      <c r="AD321" s="12">
        <v>165.2</v>
      </c>
      <c r="AE321" s="26">
        <v>1</v>
      </c>
    </row>
    <row r="322" spans="1:31">
      <c r="A322" s="11" t="s">
        <v>69</v>
      </c>
      <c r="B322" s="5">
        <v>2021</v>
      </c>
      <c r="C322" s="5" t="s">
        <v>80</v>
      </c>
      <c r="D322" s="5">
        <v>148.69999999999999</v>
      </c>
      <c r="E322" s="5">
        <v>198.8</v>
      </c>
      <c r="F322" s="5">
        <v>177.9</v>
      </c>
      <c r="G322" s="5">
        <v>159.9</v>
      </c>
      <c r="H322" s="5">
        <v>187.6</v>
      </c>
      <c r="I322" s="5">
        <v>154.9</v>
      </c>
      <c r="J322" s="5">
        <v>188.3</v>
      </c>
      <c r="K322" s="5">
        <v>164.4</v>
      </c>
      <c r="L322" s="5">
        <v>121</v>
      </c>
      <c r="M322" s="5">
        <v>170.5</v>
      </c>
      <c r="N322" s="5">
        <v>164.2</v>
      </c>
      <c r="O322" s="5">
        <v>176.5</v>
      </c>
      <c r="P322" s="5">
        <v>168.2</v>
      </c>
      <c r="Q322" s="5">
        <v>192.4</v>
      </c>
      <c r="R322" s="5">
        <v>168.5</v>
      </c>
      <c r="S322" s="5">
        <v>158.69999999999999</v>
      </c>
      <c r="T322" s="5">
        <v>167</v>
      </c>
      <c r="U322" s="5">
        <v>163.4</v>
      </c>
      <c r="V322" s="5">
        <v>164.1</v>
      </c>
      <c r="W322" s="5">
        <v>160.19999999999999</v>
      </c>
      <c r="X322" s="5">
        <v>170.6</v>
      </c>
      <c r="Y322" s="5">
        <v>155.69999999999999</v>
      </c>
      <c r="Z322" s="5">
        <v>160.6</v>
      </c>
      <c r="AA322" s="5">
        <v>164.4</v>
      </c>
      <c r="AB322" s="5">
        <v>162.6</v>
      </c>
      <c r="AC322" s="5">
        <v>162</v>
      </c>
      <c r="AD322" s="12">
        <v>166.2</v>
      </c>
      <c r="AE322" s="26">
        <v>1</v>
      </c>
    </row>
    <row r="323" spans="1:31">
      <c r="A323" s="11" t="s">
        <v>65</v>
      </c>
      <c r="B323" s="5">
        <v>2022</v>
      </c>
      <c r="C323" s="5" t="s">
        <v>66</v>
      </c>
      <c r="D323" s="5">
        <v>148.30000000000001</v>
      </c>
      <c r="E323" s="5">
        <v>196.9</v>
      </c>
      <c r="F323" s="5">
        <v>178</v>
      </c>
      <c r="G323" s="5">
        <v>160.5</v>
      </c>
      <c r="H323" s="5">
        <v>192.6</v>
      </c>
      <c r="I323" s="5">
        <v>151.19999999999999</v>
      </c>
      <c r="J323" s="5">
        <v>159.19999999999999</v>
      </c>
      <c r="K323" s="5">
        <v>164</v>
      </c>
      <c r="L323" s="5">
        <v>119.3</v>
      </c>
      <c r="M323" s="5">
        <v>173.3</v>
      </c>
      <c r="N323" s="5">
        <v>169.8</v>
      </c>
      <c r="O323" s="5">
        <v>175.8</v>
      </c>
      <c r="P323" s="5">
        <v>164.1</v>
      </c>
      <c r="Q323" s="5">
        <v>190.7</v>
      </c>
      <c r="R323" s="5">
        <v>173.2</v>
      </c>
      <c r="S323" s="5">
        <v>169.3</v>
      </c>
      <c r="T323" s="5">
        <v>172.7</v>
      </c>
      <c r="U323" s="5" t="s">
        <v>67</v>
      </c>
      <c r="V323" s="5">
        <v>165.8</v>
      </c>
      <c r="W323" s="5">
        <v>164.9</v>
      </c>
      <c r="X323" s="5">
        <v>174.7</v>
      </c>
      <c r="Y323" s="5">
        <v>160.80000000000001</v>
      </c>
      <c r="Z323" s="5">
        <v>164.9</v>
      </c>
      <c r="AA323" s="5">
        <v>169.9</v>
      </c>
      <c r="AB323" s="5">
        <v>163.19999999999999</v>
      </c>
      <c r="AC323" s="5">
        <v>166.6</v>
      </c>
      <c r="AD323" s="12">
        <v>166.4</v>
      </c>
      <c r="AE323" s="26">
        <v>1</v>
      </c>
    </row>
    <row r="324" spans="1:31">
      <c r="A324" s="11" t="s">
        <v>68</v>
      </c>
      <c r="B324" s="5">
        <v>2022</v>
      </c>
      <c r="C324" s="5" t="s">
        <v>66</v>
      </c>
      <c r="D324" s="5">
        <v>152.19999999999999</v>
      </c>
      <c r="E324" s="5">
        <v>202.1</v>
      </c>
      <c r="F324" s="5">
        <v>180.1</v>
      </c>
      <c r="G324" s="5">
        <v>160.4</v>
      </c>
      <c r="H324" s="5">
        <v>171</v>
      </c>
      <c r="I324" s="5">
        <v>156.5</v>
      </c>
      <c r="J324" s="5">
        <v>203.6</v>
      </c>
      <c r="K324" s="5">
        <v>163.80000000000001</v>
      </c>
      <c r="L324" s="5">
        <v>121.3</v>
      </c>
      <c r="M324" s="5">
        <v>169.8</v>
      </c>
      <c r="N324" s="5">
        <v>156.6</v>
      </c>
      <c r="O324" s="5">
        <v>179</v>
      </c>
      <c r="P324" s="5">
        <v>170.3</v>
      </c>
      <c r="Q324" s="5">
        <v>196.4</v>
      </c>
      <c r="R324" s="5">
        <v>164.7</v>
      </c>
      <c r="S324" s="5">
        <v>148.5</v>
      </c>
      <c r="T324" s="5">
        <v>162.19999999999999</v>
      </c>
      <c r="U324" s="5">
        <v>164.5</v>
      </c>
      <c r="V324" s="5">
        <v>161.6</v>
      </c>
      <c r="W324" s="5">
        <v>156.80000000000001</v>
      </c>
      <c r="X324" s="5">
        <v>166.1</v>
      </c>
      <c r="Y324" s="5">
        <v>152.69999999999999</v>
      </c>
      <c r="Z324" s="5">
        <v>158.4</v>
      </c>
      <c r="AA324" s="5">
        <v>161</v>
      </c>
      <c r="AB324" s="5">
        <v>162.80000000000001</v>
      </c>
      <c r="AC324" s="5">
        <v>158.6</v>
      </c>
      <c r="AD324" s="12">
        <v>165</v>
      </c>
      <c r="AE324" s="26">
        <v>1</v>
      </c>
    </row>
    <row r="325" spans="1:31">
      <c r="A325" s="11" t="s">
        <v>69</v>
      </c>
      <c r="B325" s="5">
        <v>2022</v>
      </c>
      <c r="C325" s="5" t="s">
        <v>66</v>
      </c>
      <c r="D325" s="5">
        <v>149.5</v>
      </c>
      <c r="E325" s="5">
        <v>198.7</v>
      </c>
      <c r="F325" s="5">
        <v>178.8</v>
      </c>
      <c r="G325" s="5">
        <v>160.5</v>
      </c>
      <c r="H325" s="5">
        <v>184.7</v>
      </c>
      <c r="I325" s="5">
        <v>153.69999999999999</v>
      </c>
      <c r="J325" s="5">
        <v>174.3</v>
      </c>
      <c r="K325" s="5">
        <v>163.9</v>
      </c>
      <c r="L325" s="5">
        <v>120</v>
      </c>
      <c r="M325" s="5">
        <v>172.1</v>
      </c>
      <c r="N325" s="5">
        <v>164.3</v>
      </c>
      <c r="O325" s="5">
        <v>177.3</v>
      </c>
      <c r="P325" s="5">
        <v>166.4</v>
      </c>
      <c r="Q325" s="5">
        <v>192.2</v>
      </c>
      <c r="R325" s="5">
        <v>169.9</v>
      </c>
      <c r="S325" s="5">
        <v>160.69999999999999</v>
      </c>
      <c r="T325" s="5">
        <v>168.5</v>
      </c>
      <c r="U325" s="5">
        <v>164.5</v>
      </c>
      <c r="V325" s="5">
        <v>164.2</v>
      </c>
      <c r="W325" s="5">
        <v>161.1</v>
      </c>
      <c r="X325" s="5">
        <v>171.4</v>
      </c>
      <c r="Y325" s="5">
        <v>156.5</v>
      </c>
      <c r="Z325" s="5">
        <v>161.19999999999999</v>
      </c>
      <c r="AA325" s="5">
        <v>164.7</v>
      </c>
      <c r="AB325" s="5">
        <v>163</v>
      </c>
      <c r="AC325" s="5">
        <v>162.69999999999999</v>
      </c>
      <c r="AD325" s="12">
        <v>165.7</v>
      </c>
      <c r="AE325" s="26">
        <v>1</v>
      </c>
    </row>
    <row r="326" spans="1:31">
      <c r="A326" s="11" t="s">
        <v>65</v>
      </c>
      <c r="B326" s="5">
        <v>2022</v>
      </c>
      <c r="C326" s="5" t="s">
        <v>70</v>
      </c>
      <c r="D326" s="5">
        <v>148.80000000000001</v>
      </c>
      <c r="E326" s="5">
        <v>198.1</v>
      </c>
      <c r="F326" s="5">
        <v>175.5</v>
      </c>
      <c r="G326" s="5">
        <v>160.69999999999999</v>
      </c>
      <c r="H326" s="5">
        <v>192.6</v>
      </c>
      <c r="I326" s="5">
        <v>151.4</v>
      </c>
      <c r="J326" s="5">
        <v>155.19999999999999</v>
      </c>
      <c r="K326" s="5">
        <v>163.9</v>
      </c>
      <c r="L326" s="5">
        <v>118.1</v>
      </c>
      <c r="M326" s="5">
        <v>175.4</v>
      </c>
      <c r="N326" s="5">
        <v>170.5</v>
      </c>
      <c r="O326" s="5">
        <v>176.3</v>
      </c>
      <c r="P326" s="5">
        <v>163.9</v>
      </c>
      <c r="Q326" s="5">
        <v>191.5</v>
      </c>
      <c r="R326" s="5">
        <v>174.1</v>
      </c>
      <c r="S326" s="5">
        <v>171</v>
      </c>
      <c r="T326" s="5">
        <v>173.7</v>
      </c>
      <c r="U326" s="5" t="s">
        <v>67</v>
      </c>
      <c r="V326" s="5">
        <v>167.4</v>
      </c>
      <c r="W326" s="5">
        <v>165.7</v>
      </c>
      <c r="X326" s="5">
        <v>175.3</v>
      </c>
      <c r="Y326" s="5">
        <v>161.19999999999999</v>
      </c>
      <c r="Z326" s="5">
        <v>165.5</v>
      </c>
      <c r="AA326" s="5">
        <v>170.3</v>
      </c>
      <c r="AB326" s="5">
        <v>164.5</v>
      </c>
      <c r="AC326" s="5">
        <v>167.3</v>
      </c>
      <c r="AD326" s="12">
        <v>166.7</v>
      </c>
      <c r="AE326" s="26">
        <v>1</v>
      </c>
    </row>
    <row r="327" spans="1:31">
      <c r="A327" s="11" t="s">
        <v>68</v>
      </c>
      <c r="B327" s="5">
        <v>2022</v>
      </c>
      <c r="C327" s="5" t="s">
        <v>70</v>
      </c>
      <c r="D327" s="5">
        <v>152.5</v>
      </c>
      <c r="E327" s="5">
        <v>205.2</v>
      </c>
      <c r="F327" s="5">
        <v>176.4</v>
      </c>
      <c r="G327" s="5">
        <v>160.6</v>
      </c>
      <c r="H327" s="5">
        <v>171.5</v>
      </c>
      <c r="I327" s="5">
        <v>156.4</v>
      </c>
      <c r="J327" s="5">
        <v>198</v>
      </c>
      <c r="K327" s="5">
        <v>163.19999999999999</v>
      </c>
      <c r="L327" s="5">
        <v>120.6</v>
      </c>
      <c r="M327" s="5">
        <v>172.2</v>
      </c>
      <c r="N327" s="5">
        <v>156.69999999999999</v>
      </c>
      <c r="O327" s="5">
        <v>180</v>
      </c>
      <c r="P327" s="5">
        <v>170.2</v>
      </c>
      <c r="Q327" s="5">
        <v>196.5</v>
      </c>
      <c r="R327" s="5">
        <v>165.7</v>
      </c>
      <c r="S327" s="5">
        <v>150.4</v>
      </c>
      <c r="T327" s="5">
        <v>163.4</v>
      </c>
      <c r="U327" s="5">
        <v>165.5</v>
      </c>
      <c r="V327" s="5">
        <v>163</v>
      </c>
      <c r="W327" s="5">
        <v>157.4</v>
      </c>
      <c r="X327" s="5">
        <v>167.2</v>
      </c>
      <c r="Y327" s="5">
        <v>153.1</v>
      </c>
      <c r="Z327" s="5">
        <v>159.5</v>
      </c>
      <c r="AA327" s="5">
        <v>162</v>
      </c>
      <c r="AB327" s="5">
        <v>164.2</v>
      </c>
      <c r="AC327" s="5">
        <v>159.4</v>
      </c>
      <c r="AD327" s="12">
        <v>165.5</v>
      </c>
      <c r="AE327" s="26">
        <v>1</v>
      </c>
    </row>
    <row r="328" spans="1:31">
      <c r="A328" s="11" t="s">
        <v>69</v>
      </c>
      <c r="B328" s="5">
        <v>2022</v>
      </c>
      <c r="C328" s="5" t="s">
        <v>70</v>
      </c>
      <c r="D328" s="5">
        <v>150</v>
      </c>
      <c r="E328" s="5">
        <v>200.6</v>
      </c>
      <c r="F328" s="5">
        <v>175.8</v>
      </c>
      <c r="G328" s="5">
        <v>160.69999999999999</v>
      </c>
      <c r="H328" s="5">
        <v>184.9</v>
      </c>
      <c r="I328" s="5">
        <v>153.69999999999999</v>
      </c>
      <c r="J328" s="5">
        <v>169.7</v>
      </c>
      <c r="K328" s="5">
        <v>163.69999999999999</v>
      </c>
      <c r="L328" s="5">
        <v>118.9</v>
      </c>
      <c r="M328" s="5">
        <v>174.3</v>
      </c>
      <c r="N328" s="5">
        <v>164.7</v>
      </c>
      <c r="O328" s="5">
        <v>178</v>
      </c>
      <c r="P328" s="5">
        <v>166.2</v>
      </c>
      <c r="Q328" s="5">
        <v>192.8</v>
      </c>
      <c r="R328" s="5">
        <v>170.8</v>
      </c>
      <c r="S328" s="5">
        <v>162.4</v>
      </c>
      <c r="T328" s="5">
        <v>169.6</v>
      </c>
      <c r="U328" s="5">
        <v>165.5</v>
      </c>
      <c r="V328" s="5">
        <v>165.7</v>
      </c>
      <c r="W328" s="5">
        <v>161.80000000000001</v>
      </c>
      <c r="X328" s="5">
        <v>172.2</v>
      </c>
      <c r="Y328" s="5">
        <v>156.9</v>
      </c>
      <c r="Z328" s="5">
        <v>162.1</v>
      </c>
      <c r="AA328" s="5">
        <v>165.4</v>
      </c>
      <c r="AB328" s="5">
        <v>164.4</v>
      </c>
      <c r="AC328" s="5">
        <v>163.5</v>
      </c>
      <c r="AD328" s="12">
        <v>166.1</v>
      </c>
      <c r="AE328" s="26">
        <v>1</v>
      </c>
    </row>
    <row r="329" spans="1:31">
      <c r="A329" s="11" t="s">
        <v>65</v>
      </c>
      <c r="B329" s="5">
        <v>2022</v>
      </c>
      <c r="C329" s="5" t="s">
        <v>71</v>
      </c>
      <c r="D329" s="5">
        <v>150.19999999999999</v>
      </c>
      <c r="E329" s="5">
        <v>208</v>
      </c>
      <c r="F329" s="5">
        <v>167.9</v>
      </c>
      <c r="G329" s="5">
        <v>162</v>
      </c>
      <c r="H329" s="5">
        <v>203.1</v>
      </c>
      <c r="I329" s="5">
        <v>155.9</v>
      </c>
      <c r="J329" s="5">
        <v>155.80000000000001</v>
      </c>
      <c r="K329" s="5">
        <v>164.2</v>
      </c>
      <c r="L329" s="5">
        <v>118.1</v>
      </c>
      <c r="M329" s="5">
        <v>178.7</v>
      </c>
      <c r="N329" s="5">
        <v>171.2</v>
      </c>
      <c r="O329" s="5">
        <v>177.4</v>
      </c>
      <c r="P329" s="5">
        <v>166.6</v>
      </c>
      <c r="Q329" s="5">
        <v>192.3</v>
      </c>
      <c r="R329" s="5">
        <v>175.4</v>
      </c>
      <c r="S329" s="5">
        <v>173.2</v>
      </c>
      <c r="T329" s="5">
        <v>175.1</v>
      </c>
      <c r="U329" s="5" t="s">
        <v>67</v>
      </c>
      <c r="V329" s="5">
        <v>168.9</v>
      </c>
      <c r="W329" s="5">
        <v>166.5</v>
      </c>
      <c r="X329" s="5">
        <v>176</v>
      </c>
      <c r="Y329" s="5">
        <v>162</v>
      </c>
      <c r="Z329" s="5">
        <v>166.6</v>
      </c>
      <c r="AA329" s="5">
        <v>170.6</v>
      </c>
      <c r="AB329" s="5">
        <v>167.4</v>
      </c>
      <c r="AC329" s="5">
        <v>168.3</v>
      </c>
      <c r="AD329" s="12">
        <v>168.7</v>
      </c>
      <c r="AE329" s="26">
        <v>1</v>
      </c>
    </row>
    <row r="330" spans="1:31">
      <c r="A330" s="11" t="s">
        <v>68</v>
      </c>
      <c r="B330" s="5">
        <v>2022</v>
      </c>
      <c r="C330" s="5" t="s">
        <v>71</v>
      </c>
      <c r="D330" s="5">
        <v>153.69999999999999</v>
      </c>
      <c r="E330" s="5">
        <v>215.8</v>
      </c>
      <c r="F330" s="5">
        <v>167.7</v>
      </c>
      <c r="G330" s="5">
        <v>162.6</v>
      </c>
      <c r="H330" s="5">
        <v>180</v>
      </c>
      <c r="I330" s="5">
        <v>159.6</v>
      </c>
      <c r="J330" s="5">
        <v>188.4</v>
      </c>
      <c r="K330" s="5">
        <v>163.4</v>
      </c>
      <c r="L330" s="5">
        <v>120.3</v>
      </c>
      <c r="M330" s="5">
        <v>174.7</v>
      </c>
      <c r="N330" s="5">
        <v>157.1</v>
      </c>
      <c r="O330" s="5">
        <v>181.5</v>
      </c>
      <c r="P330" s="5">
        <v>171.5</v>
      </c>
      <c r="Q330" s="5">
        <v>197.5</v>
      </c>
      <c r="R330" s="5">
        <v>167.1</v>
      </c>
      <c r="S330" s="5">
        <v>152.6</v>
      </c>
      <c r="T330" s="5">
        <v>164.9</v>
      </c>
      <c r="U330" s="5">
        <v>165.3</v>
      </c>
      <c r="V330" s="5">
        <v>164.5</v>
      </c>
      <c r="W330" s="5">
        <v>158.6</v>
      </c>
      <c r="X330" s="5">
        <v>168.2</v>
      </c>
      <c r="Y330" s="5">
        <v>154.19999999999999</v>
      </c>
      <c r="Z330" s="5">
        <v>160.80000000000001</v>
      </c>
      <c r="AA330" s="5">
        <v>162.69999999999999</v>
      </c>
      <c r="AB330" s="5">
        <v>166.8</v>
      </c>
      <c r="AC330" s="5">
        <v>160.6</v>
      </c>
      <c r="AD330" s="12">
        <v>166.5</v>
      </c>
      <c r="AE330" s="26">
        <v>1</v>
      </c>
    </row>
    <row r="331" spans="1:31">
      <c r="A331" s="11" t="s">
        <v>69</v>
      </c>
      <c r="B331" s="5">
        <v>2022</v>
      </c>
      <c r="C331" s="5" t="s">
        <v>71</v>
      </c>
      <c r="D331" s="5">
        <v>151.30000000000001</v>
      </c>
      <c r="E331" s="5">
        <v>210.7</v>
      </c>
      <c r="F331" s="5">
        <v>167.8</v>
      </c>
      <c r="G331" s="5">
        <v>162.19999999999999</v>
      </c>
      <c r="H331" s="5">
        <v>194.6</v>
      </c>
      <c r="I331" s="5">
        <v>157.6</v>
      </c>
      <c r="J331" s="5">
        <v>166.9</v>
      </c>
      <c r="K331" s="5">
        <v>163.9</v>
      </c>
      <c r="L331" s="5">
        <v>118.8</v>
      </c>
      <c r="M331" s="5">
        <v>177.4</v>
      </c>
      <c r="N331" s="5">
        <v>165.3</v>
      </c>
      <c r="O331" s="5">
        <v>179.3</v>
      </c>
      <c r="P331" s="5">
        <v>168.4</v>
      </c>
      <c r="Q331" s="5">
        <v>193.7</v>
      </c>
      <c r="R331" s="5">
        <v>172.1</v>
      </c>
      <c r="S331" s="5">
        <v>164.6</v>
      </c>
      <c r="T331" s="5">
        <v>171.1</v>
      </c>
      <c r="U331" s="5">
        <v>165.3</v>
      </c>
      <c r="V331" s="5">
        <v>167.2</v>
      </c>
      <c r="W331" s="5">
        <v>162.80000000000001</v>
      </c>
      <c r="X331" s="5">
        <v>173</v>
      </c>
      <c r="Y331" s="5">
        <v>157.9</v>
      </c>
      <c r="Z331" s="5">
        <v>163.30000000000001</v>
      </c>
      <c r="AA331" s="5">
        <v>166</v>
      </c>
      <c r="AB331" s="5">
        <v>167.2</v>
      </c>
      <c r="AC331" s="5">
        <v>164.6</v>
      </c>
      <c r="AD331" s="12">
        <v>167.7</v>
      </c>
      <c r="AE331" s="26">
        <v>1</v>
      </c>
    </row>
    <row r="332" spans="1:31">
      <c r="A332" s="11" t="s">
        <v>65</v>
      </c>
      <c r="B332" s="5">
        <v>2022</v>
      </c>
      <c r="C332" s="5" t="s">
        <v>72</v>
      </c>
      <c r="D332" s="5">
        <v>151.80000000000001</v>
      </c>
      <c r="E332" s="5">
        <v>209.7</v>
      </c>
      <c r="F332" s="5">
        <v>164.5</v>
      </c>
      <c r="G332" s="5">
        <v>163.80000000000001</v>
      </c>
      <c r="H332" s="5">
        <v>207.4</v>
      </c>
      <c r="I332" s="5">
        <v>169.7</v>
      </c>
      <c r="J332" s="5">
        <v>153.6</v>
      </c>
      <c r="K332" s="5">
        <v>165.1</v>
      </c>
      <c r="L332" s="5">
        <v>118.2</v>
      </c>
      <c r="M332" s="5">
        <v>182.9</v>
      </c>
      <c r="N332" s="5">
        <v>172.4</v>
      </c>
      <c r="O332" s="5">
        <v>178.9</v>
      </c>
      <c r="P332" s="5">
        <v>168.6</v>
      </c>
      <c r="Q332" s="5">
        <v>192.8</v>
      </c>
      <c r="R332" s="5">
        <v>177.5</v>
      </c>
      <c r="S332" s="5">
        <v>175.1</v>
      </c>
      <c r="T332" s="5">
        <v>177.1</v>
      </c>
      <c r="U332" s="5" t="s">
        <v>67</v>
      </c>
      <c r="V332" s="5">
        <v>173.3</v>
      </c>
      <c r="W332" s="5">
        <v>167.7</v>
      </c>
      <c r="X332" s="5">
        <v>177</v>
      </c>
      <c r="Y332" s="5">
        <v>166.2</v>
      </c>
      <c r="Z332" s="5">
        <v>167.2</v>
      </c>
      <c r="AA332" s="5">
        <v>170.9</v>
      </c>
      <c r="AB332" s="5">
        <v>169</v>
      </c>
      <c r="AC332" s="5">
        <v>170.2</v>
      </c>
      <c r="AD332" s="12">
        <v>170.8</v>
      </c>
      <c r="AE332" s="26">
        <v>1</v>
      </c>
    </row>
    <row r="333" spans="1:31">
      <c r="A333" s="11" t="s">
        <v>68</v>
      </c>
      <c r="B333" s="5">
        <v>2022</v>
      </c>
      <c r="C333" s="5" t="s">
        <v>72</v>
      </c>
      <c r="D333" s="5">
        <v>155.4</v>
      </c>
      <c r="E333" s="5">
        <v>215.8</v>
      </c>
      <c r="F333" s="5">
        <v>164.6</v>
      </c>
      <c r="G333" s="5">
        <v>164.2</v>
      </c>
      <c r="H333" s="5">
        <v>186</v>
      </c>
      <c r="I333" s="5">
        <v>175.9</v>
      </c>
      <c r="J333" s="5">
        <v>190.7</v>
      </c>
      <c r="K333" s="5">
        <v>164</v>
      </c>
      <c r="L333" s="5">
        <v>120.5</v>
      </c>
      <c r="M333" s="5">
        <v>178</v>
      </c>
      <c r="N333" s="5">
        <v>157.5</v>
      </c>
      <c r="O333" s="5">
        <v>183.3</v>
      </c>
      <c r="P333" s="5">
        <v>174.5</v>
      </c>
      <c r="Q333" s="5">
        <v>197.1</v>
      </c>
      <c r="R333" s="5">
        <v>168.4</v>
      </c>
      <c r="S333" s="5">
        <v>154.5</v>
      </c>
      <c r="T333" s="5">
        <v>166.3</v>
      </c>
      <c r="U333" s="5">
        <v>167</v>
      </c>
      <c r="V333" s="5">
        <v>170.5</v>
      </c>
      <c r="W333" s="5">
        <v>159.80000000000001</v>
      </c>
      <c r="X333" s="5">
        <v>169</v>
      </c>
      <c r="Y333" s="5">
        <v>159.30000000000001</v>
      </c>
      <c r="Z333" s="5">
        <v>162.19999999999999</v>
      </c>
      <c r="AA333" s="5">
        <v>164</v>
      </c>
      <c r="AB333" s="5">
        <v>168.4</v>
      </c>
      <c r="AC333" s="5">
        <v>163.1</v>
      </c>
      <c r="AD333" s="12">
        <v>169.2</v>
      </c>
      <c r="AE333" s="26">
        <v>1</v>
      </c>
    </row>
    <row r="334" spans="1:31">
      <c r="A334" s="11" t="s">
        <v>69</v>
      </c>
      <c r="B334" s="5">
        <v>2022</v>
      </c>
      <c r="C334" s="5" t="s">
        <v>72</v>
      </c>
      <c r="D334" s="5">
        <v>152.9</v>
      </c>
      <c r="E334" s="5">
        <v>211.8</v>
      </c>
      <c r="F334" s="5">
        <v>164.5</v>
      </c>
      <c r="G334" s="5">
        <v>163.9</v>
      </c>
      <c r="H334" s="5">
        <v>199.5</v>
      </c>
      <c r="I334" s="5">
        <v>172.6</v>
      </c>
      <c r="J334" s="5">
        <v>166.2</v>
      </c>
      <c r="K334" s="5">
        <v>164.7</v>
      </c>
      <c r="L334" s="5">
        <v>119</v>
      </c>
      <c r="M334" s="5">
        <v>181.3</v>
      </c>
      <c r="N334" s="5">
        <v>166.2</v>
      </c>
      <c r="O334" s="5">
        <v>180.9</v>
      </c>
      <c r="P334" s="5">
        <v>170.8</v>
      </c>
      <c r="Q334" s="5">
        <v>193.9</v>
      </c>
      <c r="R334" s="5">
        <v>173.9</v>
      </c>
      <c r="S334" s="5">
        <v>166.5</v>
      </c>
      <c r="T334" s="5">
        <v>172.8</v>
      </c>
      <c r="U334" s="5">
        <v>167</v>
      </c>
      <c r="V334" s="5">
        <v>172.2</v>
      </c>
      <c r="W334" s="5">
        <v>164</v>
      </c>
      <c r="X334" s="5">
        <v>174</v>
      </c>
      <c r="Y334" s="5">
        <v>162.6</v>
      </c>
      <c r="Z334" s="5">
        <v>164.4</v>
      </c>
      <c r="AA334" s="5">
        <v>166.9</v>
      </c>
      <c r="AB334" s="5">
        <v>168.8</v>
      </c>
      <c r="AC334" s="5">
        <v>166.8</v>
      </c>
      <c r="AD334" s="12">
        <v>170.1</v>
      </c>
      <c r="AE334" s="26">
        <v>1</v>
      </c>
    </row>
    <row r="335" spans="1:31">
      <c r="A335" s="11" t="s">
        <v>65</v>
      </c>
      <c r="B335" s="5">
        <v>2022</v>
      </c>
      <c r="C335" s="5" t="s">
        <v>73</v>
      </c>
      <c r="D335" s="5">
        <v>152.9</v>
      </c>
      <c r="E335" s="5">
        <v>214.7</v>
      </c>
      <c r="F335" s="5">
        <v>161.4</v>
      </c>
      <c r="G335" s="5">
        <v>164.6</v>
      </c>
      <c r="H335" s="5">
        <v>209.9</v>
      </c>
      <c r="I335" s="5">
        <v>168</v>
      </c>
      <c r="J335" s="5">
        <v>160.4</v>
      </c>
      <c r="K335" s="5">
        <v>165</v>
      </c>
      <c r="L335" s="5">
        <v>118.9</v>
      </c>
      <c r="M335" s="5">
        <v>186.6</v>
      </c>
      <c r="N335" s="5">
        <v>173.2</v>
      </c>
      <c r="O335" s="5">
        <v>180.4</v>
      </c>
      <c r="P335" s="5">
        <v>170.8</v>
      </c>
      <c r="Q335" s="5">
        <v>192.9</v>
      </c>
      <c r="R335" s="5">
        <v>179.3</v>
      </c>
      <c r="S335" s="5">
        <v>177.2</v>
      </c>
      <c r="T335" s="5">
        <v>179</v>
      </c>
      <c r="U335" s="5" t="s">
        <v>67</v>
      </c>
      <c r="V335" s="5">
        <v>175.3</v>
      </c>
      <c r="W335" s="5">
        <v>168.9</v>
      </c>
      <c r="X335" s="5">
        <v>177.7</v>
      </c>
      <c r="Y335" s="5">
        <v>167.1</v>
      </c>
      <c r="Z335" s="5">
        <v>167.6</v>
      </c>
      <c r="AA335" s="5">
        <v>171.8</v>
      </c>
      <c r="AB335" s="5">
        <v>168.5</v>
      </c>
      <c r="AC335" s="5">
        <v>170.9</v>
      </c>
      <c r="AD335" s="12">
        <v>172.5</v>
      </c>
      <c r="AE335" s="26">
        <v>1</v>
      </c>
    </row>
    <row r="336" spans="1:31">
      <c r="A336" s="11" t="s">
        <v>68</v>
      </c>
      <c r="B336" s="5">
        <v>2022</v>
      </c>
      <c r="C336" s="5" t="s">
        <v>73</v>
      </c>
      <c r="D336" s="5">
        <v>156.69999999999999</v>
      </c>
      <c r="E336" s="5">
        <v>221.2</v>
      </c>
      <c r="F336" s="5">
        <v>164.1</v>
      </c>
      <c r="G336" s="5">
        <v>165.4</v>
      </c>
      <c r="H336" s="5">
        <v>189.5</v>
      </c>
      <c r="I336" s="5">
        <v>174.5</v>
      </c>
      <c r="J336" s="5">
        <v>203.2</v>
      </c>
      <c r="K336" s="5">
        <v>164.1</v>
      </c>
      <c r="L336" s="5">
        <v>121.2</v>
      </c>
      <c r="M336" s="5">
        <v>181.4</v>
      </c>
      <c r="N336" s="5">
        <v>158.5</v>
      </c>
      <c r="O336" s="5">
        <v>184.9</v>
      </c>
      <c r="P336" s="5">
        <v>177.5</v>
      </c>
      <c r="Q336" s="5">
        <v>197.5</v>
      </c>
      <c r="R336" s="5">
        <v>170</v>
      </c>
      <c r="S336" s="5">
        <v>155.9</v>
      </c>
      <c r="T336" s="5">
        <v>167.8</v>
      </c>
      <c r="U336" s="5">
        <v>167.5</v>
      </c>
      <c r="V336" s="5">
        <v>173.5</v>
      </c>
      <c r="W336" s="5">
        <v>161.1</v>
      </c>
      <c r="X336" s="5">
        <v>170.1</v>
      </c>
      <c r="Y336" s="5">
        <v>159.4</v>
      </c>
      <c r="Z336" s="5">
        <v>163.19999999999999</v>
      </c>
      <c r="AA336" s="5">
        <v>165.2</v>
      </c>
      <c r="AB336" s="5">
        <v>168.2</v>
      </c>
      <c r="AC336" s="5">
        <v>163.80000000000001</v>
      </c>
      <c r="AD336" s="12">
        <v>170.8</v>
      </c>
      <c r="AE336" s="26">
        <v>1</v>
      </c>
    </row>
    <row r="337" spans="1:31">
      <c r="A337" s="11" t="s">
        <v>69</v>
      </c>
      <c r="B337" s="5">
        <v>2022</v>
      </c>
      <c r="C337" s="5" t="s">
        <v>73</v>
      </c>
      <c r="D337" s="5">
        <v>154.1</v>
      </c>
      <c r="E337" s="5">
        <v>217</v>
      </c>
      <c r="F337" s="5">
        <v>162.4</v>
      </c>
      <c r="G337" s="5">
        <v>164.9</v>
      </c>
      <c r="H337" s="5">
        <v>202.4</v>
      </c>
      <c r="I337" s="5">
        <v>171</v>
      </c>
      <c r="J337" s="5">
        <v>174.9</v>
      </c>
      <c r="K337" s="5">
        <v>164.7</v>
      </c>
      <c r="L337" s="5">
        <v>119.7</v>
      </c>
      <c r="M337" s="5">
        <v>184.9</v>
      </c>
      <c r="N337" s="5">
        <v>167.1</v>
      </c>
      <c r="O337" s="5">
        <v>182.5</v>
      </c>
      <c r="P337" s="5">
        <v>173.3</v>
      </c>
      <c r="Q337" s="5">
        <v>194.1</v>
      </c>
      <c r="R337" s="5">
        <v>175.6</v>
      </c>
      <c r="S337" s="5">
        <v>168.4</v>
      </c>
      <c r="T337" s="5">
        <v>174.6</v>
      </c>
      <c r="U337" s="5">
        <v>167.5</v>
      </c>
      <c r="V337" s="5">
        <v>174.6</v>
      </c>
      <c r="W337" s="5">
        <v>165.2</v>
      </c>
      <c r="X337" s="5">
        <v>174.8</v>
      </c>
      <c r="Y337" s="5">
        <v>163</v>
      </c>
      <c r="Z337" s="5">
        <v>165.1</v>
      </c>
      <c r="AA337" s="5">
        <v>167.9</v>
      </c>
      <c r="AB337" s="5">
        <v>168.4</v>
      </c>
      <c r="AC337" s="5">
        <v>167.5</v>
      </c>
      <c r="AD337" s="12">
        <v>171.7</v>
      </c>
      <c r="AE337" s="26">
        <v>1</v>
      </c>
    </row>
    <row r="338" spans="1:31">
      <c r="A338" s="11" t="s">
        <v>65</v>
      </c>
      <c r="B338" s="5">
        <v>2022</v>
      </c>
      <c r="C338" s="5" t="s">
        <v>74</v>
      </c>
      <c r="D338" s="5">
        <v>153.80000000000001</v>
      </c>
      <c r="E338" s="5">
        <v>217.2</v>
      </c>
      <c r="F338" s="5">
        <v>169.6</v>
      </c>
      <c r="G338" s="5">
        <v>165.4</v>
      </c>
      <c r="H338" s="5">
        <v>208.1</v>
      </c>
      <c r="I338" s="5">
        <v>165.8</v>
      </c>
      <c r="J338" s="5">
        <v>167.3</v>
      </c>
      <c r="K338" s="5">
        <v>164.6</v>
      </c>
      <c r="L338" s="5">
        <v>119.1</v>
      </c>
      <c r="M338" s="5">
        <v>188.9</v>
      </c>
      <c r="N338" s="5">
        <v>174.2</v>
      </c>
      <c r="O338" s="5">
        <v>181.9</v>
      </c>
      <c r="P338" s="5">
        <v>172.4</v>
      </c>
      <c r="Q338" s="5">
        <v>192.9</v>
      </c>
      <c r="R338" s="5">
        <v>180.7</v>
      </c>
      <c r="S338" s="5">
        <v>178.7</v>
      </c>
      <c r="T338" s="5">
        <v>180.4</v>
      </c>
      <c r="U338" s="5" t="s">
        <v>67</v>
      </c>
      <c r="V338" s="5">
        <v>176.7</v>
      </c>
      <c r="W338" s="5">
        <v>170.3</v>
      </c>
      <c r="X338" s="5">
        <v>178.2</v>
      </c>
      <c r="Y338" s="5">
        <v>165.5</v>
      </c>
      <c r="Z338" s="5">
        <v>168</v>
      </c>
      <c r="AA338" s="5">
        <v>172.6</v>
      </c>
      <c r="AB338" s="5">
        <v>169.5</v>
      </c>
      <c r="AC338" s="5">
        <v>171</v>
      </c>
      <c r="AD338" s="12">
        <v>173.6</v>
      </c>
      <c r="AE338" s="26">
        <v>1</v>
      </c>
    </row>
    <row r="339" spans="1:31">
      <c r="A339" s="11" t="s">
        <v>68</v>
      </c>
      <c r="B339" s="5">
        <v>2022</v>
      </c>
      <c r="C339" s="5" t="s">
        <v>74</v>
      </c>
      <c r="D339" s="5">
        <v>157.5</v>
      </c>
      <c r="E339" s="5">
        <v>223.4</v>
      </c>
      <c r="F339" s="5">
        <v>172.8</v>
      </c>
      <c r="G339" s="5">
        <v>166.4</v>
      </c>
      <c r="H339" s="5">
        <v>188.6</v>
      </c>
      <c r="I339" s="5">
        <v>174.1</v>
      </c>
      <c r="J339" s="5">
        <v>211.5</v>
      </c>
      <c r="K339" s="5">
        <v>163.6</v>
      </c>
      <c r="L339" s="5">
        <v>121.4</v>
      </c>
      <c r="M339" s="5">
        <v>183.5</v>
      </c>
      <c r="N339" s="5">
        <v>159.1</v>
      </c>
      <c r="O339" s="5">
        <v>186.3</v>
      </c>
      <c r="P339" s="5">
        <v>179.3</v>
      </c>
      <c r="Q339" s="5">
        <v>198.3</v>
      </c>
      <c r="R339" s="5">
        <v>171.6</v>
      </c>
      <c r="S339" s="5">
        <v>157.4</v>
      </c>
      <c r="T339" s="5">
        <v>169.4</v>
      </c>
      <c r="U339" s="5">
        <v>166.8</v>
      </c>
      <c r="V339" s="5">
        <v>174.9</v>
      </c>
      <c r="W339" s="5">
        <v>162.1</v>
      </c>
      <c r="X339" s="5">
        <v>170.9</v>
      </c>
      <c r="Y339" s="5">
        <v>157.19999999999999</v>
      </c>
      <c r="Z339" s="5">
        <v>164.1</v>
      </c>
      <c r="AA339" s="5">
        <v>166.5</v>
      </c>
      <c r="AB339" s="5">
        <v>169.2</v>
      </c>
      <c r="AC339" s="5">
        <v>163.80000000000001</v>
      </c>
      <c r="AD339" s="12">
        <v>171.4</v>
      </c>
      <c r="AE339" s="26">
        <v>1</v>
      </c>
    </row>
    <row r="340" spans="1:31">
      <c r="A340" s="11" t="s">
        <v>69</v>
      </c>
      <c r="B340" s="5">
        <v>2022</v>
      </c>
      <c r="C340" s="5" t="s">
        <v>74</v>
      </c>
      <c r="D340" s="5">
        <v>155</v>
      </c>
      <c r="E340" s="5">
        <v>219.4</v>
      </c>
      <c r="F340" s="5">
        <v>170.8</v>
      </c>
      <c r="G340" s="5">
        <v>165.8</v>
      </c>
      <c r="H340" s="5">
        <v>200.9</v>
      </c>
      <c r="I340" s="5">
        <v>169.7</v>
      </c>
      <c r="J340" s="5">
        <v>182.3</v>
      </c>
      <c r="K340" s="5">
        <v>164.3</v>
      </c>
      <c r="L340" s="5">
        <v>119.9</v>
      </c>
      <c r="M340" s="5">
        <v>187.1</v>
      </c>
      <c r="N340" s="5">
        <v>167.9</v>
      </c>
      <c r="O340" s="5">
        <v>183.9</v>
      </c>
      <c r="P340" s="5">
        <v>174.9</v>
      </c>
      <c r="Q340" s="5">
        <v>194.3</v>
      </c>
      <c r="R340" s="5">
        <v>177.1</v>
      </c>
      <c r="S340" s="5">
        <v>169.9</v>
      </c>
      <c r="T340" s="5">
        <v>176</v>
      </c>
      <c r="U340" s="5">
        <v>166.8</v>
      </c>
      <c r="V340" s="5">
        <v>176</v>
      </c>
      <c r="W340" s="5">
        <v>166.4</v>
      </c>
      <c r="X340" s="5">
        <v>175.4</v>
      </c>
      <c r="Y340" s="5">
        <v>161.1</v>
      </c>
      <c r="Z340" s="5">
        <v>165.8</v>
      </c>
      <c r="AA340" s="5">
        <v>169</v>
      </c>
      <c r="AB340" s="5">
        <v>169.4</v>
      </c>
      <c r="AC340" s="5">
        <v>167.5</v>
      </c>
      <c r="AD340" s="12">
        <v>172.6</v>
      </c>
      <c r="AE340" s="26">
        <v>1</v>
      </c>
    </row>
    <row r="341" spans="1:31">
      <c r="A341" s="11" t="s">
        <v>65</v>
      </c>
      <c r="B341" s="5">
        <v>2022</v>
      </c>
      <c r="C341" s="5" t="s">
        <v>75</v>
      </c>
      <c r="D341" s="5">
        <v>155.19999999999999</v>
      </c>
      <c r="E341" s="5">
        <v>210.8</v>
      </c>
      <c r="F341" s="5">
        <v>174.3</v>
      </c>
      <c r="G341" s="5">
        <v>166.3</v>
      </c>
      <c r="H341" s="5">
        <v>202.2</v>
      </c>
      <c r="I341" s="5">
        <v>169.6</v>
      </c>
      <c r="J341" s="5">
        <v>168.6</v>
      </c>
      <c r="K341" s="5">
        <v>164.4</v>
      </c>
      <c r="L341" s="5">
        <v>119.2</v>
      </c>
      <c r="M341" s="5">
        <v>191.8</v>
      </c>
      <c r="N341" s="5">
        <v>174.5</v>
      </c>
      <c r="O341" s="5">
        <v>183.1</v>
      </c>
      <c r="P341" s="5">
        <v>172.5</v>
      </c>
      <c r="Q341" s="5">
        <v>193.2</v>
      </c>
      <c r="R341" s="5">
        <v>182</v>
      </c>
      <c r="S341" s="5">
        <v>180.3</v>
      </c>
      <c r="T341" s="5">
        <v>181.7</v>
      </c>
      <c r="U341" s="5" t="s">
        <v>67</v>
      </c>
      <c r="V341" s="5">
        <v>179.6</v>
      </c>
      <c r="W341" s="5">
        <v>171.3</v>
      </c>
      <c r="X341" s="5">
        <v>178.8</v>
      </c>
      <c r="Y341" s="5">
        <v>166.3</v>
      </c>
      <c r="Z341" s="5">
        <v>168.6</v>
      </c>
      <c r="AA341" s="5">
        <v>174.7</v>
      </c>
      <c r="AB341" s="5">
        <v>169.7</v>
      </c>
      <c r="AC341" s="5">
        <v>171.8</v>
      </c>
      <c r="AD341" s="12">
        <v>174.3</v>
      </c>
      <c r="AE341" s="26">
        <v>1</v>
      </c>
    </row>
    <row r="342" spans="1:31">
      <c r="A342" s="11" t="s">
        <v>68</v>
      </c>
      <c r="B342" s="5">
        <v>2022</v>
      </c>
      <c r="C342" s="5" t="s">
        <v>75</v>
      </c>
      <c r="D342" s="5">
        <v>159.30000000000001</v>
      </c>
      <c r="E342" s="5">
        <v>217.1</v>
      </c>
      <c r="F342" s="5">
        <v>176.6</v>
      </c>
      <c r="G342" s="5">
        <v>167.1</v>
      </c>
      <c r="H342" s="5">
        <v>184.8</v>
      </c>
      <c r="I342" s="5">
        <v>179.5</v>
      </c>
      <c r="J342" s="5">
        <v>208.5</v>
      </c>
      <c r="K342" s="5">
        <v>164</v>
      </c>
      <c r="L342" s="5">
        <v>121.5</v>
      </c>
      <c r="M342" s="5">
        <v>186.3</v>
      </c>
      <c r="N342" s="5">
        <v>159.80000000000001</v>
      </c>
      <c r="O342" s="5">
        <v>187.7</v>
      </c>
      <c r="P342" s="5">
        <v>179.4</v>
      </c>
      <c r="Q342" s="5">
        <v>198.6</v>
      </c>
      <c r="R342" s="5">
        <v>172.7</v>
      </c>
      <c r="S342" s="5">
        <v>158.69999999999999</v>
      </c>
      <c r="T342" s="5">
        <v>170.6</v>
      </c>
      <c r="U342" s="5">
        <v>167.8</v>
      </c>
      <c r="V342" s="5">
        <v>179.5</v>
      </c>
      <c r="W342" s="5">
        <v>163.1</v>
      </c>
      <c r="X342" s="5">
        <v>171.7</v>
      </c>
      <c r="Y342" s="5">
        <v>157.4</v>
      </c>
      <c r="Z342" s="5">
        <v>164.6</v>
      </c>
      <c r="AA342" s="5">
        <v>169.1</v>
      </c>
      <c r="AB342" s="5">
        <v>169.8</v>
      </c>
      <c r="AC342" s="5">
        <v>164.7</v>
      </c>
      <c r="AD342" s="12">
        <v>172.3</v>
      </c>
      <c r="AE342" s="26">
        <v>1</v>
      </c>
    </row>
    <row r="343" spans="1:31">
      <c r="A343" s="11" t="s">
        <v>69</v>
      </c>
      <c r="B343" s="5">
        <v>2022</v>
      </c>
      <c r="C343" s="5" t="s">
        <v>75</v>
      </c>
      <c r="D343" s="5">
        <v>156.5</v>
      </c>
      <c r="E343" s="5">
        <v>213</v>
      </c>
      <c r="F343" s="5">
        <v>175.2</v>
      </c>
      <c r="G343" s="5">
        <v>166.6</v>
      </c>
      <c r="H343" s="5">
        <v>195.8</v>
      </c>
      <c r="I343" s="5">
        <v>174.2</v>
      </c>
      <c r="J343" s="5">
        <v>182.1</v>
      </c>
      <c r="K343" s="5">
        <v>164.3</v>
      </c>
      <c r="L343" s="5">
        <v>120</v>
      </c>
      <c r="M343" s="5">
        <v>190</v>
      </c>
      <c r="N343" s="5">
        <v>168.4</v>
      </c>
      <c r="O343" s="5">
        <v>185.2</v>
      </c>
      <c r="P343" s="5">
        <v>175</v>
      </c>
      <c r="Q343" s="5">
        <v>194.6</v>
      </c>
      <c r="R343" s="5">
        <v>178.3</v>
      </c>
      <c r="S343" s="5">
        <v>171.3</v>
      </c>
      <c r="T343" s="5">
        <v>177.3</v>
      </c>
      <c r="U343" s="5">
        <v>167.8</v>
      </c>
      <c r="V343" s="5">
        <v>179.6</v>
      </c>
      <c r="W343" s="5">
        <v>167.4</v>
      </c>
      <c r="X343" s="5">
        <v>176.1</v>
      </c>
      <c r="Y343" s="5">
        <v>161.6</v>
      </c>
      <c r="Z343" s="5">
        <v>166.3</v>
      </c>
      <c r="AA343" s="5">
        <v>171.4</v>
      </c>
      <c r="AB343" s="5">
        <v>169.7</v>
      </c>
      <c r="AC343" s="5">
        <v>168.4</v>
      </c>
      <c r="AD343" s="12">
        <v>173.4</v>
      </c>
      <c r="AE343" s="26">
        <v>1</v>
      </c>
    </row>
    <row r="344" spans="1:31">
      <c r="A344" s="11" t="s">
        <v>65</v>
      </c>
      <c r="B344" s="5">
        <v>2022</v>
      </c>
      <c r="C344" s="5" t="s">
        <v>76</v>
      </c>
      <c r="D344" s="5">
        <v>159.5</v>
      </c>
      <c r="E344" s="5">
        <v>204.1</v>
      </c>
      <c r="F344" s="5">
        <v>168.3</v>
      </c>
      <c r="G344" s="5">
        <v>167.9</v>
      </c>
      <c r="H344" s="5">
        <v>198.1</v>
      </c>
      <c r="I344" s="5">
        <v>169.2</v>
      </c>
      <c r="J344" s="5">
        <v>173.1</v>
      </c>
      <c r="K344" s="5">
        <v>167.1</v>
      </c>
      <c r="L344" s="5">
        <v>120.2</v>
      </c>
      <c r="M344" s="5">
        <v>195.6</v>
      </c>
      <c r="N344" s="5">
        <v>174.8</v>
      </c>
      <c r="O344" s="5">
        <v>184</v>
      </c>
      <c r="P344" s="5">
        <v>173.9</v>
      </c>
      <c r="Q344" s="5">
        <v>193.7</v>
      </c>
      <c r="R344" s="5">
        <v>183.2</v>
      </c>
      <c r="S344" s="5">
        <v>181.7</v>
      </c>
      <c r="T344" s="5">
        <v>183</v>
      </c>
      <c r="U344" s="5" t="s">
        <v>67</v>
      </c>
      <c r="V344" s="5">
        <v>179.1</v>
      </c>
      <c r="W344" s="5">
        <v>172.3</v>
      </c>
      <c r="X344" s="5">
        <v>179.4</v>
      </c>
      <c r="Y344" s="5">
        <v>166.6</v>
      </c>
      <c r="Z344" s="5">
        <v>169.3</v>
      </c>
      <c r="AA344" s="5">
        <v>175.7</v>
      </c>
      <c r="AB344" s="5">
        <v>171.1</v>
      </c>
      <c r="AC344" s="5">
        <v>172.6</v>
      </c>
      <c r="AD344" s="12">
        <v>175.3</v>
      </c>
      <c r="AE344" s="26">
        <v>1</v>
      </c>
    </row>
    <row r="345" spans="1:31">
      <c r="A345" s="11" t="s">
        <v>68</v>
      </c>
      <c r="B345" s="5">
        <v>2022</v>
      </c>
      <c r="C345" s="5" t="s">
        <v>76</v>
      </c>
      <c r="D345" s="5">
        <v>162.1</v>
      </c>
      <c r="E345" s="5">
        <v>210.9</v>
      </c>
      <c r="F345" s="5">
        <v>170.6</v>
      </c>
      <c r="G345" s="5">
        <v>168.4</v>
      </c>
      <c r="H345" s="5">
        <v>182.5</v>
      </c>
      <c r="I345" s="5">
        <v>177.1</v>
      </c>
      <c r="J345" s="5">
        <v>213.1</v>
      </c>
      <c r="K345" s="5">
        <v>167.3</v>
      </c>
      <c r="L345" s="5">
        <v>122.2</v>
      </c>
      <c r="M345" s="5">
        <v>189.7</v>
      </c>
      <c r="N345" s="5">
        <v>160.5</v>
      </c>
      <c r="O345" s="5">
        <v>188.9</v>
      </c>
      <c r="P345" s="5">
        <v>180.4</v>
      </c>
      <c r="Q345" s="5">
        <v>198.7</v>
      </c>
      <c r="R345" s="5">
        <v>173.7</v>
      </c>
      <c r="S345" s="5">
        <v>160</v>
      </c>
      <c r="T345" s="5">
        <v>171.6</v>
      </c>
      <c r="U345" s="5">
        <v>169</v>
      </c>
      <c r="V345" s="5">
        <v>178.4</v>
      </c>
      <c r="W345" s="5">
        <v>164.2</v>
      </c>
      <c r="X345" s="5">
        <v>172.6</v>
      </c>
      <c r="Y345" s="5">
        <v>157.69999999999999</v>
      </c>
      <c r="Z345" s="5">
        <v>165.1</v>
      </c>
      <c r="AA345" s="5">
        <v>169.9</v>
      </c>
      <c r="AB345" s="5">
        <v>171.4</v>
      </c>
      <c r="AC345" s="5">
        <v>165.4</v>
      </c>
      <c r="AD345" s="12">
        <v>173.1</v>
      </c>
      <c r="AE345" s="26">
        <v>1</v>
      </c>
    </row>
    <row r="346" spans="1:31">
      <c r="A346" s="11" t="s">
        <v>69</v>
      </c>
      <c r="B346" s="5">
        <v>2022</v>
      </c>
      <c r="C346" s="5" t="s">
        <v>76</v>
      </c>
      <c r="D346" s="5">
        <v>160.30000000000001</v>
      </c>
      <c r="E346" s="5">
        <v>206.5</v>
      </c>
      <c r="F346" s="5">
        <v>169.2</v>
      </c>
      <c r="G346" s="5">
        <v>168.1</v>
      </c>
      <c r="H346" s="5">
        <v>192.4</v>
      </c>
      <c r="I346" s="5">
        <v>172.9</v>
      </c>
      <c r="J346" s="5">
        <v>186.7</v>
      </c>
      <c r="K346" s="5">
        <v>167.2</v>
      </c>
      <c r="L346" s="5">
        <v>120.9</v>
      </c>
      <c r="M346" s="5">
        <v>193.6</v>
      </c>
      <c r="N346" s="5">
        <v>168.8</v>
      </c>
      <c r="O346" s="5">
        <v>186.3</v>
      </c>
      <c r="P346" s="5">
        <v>176.3</v>
      </c>
      <c r="Q346" s="5">
        <v>195</v>
      </c>
      <c r="R346" s="5">
        <v>179.5</v>
      </c>
      <c r="S346" s="5">
        <v>172.7</v>
      </c>
      <c r="T346" s="5">
        <v>178.5</v>
      </c>
      <c r="U346" s="5">
        <v>169</v>
      </c>
      <c r="V346" s="5">
        <v>178.8</v>
      </c>
      <c r="W346" s="5">
        <v>168.5</v>
      </c>
      <c r="X346" s="5">
        <v>176.8</v>
      </c>
      <c r="Y346" s="5">
        <v>161.9</v>
      </c>
      <c r="Z346" s="5">
        <v>166.9</v>
      </c>
      <c r="AA346" s="5">
        <v>172.3</v>
      </c>
      <c r="AB346" s="5">
        <v>171.2</v>
      </c>
      <c r="AC346" s="5">
        <v>169.1</v>
      </c>
      <c r="AD346" s="12">
        <v>174.3</v>
      </c>
      <c r="AE346" s="26">
        <v>1</v>
      </c>
    </row>
    <row r="347" spans="1:31">
      <c r="A347" s="11" t="s">
        <v>65</v>
      </c>
      <c r="B347" s="5">
        <v>2022</v>
      </c>
      <c r="C347" s="5" t="s">
        <v>77</v>
      </c>
      <c r="D347" s="5">
        <v>162.9</v>
      </c>
      <c r="E347" s="5">
        <v>206.7</v>
      </c>
      <c r="F347" s="5">
        <v>169</v>
      </c>
      <c r="G347" s="5">
        <v>169.5</v>
      </c>
      <c r="H347" s="5">
        <v>194.1</v>
      </c>
      <c r="I347" s="5">
        <v>164.1</v>
      </c>
      <c r="J347" s="5">
        <v>176.9</v>
      </c>
      <c r="K347" s="5">
        <v>169</v>
      </c>
      <c r="L347" s="5">
        <v>120.8</v>
      </c>
      <c r="M347" s="5">
        <v>199.1</v>
      </c>
      <c r="N347" s="5">
        <v>175.4</v>
      </c>
      <c r="O347" s="5">
        <v>184.8</v>
      </c>
      <c r="P347" s="5">
        <v>175.5</v>
      </c>
      <c r="Q347" s="5">
        <v>194.5</v>
      </c>
      <c r="R347" s="5">
        <v>184.7</v>
      </c>
      <c r="S347" s="5">
        <v>183.3</v>
      </c>
      <c r="T347" s="5">
        <v>184.5</v>
      </c>
      <c r="U347" s="5" t="s">
        <v>67</v>
      </c>
      <c r="V347" s="5">
        <v>179.7</v>
      </c>
      <c r="W347" s="5">
        <v>173.6</v>
      </c>
      <c r="X347" s="5">
        <v>180.2</v>
      </c>
      <c r="Y347" s="5">
        <v>166.9</v>
      </c>
      <c r="Z347" s="5">
        <v>170</v>
      </c>
      <c r="AA347" s="5">
        <v>176.2</v>
      </c>
      <c r="AB347" s="5">
        <v>170.8</v>
      </c>
      <c r="AC347" s="5">
        <v>173.1</v>
      </c>
      <c r="AD347" s="12">
        <v>176.4</v>
      </c>
      <c r="AE347" s="26">
        <v>1</v>
      </c>
    </row>
    <row r="348" spans="1:31">
      <c r="A348" s="11" t="s">
        <v>68</v>
      </c>
      <c r="B348" s="5">
        <v>2022</v>
      </c>
      <c r="C348" s="5" t="s">
        <v>77</v>
      </c>
      <c r="D348" s="5">
        <v>164.9</v>
      </c>
      <c r="E348" s="5">
        <v>213.7</v>
      </c>
      <c r="F348" s="5">
        <v>170.9</v>
      </c>
      <c r="G348" s="5">
        <v>170.1</v>
      </c>
      <c r="H348" s="5">
        <v>179.3</v>
      </c>
      <c r="I348" s="5">
        <v>167.5</v>
      </c>
      <c r="J348" s="5">
        <v>220.8</v>
      </c>
      <c r="K348" s="5">
        <v>169.2</v>
      </c>
      <c r="L348" s="5">
        <v>123.1</v>
      </c>
      <c r="M348" s="5">
        <v>193.6</v>
      </c>
      <c r="N348" s="5">
        <v>161.1</v>
      </c>
      <c r="O348" s="5">
        <v>190.4</v>
      </c>
      <c r="P348" s="5">
        <v>181.8</v>
      </c>
      <c r="Q348" s="5">
        <v>199.7</v>
      </c>
      <c r="R348" s="5">
        <v>175</v>
      </c>
      <c r="S348" s="5">
        <v>161.69999999999999</v>
      </c>
      <c r="T348" s="5">
        <v>173</v>
      </c>
      <c r="U348" s="5">
        <v>169.5</v>
      </c>
      <c r="V348" s="5">
        <v>179.2</v>
      </c>
      <c r="W348" s="5">
        <v>165</v>
      </c>
      <c r="X348" s="5">
        <v>173.8</v>
      </c>
      <c r="Y348" s="5">
        <v>158.19999999999999</v>
      </c>
      <c r="Z348" s="5">
        <v>165.8</v>
      </c>
      <c r="AA348" s="5">
        <v>170.9</v>
      </c>
      <c r="AB348" s="5">
        <v>171.1</v>
      </c>
      <c r="AC348" s="5">
        <v>166.1</v>
      </c>
      <c r="AD348" s="12">
        <v>174.1</v>
      </c>
      <c r="AE348" s="26">
        <v>1</v>
      </c>
    </row>
    <row r="349" spans="1:31">
      <c r="A349" s="11" t="s">
        <v>69</v>
      </c>
      <c r="B349" s="5">
        <v>2022</v>
      </c>
      <c r="C349" s="5" t="s">
        <v>77</v>
      </c>
      <c r="D349" s="5">
        <v>163.5</v>
      </c>
      <c r="E349" s="5">
        <v>209.2</v>
      </c>
      <c r="F349" s="5">
        <v>169.7</v>
      </c>
      <c r="G349" s="5">
        <v>169.7</v>
      </c>
      <c r="H349" s="5">
        <v>188.7</v>
      </c>
      <c r="I349" s="5">
        <v>165.7</v>
      </c>
      <c r="J349" s="5">
        <v>191.8</v>
      </c>
      <c r="K349" s="5">
        <v>169.1</v>
      </c>
      <c r="L349" s="5">
        <v>121.6</v>
      </c>
      <c r="M349" s="5">
        <v>197.3</v>
      </c>
      <c r="N349" s="5">
        <v>169.4</v>
      </c>
      <c r="O349" s="5">
        <v>187.4</v>
      </c>
      <c r="P349" s="5">
        <v>177.8</v>
      </c>
      <c r="Q349" s="5">
        <v>195.9</v>
      </c>
      <c r="R349" s="5">
        <v>180.9</v>
      </c>
      <c r="S349" s="5">
        <v>174.3</v>
      </c>
      <c r="T349" s="5">
        <v>179.9</v>
      </c>
      <c r="U349" s="5">
        <v>169.5</v>
      </c>
      <c r="V349" s="5">
        <v>179.5</v>
      </c>
      <c r="W349" s="5">
        <v>169.5</v>
      </c>
      <c r="X349" s="5">
        <v>177.8</v>
      </c>
      <c r="Y349" s="5">
        <v>162.30000000000001</v>
      </c>
      <c r="Z349" s="5">
        <v>167.6</v>
      </c>
      <c r="AA349" s="5">
        <v>173.1</v>
      </c>
      <c r="AB349" s="5">
        <v>170.9</v>
      </c>
      <c r="AC349" s="5">
        <v>169.7</v>
      </c>
      <c r="AD349" s="12">
        <v>175.3</v>
      </c>
      <c r="AE349" s="26">
        <v>1</v>
      </c>
    </row>
    <row r="350" spans="1:31">
      <c r="A350" s="11" t="s">
        <v>65</v>
      </c>
      <c r="B350" s="5">
        <v>2022</v>
      </c>
      <c r="C350" s="5" t="s">
        <v>78</v>
      </c>
      <c r="D350" s="5">
        <v>164.7</v>
      </c>
      <c r="E350" s="5">
        <v>208.8</v>
      </c>
      <c r="F350" s="5">
        <v>170.3</v>
      </c>
      <c r="G350" s="5">
        <v>170.9</v>
      </c>
      <c r="H350" s="5">
        <v>191.6</v>
      </c>
      <c r="I350" s="5">
        <v>162.19999999999999</v>
      </c>
      <c r="J350" s="5">
        <v>184.8</v>
      </c>
      <c r="K350" s="5">
        <v>169.7</v>
      </c>
      <c r="L350" s="5">
        <v>121.1</v>
      </c>
      <c r="M350" s="5">
        <v>201.6</v>
      </c>
      <c r="N350" s="5">
        <v>175.8</v>
      </c>
      <c r="O350" s="5">
        <v>185.6</v>
      </c>
      <c r="P350" s="5">
        <v>177.4</v>
      </c>
      <c r="Q350" s="5">
        <v>194.9</v>
      </c>
      <c r="R350" s="5">
        <v>186.1</v>
      </c>
      <c r="S350" s="5">
        <v>184.4</v>
      </c>
      <c r="T350" s="5">
        <v>185.9</v>
      </c>
      <c r="U350" s="5" t="s">
        <v>67</v>
      </c>
      <c r="V350" s="5">
        <v>180.8</v>
      </c>
      <c r="W350" s="5">
        <v>174.4</v>
      </c>
      <c r="X350" s="5">
        <v>181.2</v>
      </c>
      <c r="Y350" s="5">
        <v>167.4</v>
      </c>
      <c r="Z350" s="5">
        <v>170.6</v>
      </c>
      <c r="AA350" s="5">
        <v>176.5</v>
      </c>
      <c r="AB350" s="5">
        <v>172</v>
      </c>
      <c r="AC350" s="5">
        <v>173.9</v>
      </c>
      <c r="AD350" s="12">
        <v>177.9</v>
      </c>
      <c r="AE350" s="26">
        <v>1</v>
      </c>
    </row>
    <row r="351" spans="1:31">
      <c r="A351" s="11" t="s">
        <v>68</v>
      </c>
      <c r="B351" s="5">
        <v>2022</v>
      </c>
      <c r="C351" s="5" t="s">
        <v>78</v>
      </c>
      <c r="D351" s="5">
        <v>166.4</v>
      </c>
      <c r="E351" s="5">
        <v>214.9</v>
      </c>
      <c r="F351" s="5">
        <v>171.9</v>
      </c>
      <c r="G351" s="5">
        <v>171</v>
      </c>
      <c r="H351" s="5">
        <v>177.7</v>
      </c>
      <c r="I351" s="5">
        <v>165.7</v>
      </c>
      <c r="J351" s="5">
        <v>228.6</v>
      </c>
      <c r="K351" s="5">
        <v>169.9</v>
      </c>
      <c r="L351" s="5">
        <v>123.4</v>
      </c>
      <c r="M351" s="5">
        <v>196.4</v>
      </c>
      <c r="N351" s="5">
        <v>161.6</v>
      </c>
      <c r="O351" s="5">
        <v>191.5</v>
      </c>
      <c r="P351" s="5">
        <v>183.3</v>
      </c>
      <c r="Q351" s="5">
        <v>200.1</v>
      </c>
      <c r="R351" s="5">
        <v>175.5</v>
      </c>
      <c r="S351" s="5">
        <v>162.6</v>
      </c>
      <c r="T351" s="5">
        <v>173.6</v>
      </c>
      <c r="U351" s="5">
        <v>171.2</v>
      </c>
      <c r="V351" s="5">
        <v>180</v>
      </c>
      <c r="W351" s="5">
        <v>166</v>
      </c>
      <c r="X351" s="5">
        <v>174.7</v>
      </c>
      <c r="Y351" s="5">
        <v>158.80000000000001</v>
      </c>
      <c r="Z351" s="5">
        <v>166.3</v>
      </c>
      <c r="AA351" s="5">
        <v>171.2</v>
      </c>
      <c r="AB351" s="5">
        <v>172.3</v>
      </c>
      <c r="AC351" s="5">
        <v>166.8</v>
      </c>
      <c r="AD351" s="12">
        <v>175.3</v>
      </c>
      <c r="AE351" s="26">
        <v>1</v>
      </c>
    </row>
    <row r="352" spans="1:31">
      <c r="A352" s="11" t="s">
        <v>69</v>
      </c>
      <c r="B352" s="5">
        <v>2022</v>
      </c>
      <c r="C352" s="5" t="s">
        <v>78</v>
      </c>
      <c r="D352" s="5">
        <v>165.2</v>
      </c>
      <c r="E352" s="5">
        <v>210.9</v>
      </c>
      <c r="F352" s="5">
        <v>170.9</v>
      </c>
      <c r="G352" s="5">
        <v>170.9</v>
      </c>
      <c r="H352" s="5">
        <v>186.5</v>
      </c>
      <c r="I352" s="5">
        <v>163.80000000000001</v>
      </c>
      <c r="J352" s="5">
        <v>199.7</v>
      </c>
      <c r="K352" s="5">
        <v>169.8</v>
      </c>
      <c r="L352" s="5">
        <v>121.9</v>
      </c>
      <c r="M352" s="5">
        <v>199.9</v>
      </c>
      <c r="N352" s="5">
        <v>169.9</v>
      </c>
      <c r="O352" s="5">
        <v>188.3</v>
      </c>
      <c r="P352" s="5">
        <v>179.6</v>
      </c>
      <c r="Q352" s="5">
        <v>196.3</v>
      </c>
      <c r="R352" s="5">
        <v>181.9</v>
      </c>
      <c r="S352" s="5">
        <v>175.3</v>
      </c>
      <c r="T352" s="5">
        <v>181</v>
      </c>
      <c r="U352" s="5">
        <v>171.2</v>
      </c>
      <c r="V352" s="5">
        <v>180.5</v>
      </c>
      <c r="W352" s="5">
        <v>170.4</v>
      </c>
      <c r="X352" s="5">
        <v>178.7</v>
      </c>
      <c r="Y352" s="5">
        <v>162.9</v>
      </c>
      <c r="Z352" s="5">
        <v>168.2</v>
      </c>
      <c r="AA352" s="5">
        <v>173.4</v>
      </c>
      <c r="AB352" s="5">
        <v>172.1</v>
      </c>
      <c r="AC352" s="5">
        <v>170.5</v>
      </c>
      <c r="AD352" s="12">
        <v>176.7</v>
      </c>
      <c r="AE352" s="26">
        <v>1</v>
      </c>
    </row>
    <row r="353" spans="1:31">
      <c r="A353" s="11" t="s">
        <v>65</v>
      </c>
      <c r="B353" s="5">
        <v>2022</v>
      </c>
      <c r="C353" s="5" t="s">
        <v>79</v>
      </c>
      <c r="D353" s="5">
        <v>166.9</v>
      </c>
      <c r="E353" s="5">
        <v>207.2</v>
      </c>
      <c r="F353" s="5">
        <v>180.2</v>
      </c>
      <c r="G353" s="5">
        <v>172.3</v>
      </c>
      <c r="H353" s="5">
        <v>194</v>
      </c>
      <c r="I353" s="5">
        <v>159.1</v>
      </c>
      <c r="J353" s="5">
        <v>171.6</v>
      </c>
      <c r="K353" s="5">
        <v>170.2</v>
      </c>
      <c r="L353" s="5">
        <v>121.5</v>
      </c>
      <c r="M353" s="5">
        <v>204.8</v>
      </c>
      <c r="N353" s="5">
        <v>176.4</v>
      </c>
      <c r="O353" s="5">
        <v>186.9</v>
      </c>
      <c r="P353" s="5">
        <v>176.6</v>
      </c>
      <c r="Q353" s="5">
        <v>195.5</v>
      </c>
      <c r="R353" s="5">
        <v>187.2</v>
      </c>
      <c r="S353" s="5">
        <v>185.2</v>
      </c>
      <c r="T353" s="5">
        <v>186.9</v>
      </c>
      <c r="U353" s="5" t="s">
        <v>67</v>
      </c>
      <c r="V353" s="5">
        <v>181.9</v>
      </c>
      <c r="W353" s="5">
        <v>175.5</v>
      </c>
      <c r="X353" s="5">
        <v>182.3</v>
      </c>
      <c r="Y353" s="5">
        <v>167.5</v>
      </c>
      <c r="Z353" s="5">
        <v>170.8</v>
      </c>
      <c r="AA353" s="5">
        <v>176.9</v>
      </c>
      <c r="AB353" s="5">
        <v>173.4</v>
      </c>
      <c r="AC353" s="5">
        <v>174.6</v>
      </c>
      <c r="AD353" s="12">
        <v>177.8</v>
      </c>
      <c r="AE353" s="26">
        <v>1</v>
      </c>
    </row>
    <row r="354" spans="1:31">
      <c r="A354" s="11" t="s">
        <v>68</v>
      </c>
      <c r="B354" s="5">
        <v>2022</v>
      </c>
      <c r="C354" s="5" t="s">
        <v>79</v>
      </c>
      <c r="D354" s="5">
        <v>168.4</v>
      </c>
      <c r="E354" s="5">
        <v>213.4</v>
      </c>
      <c r="F354" s="5">
        <v>183.2</v>
      </c>
      <c r="G354" s="5">
        <v>172.3</v>
      </c>
      <c r="H354" s="5">
        <v>180</v>
      </c>
      <c r="I354" s="5">
        <v>162.6</v>
      </c>
      <c r="J354" s="5">
        <v>205.5</v>
      </c>
      <c r="K354" s="5">
        <v>171</v>
      </c>
      <c r="L354" s="5">
        <v>123.4</v>
      </c>
      <c r="M354" s="5">
        <v>198.8</v>
      </c>
      <c r="N354" s="5">
        <v>162.1</v>
      </c>
      <c r="O354" s="5">
        <v>192.4</v>
      </c>
      <c r="P354" s="5">
        <v>181.3</v>
      </c>
      <c r="Q354" s="5">
        <v>200.6</v>
      </c>
      <c r="R354" s="5">
        <v>176.7</v>
      </c>
      <c r="S354" s="5">
        <v>163.5</v>
      </c>
      <c r="T354" s="5">
        <v>174.7</v>
      </c>
      <c r="U354" s="5">
        <v>171.8</v>
      </c>
      <c r="V354" s="5">
        <v>180.3</v>
      </c>
      <c r="W354" s="5">
        <v>166.9</v>
      </c>
      <c r="X354" s="5">
        <v>175.8</v>
      </c>
      <c r="Y354" s="5">
        <v>158.9</v>
      </c>
      <c r="Z354" s="5">
        <v>166.7</v>
      </c>
      <c r="AA354" s="5">
        <v>171.5</v>
      </c>
      <c r="AB354" s="5">
        <v>173.8</v>
      </c>
      <c r="AC354" s="5">
        <v>167.4</v>
      </c>
      <c r="AD354" s="12">
        <v>174.1</v>
      </c>
      <c r="AE354" s="26">
        <v>1</v>
      </c>
    </row>
    <row r="355" spans="1:31">
      <c r="A355" s="11" t="s">
        <v>69</v>
      </c>
      <c r="B355" s="5">
        <v>2022</v>
      </c>
      <c r="C355" s="5" t="s">
        <v>79</v>
      </c>
      <c r="D355" s="5">
        <v>167.4</v>
      </c>
      <c r="E355" s="5">
        <v>209.4</v>
      </c>
      <c r="F355" s="5">
        <v>181.4</v>
      </c>
      <c r="G355" s="5">
        <v>172.3</v>
      </c>
      <c r="H355" s="5">
        <v>188.9</v>
      </c>
      <c r="I355" s="5">
        <v>160.69999999999999</v>
      </c>
      <c r="J355" s="5">
        <v>183.1</v>
      </c>
      <c r="K355" s="5">
        <v>170.5</v>
      </c>
      <c r="L355" s="5">
        <v>122.1</v>
      </c>
      <c r="M355" s="5">
        <v>202.8</v>
      </c>
      <c r="N355" s="5">
        <v>170.4</v>
      </c>
      <c r="O355" s="5">
        <v>189.5</v>
      </c>
      <c r="P355" s="5">
        <v>178.3</v>
      </c>
      <c r="Q355" s="5">
        <v>196.9</v>
      </c>
      <c r="R355" s="5">
        <v>183.1</v>
      </c>
      <c r="S355" s="5">
        <v>176.2</v>
      </c>
      <c r="T355" s="5">
        <v>182.1</v>
      </c>
      <c r="U355" s="5">
        <v>171.8</v>
      </c>
      <c r="V355" s="5">
        <v>181.3</v>
      </c>
      <c r="W355" s="5">
        <v>171.4</v>
      </c>
      <c r="X355" s="5">
        <v>179.8</v>
      </c>
      <c r="Y355" s="5">
        <v>163</v>
      </c>
      <c r="Z355" s="5">
        <v>168.5</v>
      </c>
      <c r="AA355" s="5">
        <v>173.7</v>
      </c>
      <c r="AB355" s="5">
        <v>173.6</v>
      </c>
      <c r="AC355" s="5">
        <v>171.1</v>
      </c>
      <c r="AD355" s="12">
        <v>176.5</v>
      </c>
      <c r="AE355" s="26">
        <v>1</v>
      </c>
    </row>
    <row r="356" spans="1:31">
      <c r="A356" s="11" t="s">
        <v>65</v>
      </c>
      <c r="B356" s="5">
        <v>2022</v>
      </c>
      <c r="C356" s="5" t="s">
        <v>80</v>
      </c>
      <c r="D356" s="5">
        <v>168.8</v>
      </c>
      <c r="E356" s="5">
        <v>206.9</v>
      </c>
      <c r="F356" s="5">
        <v>189.1</v>
      </c>
      <c r="G356" s="5">
        <v>173.4</v>
      </c>
      <c r="H356" s="5">
        <v>193.9</v>
      </c>
      <c r="I356" s="5">
        <v>156.69999999999999</v>
      </c>
      <c r="J356" s="5">
        <v>150.19999999999999</v>
      </c>
      <c r="K356" s="5">
        <v>170.5</v>
      </c>
      <c r="L356" s="5">
        <v>121.2</v>
      </c>
      <c r="M356" s="5">
        <v>207.5</v>
      </c>
      <c r="N356" s="5">
        <v>176.8</v>
      </c>
      <c r="O356" s="5">
        <v>187.7</v>
      </c>
      <c r="P356" s="5">
        <v>174.4</v>
      </c>
      <c r="Q356" s="5">
        <v>195.9</v>
      </c>
      <c r="R356" s="5">
        <v>188.1</v>
      </c>
      <c r="S356" s="5">
        <v>185.9</v>
      </c>
      <c r="T356" s="5">
        <v>187.8</v>
      </c>
      <c r="U356" s="5" t="s">
        <v>67</v>
      </c>
      <c r="V356" s="5">
        <v>182.8</v>
      </c>
      <c r="W356" s="5">
        <v>176.4</v>
      </c>
      <c r="X356" s="5">
        <v>183.5</v>
      </c>
      <c r="Y356" s="5">
        <v>167.8</v>
      </c>
      <c r="Z356" s="5">
        <v>171.2</v>
      </c>
      <c r="AA356" s="5">
        <v>177.3</v>
      </c>
      <c r="AB356" s="5">
        <v>175.7</v>
      </c>
      <c r="AC356" s="5">
        <v>175.5</v>
      </c>
      <c r="AD356" s="12">
        <v>177.1</v>
      </c>
      <c r="AE356" s="26">
        <v>1</v>
      </c>
    </row>
    <row r="357" spans="1:31">
      <c r="A357" s="11" t="s">
        <v>68</v>
      </c>
      <c r="B357" s="5">
        <v>2022</v>
      </c>
      <c r="C357" s="5" t="s">
        <v>80</v>
      </c>
      <c r="D357" s="5">
        <v>170.2</v>
      </c>
      <c r="E357" s="5">
        <v>212.9</v>
      </c>
      <c r="F357" s="5">
        <v>191.9</v>
      </c>
      <c r="G357" s="5">
        <v>173.9</v>
      </c>
      <c r="H357" s="5">
        <v>179.1</v>
      </c>
      <c r="I357" s="5">
        <v>159.5</v>
      </c>
      <c r="J357" s="5">
        <v>178.7</v>
      </c>
      <c r="K357" s="5">
        <v>171.3</v>
      </c>
      <c r="L357" s="5">
        <v>123.1</v>
      </c>
      <c r="M357" s="5">
        <v>200.5</v>
      </c>
      <c r="N357" s="5">
        <v>162.80000000000001</v>
      </c>
      <c r="O357" s="5">
        <v>193.3</v>
      </c>
      <c r="P357" s="5">
        <v>178.6</v>
      </c>
      <c r="Q357" s="5">
        <v>201.1</v>
      </c>
      <c r="R357" s="5">
        <v>177.7</v>
      </c>
      <c r="S357" s="5">
        <v>164.5</v>
      </c>
      <c r="T357" s="5">
        <v>175.7</v>
      </c>
      <c r="U357" s="5">
        <v>170.7</v>
      </c>
      <c r="V357" s="5">
        <v>180.6</v>
      </c>
      <c r="W357" s="5">
        <v>167.3</v>
      </c>
      <c r="X357" s="5">
        <v>177.2</v>
      </c>
      <c r="Y357" s="5">
        <v>159.4</v>
      </c>
      <c r="Z357" s="5">
        <v>167.1</v>
      </c>
      <c r="AA357" s="5">
        <v>171.8</v>
      </c>
      <c r="AB357" s="5">
        <v>176</v>
      </c>
      <c r="AC357" s="5">
        <v>168.2</v>
      </c>
      <c r="AD357" s="12">
        <v>174.1</v>
      </c>
      <c r="AE357" s="26">
        <v>1</v>
      </c>
    </row>
    <row r="358" spans="1:31">
      <c r="A358" s="11" t="s">
        <v>69</v>
      </c>
      <c r="B358" s="5">
        <v>2022</v>
      </c>
      <c r="C358" s="5" t="s">
        <v>80</v>
      </c>
      <c r="D358" s="5">
        <v>169.2</v>
      </c>
      <c r="E358" s="5">
        <v>209</v>
      </c>
      <c r="F358" s="5">
        <v>190.2</v>
      </c>
      <c r="G358" s="5">
        <v>173.6</v>
      </c>
      <c r="H358" s="5">
        <v>188.5</v>
      </c>
      <c r="I358" s="5">
        <v>158</v>
      </c>
      <c r="J358" s="5">
        <v>159.9</v>
      </c>
      <c r="K358" s="5">
        <v>170.8</v>
      </c>
      <c r="L358" s="5">
        <v>121.8</v>
      </c>
      <c r="M358" s="5">
        <v>205.2</v>
      </c>
      <c r="N358" s="5">
        <v>171</v>
      </c>
      <c r="O358" s="5">
        <v>190.3</v>
      </c>
      <c r="P358" s="5">
        <v>175.9</v>
      </c>
      <c r="Q358" s="5">
        <v>197.3</v>
      </c>
      <c r="R358" s="5">
        <v>184</v>
      </c>
      <c r="S358" s="5">
        <v>177</v>
      </c>
      <c r="T358" s="5">
        <v>183</v>
      </c>
      <c r="U358" s="5">
        <v>170.7</v>
      </c>
      <c r="V358" s="5">
        <v>182</v>
      </c>
      <c r="W358" s="5">
        <v>172.1</v>
      </c>
      <c r="X358" s="5">
        <v>181.1</v>
      </c>
      <c r="Y358" s="5">
        <v>163.4</v>
      </c>
      <c r="Z358" s="5">
        <v>168.9</v>
      </c>
      <c r="AA358" s="5">
        <v>174.1</v>
      </c>
      <c r="AB358" s="5">
        <v>175.8</v>
      </c>
      <c r="AC358" s="5">
        <v>172</v>
      </c>
      <c r="AD358" s="12">
        <v>175.7</v>
      </c>
      <c r="AE358" s="26">
        <v>0</v>
      </c>
    </row>
    <row r="359" spans="1:31">
      <c r="A359" s="11" t="s">
        <v>65</v>
      </c>
      <c r="B359" s="5">
        <v>2023</v>
      </c>
      <c r="C359" s="5" t="s">
        <v>66</v>
      </c>
      <c r="D359" s="5">
        <v>174</v>
      </c>
      <c r="E359" s="5">
        <v>208.3</v>
      </c>
      <c r="F359" s="5">
        <v>192.9</v>
      </c>
      <c r="G359" s="5">
        <v>174.3</v>
      </c>
      <c r="H359" s="5">
        <v>192.6</v>
      </c>
      <c r="I359" s="5">
        <v>156.30000000000001</v>
      </c>
      <c r="J359" s="5">
        <v>142.9</v>
      </c>
      <c r="K359" s="5">
        <v>170.7</v>
      </c>
      <c r="L359" s="5">
        <v>120.3</v>
      </c>
      <c r="M359" s="5">
        <v>210.5</v>
      </c>
      <c r="N359" s="5">
        <v>176.9</v>
      </c>
      <c r="O359" s="5">
        <v>188.5</v>
      </c>
      <c r="P359" s="5">
        <v>175</v>
      </c>
      <c r="Q359" s="5">
        <v>196.9</v>
      </c>
      <c r="R359" s="5">
        <v>189</v>
      </c>
      <c r="S359" s="5">
        <v>186.3</v>
      </c>
      <c r="T359" s="5">
        <v>188.6</v>
      </c>
      <c r="U359" s="5" t="s">
        <v>67</v>
      </c>
      <c r="V359" s="5">
        <v>183.2</v>
      </c>
      <c r="W359" s="5">
        <v>177.2</v>
      </c>
      <c r="X359" s="5">
        <v>184.7</v>
      </c>
      <c r="Y359" s="5">
        <v>168.2</v>
      </c>
      <c r="Z359" s="5">
        <v>171.8</v>
      </c>
      <c r="AA359" s="5">
        <v>177.8</v>
      </c>
      <c r="AB359" s="5">
        <v>178.4</v>
      </c>
      <c r="AC359" s="5">
        <v>176.5</v>
      </c>
      <c r="AD359" s="12">
        <v>177.8</v>
      </c>
      <c r="AE359" s="26">
        <v>1</v>
      </c>
    </row>
    <row r="360" spans="1:31">
      <c r="A360" s="11" t="s">
        <v>68</v>
      </c>
      <c r="B360" s="5">
        <v>2023</v>
      </c>
      <c r="C360" s="5" t="s">
        <v>66</v>
      </c>
      <c r="D360" s="5">
        <v>173.3</v>
      </c>
      <c r="E360" s="5">
        <v>215.2</v>
      </c>
      <c r="F360" s="5">
        <v>197</v>
      </c>
      <c r="G360" s="5">
        <v>175.2</v>
      </c>
      <c r="H360" s="5">
        <v>178</v>
      </c>
      <c r="I360" s="5">
        <v>160.5</v>
      </c>
      <c r="J360" s="5">
        <v>175.3</v>
      </c>
      <c r="K360" s="5">
        <v>171.2</v>
      </c>
      <c r="L360" s="5">
        <v>122.7</v>
      </c>
      <c r="M360" s="5">
        <v>204.3</v>
      </c>
      <c r="N360" s="5">
        <v>163.69999999999999</v>
      </c>
      <c r="O360" s="5">
        <v>194.3</v>
      </c>
      <c r="P360" s="5">
        <v>179.5</v>
      </c>
      <c r="Q360" s="5">
        <v>201.6</v>
      </c>
      <c r="R360" s="5">
        <v>178.7</v>
      </c>
      <c r="S360" s="5">
        <v>165.3</v>
      </c>
      <c r="T360" s="5">
        <v>176.6</v>
      </c>
      <c r="U360" s="5">
        <v>172.1</v>
      </c>
      <c r="V360" s="5">
        <v>180.1</v>
      </c>
      <c r="W360" s="5">
        <v>168</v>
      </c>
      <c r="X360" s="5">
        <v>178.5</v>
      </c>
      <c r="Y360" s="5">
        <v>159.5</v>
      </c>
      <c r="Z360" s="5">
        <v>167.8</v>
      </c>
      <c r="AA360" s="5">
        <v>171.8</v>
      </c>
      <c r="AB360" s="5">
        <v>178.8</v>
      </c>
      <c r="AC360" s="5">
        <v>168.9</v>
      </c>
      <c r="AD360" s="12">
        <v>174.9</v>
      </c>
      <c r="AE360" s="26">
        <v>1</v>
      </c>
    </row>
    <row r="361" spans="1:31">
      <c r="A361" s="11" t="s">
        <v>69</v>
      </c>
      <c r="B361" s="5">
        <v>2023</v>
      </c>
      <c r="C361" s="5" t="s">
        <v>66</v>
      </c>
      <c r="D361" s="5">
        <v>173.8</v>
      </c>
      <c r="E361" s="5">
        <v>210.7</v>
      </c>
      <c r="F361" s="5">
        <v>194.5</v>
      </c>
      <c r="G361" s="5">
        <v>174.6</v>
      </c>
      <c r="H361" s="5">
        <v>187.2</v>
      </c>
      <c r="I361" s="5">
        <v>158.30000000000001</v>
      </c>
      <c r="J361" s="5">
        <v>153.9</v>
      </c>
      <c r="K361" s="5">
        <v>170.9</v>
      </c>
      <c r="L361" s="5">
        <v>121.1</v>
      </c>
      <c r="M361" s="5">
        <v>208.4</v>
      </c>
      <c r="N361" s="5">
        <v>171.4</v>
      </c>
      <c r="O361" s="5">
        <v>191.2</v>
      </c>
      <c r="P361" s="5">
        <v>176.7</v>
      </c>
      <c r="Q361" s="5">
        <v>198.2</v>
      </c>
      <c r="R361" s="5">
        <v>184.9</v>
      </c>
      <c r="S361" s="5">
        <v>177.6</v>
      </c>
      <c r="T361" s="5">
        <v>183.8</v>
      </c>
      <c r="U361" s="5">
        <v>172.1</v>
      </c>
      <c r="V361" s="5">
        <v>182</v>
      </c>
      <c r="W361" s="5">
        <v>172.9</v>
      </c>
      <c r="X361" s="5">
        <v>182.3</v>
      </c>
      <c r="Y361" s="5">
        <v>163.6</v>
      </c>
      <c r="Z361" s="5">
        <v>169.5</v>
      </c>
      <c r="AA361" s="5">
        <v>174.3</v>
      </c>
      <c r="AB361" s="5">
        <v>178.6</v>
      </c>
      <c r="AC361" s="5">
        <v>172.8</v>
      </c>
      <c r="AD361" s="12">
        <v>176.5</v>
      </c>
      <c r="AE361" s="26">
        <v>1</v>
      </c>
    </row>
    <row r="362" spans="1:31">
      <c r="A362" s="11" t="s">
        <v>65</v>
      </c>
      <c r="B362" s="5">
        <v>2023</v>
      </c>
      <c r="C362" s="5" t="s">
        <v>70</v>
      </c>
      <c r="D362" s="5">
        <v>174.2</v>
      </c>
      <c r="E362" s="5">
        <v>205.2</v>
      </c>
      <c r="F362" s="5">
        <v>173.9</v>
      </c>
      <c r="G362" s="5">
        <v>177</v>
      </c>
      <c r="H362" s="5">
        <v>183.4</v>
      </c>
      <c r="I362" s="5">
        <v>167.2</v>
      </c>
      <c r="J362" s="5">
        <v>140.9</v>
      </c>
      <c r="K362" s="5">
        <v>170.4</v>
      </c>
      <c r="L362" s="5">
        <v>119.1</v>
      </c>
      <c r="M362" s="5">
        <v>212.1</v>
      </c>
      <c r="N362" s="5">
        <v>177.6</v>
      </c>
      <c r="O362" s="5">
        <v>189.9</v>
      </c>
      <c r="P362" s="5">
        <v>174.8</v>
      </c>
      <c r="Q362" s="5">
        <v>198.3</v>
      </c>
      <c r="R362" s="5">
        <v>190</v>
      </c>
      <c r="S362" s="5">
        <v>187</v>
      </c>
      <c r="T362" s="5">
        <v>189.6</v>
      </c>
      <c r="U362" s="5" t="s">
        <v>67</v>
      </c>
      <c r="V362" s="5">
        <v>181.6</v>
      </c>
      <c r="W362" s="5">
        <v>178.6</v>
      </c>
      <c r="X362" s="5">
        <v>186.6</v>
      </c>
      <c r="Y362" s="5">
        <v>169</v>
      </c>
      <c r="Z362" s="5">
        <v>172.8</v>
      </c>
      <c r="AA362" s="5">
        <v>178.5</v>
      </c>
      <c r="AB362" s="5">
        <v>180.7</v>
      </c>
      <c r="AC362" s="5">
        <v>177.9</v>
      </c>
      <c r="AD362" s="12">
        <v>178</v>
      </c>
      <c r="AE362" s="26">
        <v>1</v>
      </c>
    </row>
    <row r="363" spans="1:31">
      <c r="A363" s="11" t="s">
        <v>68</v>
      </c>
      <c r="B363" s="5">
        <v>2023</v>
      </c>
      <c r="C363" s="5" t="s">
        <v>70</v>
      </c>
      <c r="D363" s="5">
        <v>174.7</v>
      </c>
      <c r="E363" s="5">
        <v>212.2</v>
      </c>
      <c r="F363" s="5">
        <v>177.2</v>
      </c>
      <c r="G363" s="5">
        <v>177.9</v>
      </c>
      <c r="H363" s="5">
        <v>172.2</v>
      </c>
      <c r="I363" s="5">
        <v>172.1</v>
      </c>
      <c r="J363" s="5">
        <v>175.8</v>
      </c>
      <c r="K363" s="5">
        <v>172.2</v>
      </c>
      <c r="L363" s="5">
        <v>121.9</v>
      </c>
      <c r="M363" s="5">
        <v>204.8</v>
      </c>
      <c r="N363" s="5">
        <v>164.9</v>
      </c>
      <c r="O363" s="5">
        <v>196.6</v>
      </c>
      <c r="P363" s="5">
        <v>180.7</v>
      </c>
      <c r="Q363" s="5">
        <v>202.7</v>
      </c>
      <c r="R363" s="5">
        <v>180.3</v>
      </c>
      <c r="S363" s="5">
        <v>167</v>
      </c>
      <c r="T363" s="5">
        <v>178.2</v>
      </c>
      <c r="U363" s="5">
        <v>173.5</v>
      </c>
      <c r="V363" s="5">
        <v>182.8</v>
      </c>
      <c r="W363" s="5">
        <v>169.2</v>
      </c>
      <c r="X363" s="5">
        <v>180.8</v>
      </c>
      <c r="Y363" s="5">
        <v>159.80000000000001</v>
      </c>
      <c r="Z363" s="5">
        <v>168.4</v>
      </c>
      <c r="AA363" s="5">
        <v>172.5</v>
      </c>
      <c r="AB363" s="5">
        <v>181.4</v>
      </c>
      <c r="AC363" s="5">
        <v>170</v>
      </c>
      <c r="AD363" s="12">
        <v>176.3</v>
      </c>
      <c r="AE363" s="26">
        <v>1</v>
      </c>
    </row>
    <row r="364" spans="1:31">
      <c r="A364" s="11" t="s">
        <v>69</v>
      </c>
      <c r="B364" s="5">
        <v>2023</v>
      </c>
      <c r="C364" s="5" t="s">
        <v>70</v>
      </c>
      <c r="D364" s="5">
        <v>174.4</v>
      </c>
      <c r="E364" s="5">
        <v>207.7</v>
      </c>
      <c r="F364" s="5">
        <v>175.2</v>
      </c>
      <c r="G364" s="5">
        <v>177.3</v>
      </c>
      <c r="H364" s="5">
        <v>179.3</v>
      </c>
      <c r="I364" s="5">
        <v>169.5</v>
      </c>
      <c r="J364" s="5">
        <v>152.69999999999999</v>
      </c>
      <c r="K364" s="5">
        <v>171</v>
      </c>
      <c r="L364" s="5">
        <v>120</v>
      </c>
      <c r="M364" s="5">
        <v>209.7</v>
      </c>
      <c r="N364" s="5">
        <v>172.3</v>
      </c>
      <c r="O364" s="5">
        <v>193</v>
      </c>
      <c r="P364" s="5">
        <v>177</v>
      </c>
      <c r="Q364" s="5">
        <v>199.5</v>
      </c>
      <c r="R364" s="5">
        <v>186.2</v>
      </c>
      <c r="S364" s="5">
        <v>178.7</v>
      </c>
      <c r="T364" s="5">
        <v>185.1</v>
      </c>
      <c r="U364" s="5">
        <v>173.5</v>
      </c>
      <c r="V364" s="5">
        <v>182.1</v>
      </c>
      <c r="W364" s="5">
        <v>174.2</v>
      </c>
      <c r="X364" s="5">
        <v>184.4</v>
      </c>
      <c r="Y364" s="5">
        <v>164.2</v>
      </c>
      <c r="Z364" s="5">
        <v>170.3</v>
      </c>
      <c r="AA364" s="5">
        <v>175</v>
      </c>
      <c r="AB364" s="5">
        <v>181</v>
      </c>
      <c r="AC364" s="5">
        <v>174.1</v>
      </c>
      <c r="AD364" s="12">
        <v>177.2</v>
      </c>
      <c r="AE364" s="26">
        <v>1</v>
      </c>
    </row>
    <row r="365" spans="1:31">
      <c r="A365" s="11" t="s">
        <v>65</v>
      </c>
      <c r="B365" s="5">
        <v>2023</v>
      </c>
      <c r="C365" s="5" t="s">
        <v>71</v>
      </c>
      <c r="D365" s="5">
        <v>174.3</v>
      </c>
      <c r="E365" s="5">
        <v>205.2</v>
      </c>
      <c r="F365" s="5">
        <v>173.9</v>
      </c>
      <c r="G365" s="5">
        <v>177</v>
      </c>
      <c r="H365" s="5">
        <v>183.3</v>
      </c>
      <c r="I365" s="5">
        <v>167.2</v>
      </c>
      <c r="J365" s="5">
        <v>140.9</v>
      </c>
      <c r="K365" s="5">
        <v>170.5</v>
      </c>
      <c r="L365" s="5">
        <v>119.1</v>
      </c>
      <c r="M365" s="5">
        <v>212.1</v>
      </c>
      <c r="N365" s="5">
        <v>177.6</v>
      </c>
      <c r="O365" s="5">
        <v>189.9</v>
      </c>
      <c r="P365" s="5">
        <v>174.8</v>
      </c>
      <c r="Q365" s="5">
        <v>198.4</v>
      </c>
      <c r="R365" s="5">
        <v>190</v>
      </c>
      <c r="S365" s="5">
        <v>187</v>
      </c>
      <c r="T365" s="5">
        <v>189.6</v>
      </c>
      <c r="U365" s="5" t="s">
        <v>67</v>
      </c>
      <c r="V365" s="5">
        <v>181.4</v>
      </c>
      <c r="W365" s="5">
        <v>178.6</v>
      </c>
      <c r="X365" s="5">
        <v>186.6</v>
      </c>
      <c r="Y365" s="5">
        <v>169</v>
      </c>
      <c r="Z365" s="5">
        <v>172.8</v>
      </c>
      <c r="AA365" s="5">
        <v>178.5</v>
      </c>
      <c r="AB365" s="5">
        <v>180.7</v>
      </c>
      <c r="AC365" s="5">
        <v>177.9</v>
      </c>
      <c r="AD365" s="12">
        <v>178</v>
      </c>
      <c r="AE365" s="26">
        <v>1</v>
      </c>
    </row>
    <row r="366" spans="1:31">
      <c r="A366" s="11" t="s">
        <v>68</v>
      </c>
      <c r="B366" s="5">
        <v>2023</v>
      </c>
      <c r="C366" s="5" t="s">
        <v>71</v>
      </c>
      <c r="D366" s="5">
        <v>174.7</v>
      </c>
      <c r="E366" s="5">
        <v>212.2</v>
      </c>
      <c r="F366" s="5">
        <v>177.2</v>
      </c>
      <c r="G366" s="5">
        <v>177.9</v>
      </c>
      <c r="H366" s="5">
        <v>172.2</v>
      </c>
      <c r="I366" s="5">
        <v>172.1</v>
      </c>
      <c r="J366" s="5">
        <v>175.9</v>
      </c>
      <c r="K366" s="5">
        <v>172.2</v>
      </c>
      <c r="L366" s="5">
        <v>121.9</v>
      </c>
      <c r="M366" s="5">
        <v>204.8</v>
      </c>
      <c r="N366" s="5">
        <v>164.9</v>
      </c>
      <c r="O366" s="5">
        <v>196.6</v>
      </c>
      <c r="P366" s="5">
        <v>180.8</v>
      </c>
      <c r="Q366" s="5">
        <v>202.7</v>
      </c>
      <c r="R366" s="5">
        <v>180.2</v>
      </c>
      <c r="S366" s="5">
        <v>167</v>
      </c>
      <c r="T366" s="5">
        <v>178.2</v>
      </c>
      <c r="U366" s="5">
        <v>173.5</v>
      </c>
      <c r="V366" s="5">
        <v>182.6</v>
      </c>
      <c r="W366" s="5">
        <v>169.2</v>
      </c>
      <c r="X366" s="5">
        <v>180.8</v>
      </c>
      <c r="Y366" s="5">
        <v>159.80000000000001</v>
      </c>
      <c r="Z366" s="5">
        <v>168.4</v>
      </c>
      <c r="AA366" s="5">
        <v>172.5</v>
      </c>
      <c r="AB366" s="5">
        <v>181.5</v>
      </c>
      <c r="AC366" s="5">
        <v>170</v>
      </c>
      <c r="AD366" s="12">
        <v>176.3</v>
      </c>
      <c r="AE366" s="26">
        <v>1</v>
      </c>
    </row>
    <row r="367" spans="1:31">
      <c r="A367" s="11" t="s">
        <v>69</v>
      </c>
      <c r="B367" s="5">
        <v>2023</v>
      </c>
      <c r="C367" s="5" t="s">
        <v>71</v>
      </c>
      <c r="D367" s="5">
        <v>174.4</v>
      </c>
      <c r="E367" s="5">
        <v>207.7</v>
      </c>
      <c r="F367" s="5">
        <v>175.2</v>
      </c>
      <c r="G367" s="5">
        <v>177.3</v>
      </c>
      <c r="H367" s="5">
        <v>179.2</v>
      </c>
      <c r="I367" s="5">
        <v>169.5</v>
      </c>
      <c r="J367" s="5">
        <v>152.80000000000001</v>
      </c>
      <c r="K367" s="5">
        <v>171.1</v>
      </c>
      <c r="L367" s="5">
        <v>120</v>
      </c>
      <c r="M367" s="5">
        <v>209.7</v>
      </c>
      <c r="N367" s="5">
        <v>172.3</v>
      </c>
      <c r="O367" s="5">
        <v>193</v>
      </c>
      <c r="P367" s="5">
        <v>177</v>
      </c>
      <c r="Q367" s="5">
        <v>199.5</v>
      </c>
      <c r="R367" s="5">
        <v>186.1</v>
      </c>
      <c r="S367" s="5">
        <v>178.7</v>
      </c>
      <c r="T367" s="5">
        <v>185.1</v>
      </c>
      <c r="U367" s="7">
        <v>173.5</v>
      </c>
      <c r="V367" s="5">
        <v>181.9</v>
      </c>
      <c r="W367" s="5">
        <v>174.2</v>
      </c>
      <c r="X367" s="5">
        <v>184.4</v>
      </c>
      <c r="Y367" s="5">
        <v>164.2</v>
      </c>
      <c r="Z367" s="5">
        <v>170.3</v>
      </c>
      <c r="AA367" s="5">
        <v>175</v>
      </c>
      <c r="AB367" s="5">
        <v>181</v>
      </c>
      <c r="AC367" s="5">
        <v>174.1</v>
      </c>
      <c r="AD367" s="12">
        <v>177.2</v>
      </c>
      <c r="AE367" s="26">
        <v>1</v>
      </c>
    </row>
    <row r="368" spans="1:31">
      <c r="A368" s="11" t="s">
        <v>65</v>
      </c>
      <c r="B368" s="5">
        <v>2023</v>
      </c>
      <c r="C368" s="5" t="s">
        <v>72</v>
      </c>
      <c r="D368" s="5">
        <v>173.3</v>
      </c>
      <c r="E368" s="5">
        <v>206.9</v>
      </c>
      <c r="F368" s="5">
        <v>167.9</v>
      </c>
      <c r="G368" s="5">
        <v>178.2</v>
      </c>
      <c r="H368" s="5">
        <v>178.5</v>
      </c>
      <c r="I368" s="5">
        <v>173.7</v>
      </c>
      <c r="J368" s="5">
        <v>142.80000000000001</v>
      </c>
      <c r="K368" s="5">
        <v>172.8</v>
      </c>
      <c r="L368" s="5">
        <v>120.4</v>
      </c>
      <c r="M368" s="5">
        <v>215.5</v>
      </c>
      <c r="N368" s="5">
        <v>178.2</v>
      </c>
      <c r="O368" s="5">
        <v>190.5</v>
      </c>
      <c r="P368" s="5">
        <v>175.5</v>
      </c>
      <c r="Q368" s="5">
        <v>199.5</v>
      </c>
      <c r="R368" s="5">
        <v>190.7</v>
      </c>
      <c r="S368" s="5">
        <v>187.3</v>
      </c>
      <c r="T368" s="5">
        <v>190.2</v>
      </c>
      <c r="U368" s="5" t="s">
        <v>82</v>
      </c>
      <c r="V368" s="5">
        <v>181.5</v>
      </c>
      <c r="W368" s="5">
        <v>179.1</v>
      </c>
      <c r="X368" s="5">
        <v>187.2</v>
      </c>
      <c r="Y368" s="5">
        <v>169.4</v>
      </c>
      <c r="Z368" s="5">
        <v>173.2</v>
      </c>
      <c r="AA368" s="5">
        <v>179.4</v>
      </c>
      <c r="AB368" s="5">
        <v>183.8</v>
      </c>
      <c r="AC368" s="5">
        <v>178.9</v>
      </c>
      <c r="AD368" s="12">
        <v>178.8</v>
      </c>
      <c r="AE368" s="26">
        <v>1</v>
      </c>
    </row>
    <row r="369" spans="1:31">
      <c r="A369" s="11" t="s">
        <v>68</v>
      </c>
      <c r="B369" s="5">
        <v>2023</v>
      </c>
      <c r="C369" s="5" t="s">
        <v>72</v>
      </c>
      <c r="D369" s="5">
        <v>174.8</v>
      </c>
      <c r="E369" s="5">
        <v>213.7</v>
      </c>
      <c r="F369" s="5">
        <v>172.4</v>
      </c>
      <c r="G369" s="5">
        <v>178.8</v>
      </c>
      <c r="H369" s="5">
        <v>168.7</v>
      </c>
      <c r="I369" s="5">
        <v>179.2</v>
      </c>
      <c r="J369" s="5">
        <v>179.9</v>
      </c>
      <c r="K369" s="5">
        <v>174.7</v>
      </c>
      <c r="L369" s="5">
        <v>123.1</v>
      </c>
      <c r="M369" s="5">
        <v>207.8</v>
      </c>
      <c r="N369" s="5">
        <v>165.5</v>
      </c>
      <c r="O369" s="5">
        <v>197</v>
      </c>
      <c r="P369" s="5">
        <v>182.1</v>
      </c>
      <c r="Q369" s="5">
        <v>203.5</v>
      </c>
      <c r="R369" s="5">
        <v>181</v>
      </c>
      <c r="S369" s="5">
        <v>167.7</v>
      </c>
      <c r="T369" s="5">
        <v>178.9</v>
      </c>
      <c r="U369" s="5">
        <v>175.2</v>
      </c>
      <c r="V369" s="5">
        <v>182.1</v>
      </c>
      <c r="W369" s="5">
        <v>169.6</v>
      </c>
      <c r="X369" s="5">
        <v>181.5</v>
      </c>
      <c r="Y369" s="5">
        <v>160.1</v>
      </c>
      <c r="Z369" s="5">
        <v>168.8</v>
      </c>
      <c r="AA369" s="5">
        <v>174.2</v>
      </c>
      <c r="AB369" s="5">
        <v>184.4</v>
      </c>
      <c r="AC369" s="5">
        <v>170.9</v>
      </c>
      <c r="AD369" s="12">
        <v>177.4</v>
      </c>
      <c r="AE369" s="26">
        <v>1</v>
      </c>
    </row>
    <row r="370" spans="1:31">
      <c r="A370" s="11" t="s">
        <v>69</v>
      </c>
      <c r="B370" s="5">
        <v>2023</v>
      </c>
      <c r="C370" s="5" t="s">
        <v>72</v>
      </c>
      <c r="D370" s="5">
        <v>173.8</v>
      </c>
      <c r="E370" s="5">
        <v>209.3</v>
      </c>
      <c r="F370" s="5">
        <v>169.6</v>
      </c>
      <c r="G370" s="5">
        <v>178.4</v>
      </c>
      <c r="H370" s="5">
        <v>174.9</v>
      </c>
      <c r="I370" s="5">
        <v>176.3</v>
      </c>
      <c r="J370" s="5">
        <v>155.4</v>
      </c>
      <c r="K370" s="5">
        <v>173.4</v>
      </c>
      <c r="L370" s="5">
        <v>121.3</v>
      </c>
      <c r="M370" s="5">
        <v>212.9</v>
      </c>
      <c r="N370" s="5">
        <v>172.9</v>
      </c>
      <c r="O370" s="5">
        <v>193.5</v>
      </c>
      <c r="P370" s="5">
        <v>177.9</v>
      </c>
      <c r="Q370" s="5">
        <v>200.6</v>
      </c>
      <c r="R370" s="5">
        <v>186.9</v>
      </c>
      <c r="S370" s="5">
        <v>179.2</v>
      </c>
      <c r="T370" s="5">
        <v>185.7</v>
      </c>
      <c r="U370" s="7">
        <v>175.2</v>
      </c>
      <c r="V370" s="5">
        <v>181.7</v>
      </c>
      <c r="W370" s="5">
        <v>174.6</v>
      </c>
      <c r="X370" s="5">
        <v>185</v>
      </c>
      <c r="Y370" s="5">
        <v>164.5</v>
      </c>
      <c r="Z370" s="5">
        <v>170.7</v>
      </c>
      <c r="AA370" s="5">
        <v>176.4</v>
      </c>
      <c r="AB370" s="5">
        <v>184</v>
      </c>
      <c r="AC370" s="5">
        <v>175</v>
      </c>
      <c r="AD370" s="12">
        <v>178.1</v>
      </c>
      <c r="AE370" s="26">
        <v>1</v>
      </c>
    </row>
    <row r="371" spans="1:31">
      <c r="A371" s="11" t="s">
        <v>65</v>
      </c>
      <c r="B371" s="5">
        <v>2023</v>
      </c>
      <c r="C371" s="5" t="s">
        <v>73</v>
      </c>
      <c r="D371" s="5">
        <v>173.2</v>
      </c>
      <c r="E371" s="5">
        <v>211.5</v>
      </c>
      <c r="F371" s="5">
        <v>171</v>
      </c>
      <c r="G371" s="5">
        <v>179.6</v>
      </c>
      <c r="H371" s="5">
        <v>173.3</v>
      </c>
      <c r="I371" s="5">
        <v>169</v>
      </c>
      <c r="J371" s="5">
        <v>148.69999999999999</v>
      </c>
      <c r="K371" s="5">
        <v>174.9</v>
      </c>
      <c r="L371" s="5">
        <v>121.9</v>
      </c>
      <c r="M371" s="5">
        <v>221</v>
      </c>
      <c r="N371" s="5">
        <v>178.7</v>
      </c>
      <c r="O371" s="5">
        <v>191.1</v>
      </c>
      <c r="P371" s="5">
        <v>176.8</v>
      </c>
      <c r="Q371" s="5">
        <v>199.9</v>
      </c>
      <c r="R371" s="5">
        <v>191.2</v>
      </c>
      <c r="S371" s="5">
        <v>187.9</v>
      </c>
      <c r="T371" s="5">
        <v>190.8</v>
      </c>
      <c r="U371" s="5" t="s">
        <v>82</v>
      </c>
      <c r="V371" s="5">
        <v>182.5</v>
      </c>
      <c r="W371" s="5">
        <v>179.8</v>
      </c>
      <c r="X371" s="5">
        <v>187.8</v>
      </c>
      <c r="Y371" s="5">
        <v>169.7</v>
      </c>
      <c r="Z371" s="5">
        <v>173.8</v>
      </c>
      <c r="AA371" s="5">
        <v>180.3</v>
      </c>
      <c r="AB371" s="5">
        <v>184.9</v>
      </c>
      <c r="AC371" s="5">
        <v>179.5</v>
      </c>
      <c r="AD371" s="12">
        <v>179.8</v>
      </c>
      <c r="AE371" s="26">
        <v>1</v>
      </c>
    </row>
    <row r="372" spans="1:31">
      <c r="A372" s="16" t="s">
        <v>68</v>
      </c>
      <c r="B372" s="17">
        <v>2023</v>
      </c>
      <c r="C372" s="17" t="s">
        <v>73</v>
      </c>
      <c r="D372" s="17">
        <v>174.7</v>
      </c>
      <c r="E372" s="17">
        <v>219.4</v>
      </c>
      <c r="F372" s="17">
        <v>176.7</v>
      </c>
      <c r="G372" s="17">
        <v>179.4</v>
      </c>
      <c r="H372" s="17">
        <v>164.4</v>
      </c>
      <c r="I372" s="17">
        <v>175.8</v>
      </c>
      <c r="J372" s="17">
        <v>185</v>
      </c>
      <c r="K372" s="17">
        <v>176.9</v>
      </c>
      <c r="L372" s="17">
        <v>124.2</v>
      </c>
      <c r="M372" s="17">
        <v>211.9</v>
      </c>
      <c r="N372" s="17">
        <v>165.9</v>
      </c>
      <c r="O372" s="17">
        <v>197.7</v>
      </c>
      <c r="P372" s="17">
        <v>183.1</v>
      </c>
      <c r="Q372" s="17">
        <v>204.2</v>
      </c>
      <c r="R372" s="17">
        <v>181.3</v>
      </c>
      <c r="S372" s="17">
        <v>168.1</v>
      </c>
      <c r="T372" s="17">
        <v>179.3</v>
      </c>
      <c r="U372" s="17">
        <v>175.6</v>
      </c>
      <c r="V372" s="17">
        <v>183.4</v>
      </c>
      <c r="W372" s="17">
        <v>170.1</v>
      </c>
      <c r="X372" s="17">
        <v>182.2</v>
      </c>
      <c r="Y372" s="17">
        <v>160.4</v>
      </c>
      <c r="Z372" s="17">
        <v>169.2</v>
      </c>
      <c r="AA372" s="17">
        <v>174.8</v>
      </c>
      <c r="AB372" s="17">
        <v>185.6</v>
      </c>
      <c r="AC372" s="17">
        <v>171.6</v>
      </c>
      <c r="AD372" s="18">
        <v>178.2</v>
      </c>
      <c r="AE372" s="27">
        <v>1</v>
      </c>
    </row>
    <row r="373" spans="1:31">
      <c r="A373" s="11" t="s">
        <v>69</v>
      </c>
      <c r="B373" s="5">
        <v>2023</v>
      </c>
      <c r="C373" s="5" t="s">
        <v>73</v>
      </c>
      <c r="D373" s="5">
        <v>173.7</v>
      </c>
      <c r="E373" s="5">
        <v>214.3</v>
      </c>
      <c r="F373" s="5">
        <v>173.2</v>
      </c>
      <c r="G373" s="5">
        <v>179.5</v>
      </c>
      <c r="H373" s="5">
        <v>170</v>
      </c>
      <c r="I373" s="5">
        <v>172.2</v>
      </c>
      <c r="J373" s="5">
        <v>161</v>
      </c>
      <c r="K373" s="5">
        <v>175.6</v>
      </c>
      <c r="L373" s="5">
        <v>122.7</v>
      </c>
      <c r="M373" s="5">
        <v>218</v>
      </c>
      <c r="N373" s="5">
        <v>173.4</v>
      </c>
      <c r="O373" s="5">
        <v>194.2</v>
      </c>
      <c r="P373" s="5">
        <v>179.1</v>
      </c>
      <c r="Q373" s="5">
        <v>201</v>
      </c>
      <c r="R373" s="5">
        <v>187.3</v>
      </c>
      <c r="S373" s="5">
        <v>179.7</v>
      </c>
      <c r="T373" s="5">
        <v>186.2</v>
      </c>
      <c r="U373" s="5">
        <v>175.6</v>
      </c>
      <c r="V373" s="5">
        <v>182.8</v>
      </c>
      <c r="W373" s="5">
        <v>175.2</v>
      </c>
      <c r="X373" s="5">
        <v>185.7</v>
      </c>
      <c r="Y373" s="5">
        <v>164.8</v>
      </c>
      <c r="Z373" s="5">
        <v>171.2</v>
      </c>
      <c r="AA373" s="5">
        <v>177.1</v>
      </c>
      <c r="AB373" s="5">
        <v>185.2</v>
      </c>
      <c r="AC373" s="5">
        <v>175.7</v>
      </c>
      <c r="AD373" s="12">
        <v>179.1</v>
      </c>
      <c r="AE373" s="29">
        <v>0</v>
      </c>
    </row>
    <row r="374" spans="1:31">
      <c r="A374" s="11"/>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12"/>
      <c r="AE374" s="29">
        <v>0</v>
      </c>
    </row>
    <row r="375" spans="1:31">
      <c r="A375" s="11"/>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12"/>
      <c r="AE375" s="29">
        <v>0</v>
      </c>
    </row>
    <row r="376" spans="1:31">
      <c r="A376" s="11"/>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12"/>
      <c r="AE376" s="29">
        <v>0</v>
      </c>
    </row>
    <row r="377" spans="1:31">
      <c r="A377" s="11"/>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12"/>
      <c r="AE377" s="29">
        <v>0</v>
      </c>
    </row>
    <row r="378" spans="1:31">
      <c r="A378" s="11"/>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12"/>
      <c r="AE378" s="28">
        <v>0</v>
      </c>
    </row>
    <row r="379" spans="1:31">
      <c r="A379" s="11"/>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12"/>
      <c r="AE379" s="2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5A2F-3AA1-4D48-8A23-0F28549B734C}">
  <dimension ref="A4:AL25"/>
  <sheetViews>
    <sheetView workbookViewId="0">
      <selection activeCell="F8" sqref="F8"/>
    </sheetView>
  </sheetViews>
  <sheetFormatPr defaultRowHeight="15"/>
  <cols>
    <col min="4" max="4" width="31.42578125" customWidth="1"/>
    <col min="5" max="5" width="25.5703125" customWidth="1"/>
    <col min="9" max="9" width="12.140625" customWidth="1"/>
    <col min="10" max="10" width="12.28515625" bestFit="1" customWidth="1"/>
    <col min="11" max="11" width="26.42578125" bestFit="1" customWidth="1"/>
    <col min="12" max="12" width="19.28515625" bestFit="1" customWidth="1"/>
    <col min="13" max="13" width="13.5703125" bestFit="1" customWidth="1"/>
    <col min="15" max="15" width="26.42578125" bestFit="1" customWidth="1"/>
    <col min="16" max="16" width="19.28515625" bestFit="1" customWidth="1"/>
    <col min="17" max="21" width="6.140625" bestFit="1" customWidth="1"/>
    <col min="22" max="22" width="12.5703125" bestFit="1" customWidth="1"/>
    <col min="23" max="26" width="6.140625" bestFit="1" customWidth="1"/>
    <col min="27" max="27" width="4.42578125" bestFit="1" customWidth="1"/>
    <col min="28" max="28" width="12.5703125" bestFit="1" customWidth="1"/>
    <col min="29" max="29" width="11.7109375" bestFit="1" customWidth="1"/>
    <col min="30" max="30" width="13.28515625" bestFit="1" customWidth="1"/>
    <col min="31" max="31" width="28.42578125" bestFit="1" customWidth="1"/>
    <col min="33" max="33" width="28.5703125" bestFit="1" customWidth="1"/>
    <col min="34" max="34" width="26.28515625" bestFit="1" customWidth="1"/>
    <col min="35" max="35" width="10" bestFit="1" customWidth="1"/>
    <col min="36" max="36" width="23.85546875" bestFit="1" customWidth="1"/>
    <col min="37" max="37" width="14" bestFit="1" customWidth="1"/>
  </cols>
  <sheetData>
    <row r="4" spans="1:38">
      <c r="D4" t="s">
        <v>107</v>
      </c>
      <c r="I4" s="33" t="s">
        <v>59</v>
      </c>
      <c r="J4" s="34" t="s">
        <v>60</v>
      </c>
      <c r="K4" s="34" t="s">
        <v>61</v>
      </c>
      <c r="L4" s="35" t="s">
        <v>23</v>
      </c>
      <c r="M4" s="35" t="s">
        <v>32</v>
      </c>
      <c r="N4" s="35" t="s">
        <v>34</v>
      </c>
      <c r="O4" s="35" t="s">
        <v>35</v>
      </c>
      <c r="P4" s="35" t="s">
        <v>36</v>
      </c>
      <c r="Q4" s="35" t="s">
        <v>39</v>
      </c>
      <c r="R4" s="35" t="s">
        <v>41</v>
      </c>
      <c r="S4" s="35" t="s">
        <v>42</v>
      </c>
      <c r="T4" s="35" t="s">
        <v>43</v>
      </c>
      <c r="U4" s="35" t="s">
        <v>44</v>
      </c>
      <c r="V4" s="35" t="s">
        <v>46</v>
      </c>
      <c r="W4" s="35" t="s">
        <v>45</v>
      </c>
      <c r="X4" s="34" t="s">
        <v>83</v>
      </c>
      <c r="Y4" s="35" t="s">
        <v>50</v>
      </c>
      <c r="Z4" s="35" t="s">
        <v>24</v>
      </c>
      <c r="AA4" s="35" t="s">
        <v>33</v>
      </c>
      <c r="AB4" s="34" t="s">
        <v>84</v>
      </c>
      <c r="AC4" s="35" t="s">
        <v>25</v>
      </c>
      <c r="AD4" s="35" t="s">
        <v>26</v>
      </c>
      <c r="AE4" s="35" t="s">
        <v>49</v>
      </c>
      <c r="AF4" s="35" t="s">
        <v>27</v>
      </c>
      <c r="AG4" s="35" t="s">
        <v>28</v>
      </c>
      <c r="AH4" s="35" t="s">
        <v>30</v>
      </c>
      <c r="AI4" s="35" t="s">
        <v>29</v>
      </c>
      <c r="AJ4" s="35" t="s">
        <v>31</v>
      </c>
      <c r="AK4" s="35" t="s">
        <v>58</v>
      </c>
      <c r="AL4" s="36" t="s">
        <v>85</v>
      </c>
    </row>
    <row r="5" spans="1:38">
      <c r="E5" s="20" t="s">
        <v>108</v>
      </c>
      <c r="H5" s="20"/>
      <c r="I5" t="str" cm="1">
        <f t="array" aca="1" ref="I5:AL5" ca="1">_xlfn._xlws.FILTER(data!A2:'data'!AD373,(data!A2:'data'!A373="rural+urban")*(data!C2:'data'!C373="may")*(data!B2:'data'!B373=2023))</f>
        <v>Rural+Urban</v>
      </c>
      <c r="J5">
        <f ca="1"/>
        <v>2023</v>
      </c>
      <c r="K5" t="str">
        <f ca="1"/>
        <v>May</v>
      </c>
      <c r="L5">
        <f ca="1"/>
        <v>173.7</v>
      </c>
      <c r="M5">
        <f ca="1"/>
        <v>214.3</v>
      </c>
      <c r="N5">
        <f ca="1"/>
        <v>173.2</v>
      </c>
      <c r="O5">
        <f ca="1"/>
        <v>179.5</v>
      </c>
      <c r="P5">
        <f ca="1"/>
        <v>170</v>
      </c>
      <c r="Q5">
        <f ca="1"/>
        <v>172.2</v>
      </c>
      <c r="R5">
        <f ca="1"/>
        <v>161</v>
      </c>
      <c r="S5">
        <f ca="1"/>
        <v>175.6</v>
      </c>
      <c r="T5">
        <f ca="1"/>
        <v>122.7</v>
      </c>
      <c r="U5">
        <f ca="1"/>
        <v>218</v>
      </c>
      <c r="V5">
        <f ca="1"/>
        <v>173.4</v>
      </c>
      <c r="W5">
        <f ca="1"/>
        <v>194.2</v>
      </c>
      <c r="X5">
        <f ca="1"/>
        <v>179.1</v>
      </c>
      <c r="Y5">
        <f ca="1"/>
        <v>201</v>
      </c>
      <c r="Z5">
        <f ca="1"/>
        <v>187.3</v>
      </c>
      <c r="AA5">
        <f ca="1"/>
        <v>179.7</v>
      </c>
      <c r="AB5">
        <f ca="1"/>
        <v>186.2</v>
      </c>
      <c r="AC5">
        <f ca="1"/>
        <v>175.6</v>
      </c>
      <c r="AD5">
        <f ca="1"/>
        <v>182.8</v>
      </c>
      <c r="AE5">
        <f ca="1"/>
        <v>175.2</v>
      </c>
      <c r="AF5">
        <f ca="1"/>
        <v>185.7</v>
      </c>
      <c r="AG5">
        <f ca="1"/>
        <v>164.8</v>
      </c>
      <c r="AH5">
        <f ca="1"/>
        <v>171.2</v>
      </c>
      <c r="AI5">
        <f ca="1"/>
        <v>177.1</v>
      </c>
      <c r="AJ5">
        <f ca="1"/>
        <v>185.2</v>
      </c>
      <c r="AK5">
        <f ca="1"/>
        <v>175.7</v>
      </c>
      <c r="AL5">
        <f ca="1"/>
        <v>179.1</v>
      </c>
    </row>
    <row r="7" spans="1:38">
      <c r="A7" s="19" t="s">
        <v>109</v>
      </c>
      <c r="E7" s="19" t="s">
        <v>38</v>
      </c>
      <c r="F7" s="19" t="s">
        <v>110</v>
      </c>
      <c r="I7" s="21" t="s">
        <v>111</v>
      </c>
      <c r="K7" s="23" t="s">
        <v>38</v>
      </c>
      <c r="L7" t="s">
        <v>112</v>
      </c>
    </row>
    <row r="8" spans="1:38">
      <c r="E8" t="s">
        <v>40</v>
      </c>
      <c r="F8">
        <f ca="1">AVERAGE(L5:W5)</f>
        <v>177.31666666666669</v>
      </c>
      <c r="I8">
        <f ca="1">(F8/$F$20)*100</f>
        <v>8.2277061566659206</v>
      </c>
      <c r="K8" t="s">
        <v>51</v>
      </c>
      <c r="L8" s="24">
        <v>8.5146202448436661</v>
      </c>
    </row>
    <row r="9" spans="1:38">
      <c r="E9" t="s">
        <v>51</v>
      </c>
      <c r="F9">
        <f ca="1">AVERAGE(Z5:AA5)</f>
        <v>183.5</v>
      </c>
      <c r="I9">
        <f t="shared" ref="I9:I19" ca="1" si="0">(F9/$F$20)*100</f>
        <v>8.5146202448436661</v>
      </c>
      <c r="K9" t="s">
        <v>29</v>
      </c>
      <c r="L9" s="24">
        <v>8.2176525632796356</v>
      </c>
    </row>
    <row r="10" spans="1:38">
      <c r="E10" t="s">
        <v>25</v>
      </c>
      <c r="F10">
        <v>175.6</v>
      </c>
      <c r="I10">
        <f t="shared" ca="1" si="0"/>
        <v>8.1480507629130674</v>
      </c>
      <c r="K10" t="s">
        <v>52</v>
      </c>
      <c r="L10" s="24">
        <v>8.4821394046726013</v>
      </c>
    </row>
    <row r="11" spans="1:38">
      <c r="E11" t="s">
        <v>52</v>
      </c>
      <c r="F11">
        <v>182.8</v>
      </c>
      <c r="I11">
        <f t="shared" ca="1" si="0"/>
        <v>8.4821394046726013</v>
      </c>
      <c r="K11" t="s">
        <v>40</v>
      </c>
      <c r="L11" s="24">
        <v>8.2277061566659206</v>
      </c>
    </row>
    <row r="12" spans="1:38">
      <c r="E12" t="s">
        <v>53</v>
      </c>
      <c r="F12">
        <v>175.2</v>
      </c>
      <c r="I12">
        <f t="shared" ca="1" si="0"/>
        <v>8.1294902828153148</v>
      </c>
      <c r="K12" t="s">
        <v>27</v>
      </c>
      <c r="L12" s="24">
        <v>8.6167028853813008</v>
      </c>
    </row>
    <row r="13" spans="1:38">
      <c r="E13" t="s">
        <v>27</v>
      </c>
      <c r="F13">
        <v>185.7</v>
      </c>
      <c r="I13">
        <f t="shared" ca="1" si="0"/>
        <v>8.6167028853813008</v>
      </c>
      <c r="K13" t="s">
        <v>53</v>
      </c>
      <c r="L13" s="24">
        <v>8.1294902828153148</v>
      </c>
    </row>
    <row r="14" spans="1:38">
      <c r="E14" t="s">
        <v>54</v>
      </c>
      <c r="F14">
        <v>164.8</v>
      </c>
      <c r="I14">
        <f t="shared" ca="1" si="0"/>
        <v>7.6469178002737674</v>
      </c>
      <c r="K14" t="s">
        <v>25</v>
      </c>
      <c r="L14" s="24">
        <v>8.1480507629130674</v>
      </c>
    </row>
    <row r="15" spans="1:38">
      <c r="E15" t="s">
        <v>55</v>
      </c>
      <c r="F15">
        <v>171.2</v>
      </c>
      <c r="I15">
        <f t="shared" ca="1" si="0"/>
        <v>7.9438854818377962</v>
      </c>
      <c r="K15" t="s">
        <v>58</v>
      </c>
      <c r="L15" s="24">
        <v>8.1526908829375042</v>
      </c>
    </row>
    <row r="16" spans="1:38">
      <c r="E16" t="s">
        <v>29</v>
      </c>
      <c r="F16">
        <v>177.1</v>
      </c>
      <c r="I16">
        <f t="shared" ca="1" si="0"/>
        <v>8.2176525632796356</v>
      </c>
      <c r="K16" t="s">
        <v>57</v>
      </c>
      <c r="L16" s="24">
        <v>9.3266412491203106</v>
      </c>
    </row>
    <row r="17" spans="4:12">
      <c r="E17" t="s">
        <v>56</v>
      </c>
      <c r="F17">
        <v>185.2</v>
      </c>
      <c r="I17">
        <f t="shared" ca="1" si="0"/>
        <v>8.5935022852591114</v>
      </c>
      <c r="K17" t="s">
        <v>56</v>
      </c>
      <c r="L17" s="24">
        <v>8.5935022852591114</v>
      </c>
    </row>
    <row r="18" spans="4:12">
      <c r="E18" t="s">
        <v>57</v>
      </c>
      <c r="F18">
        <v>201</v>
      </c>
      <c r="I18">
        <f t="shared" ca="1" si="0"/>
        <v>9.3266412491203106</v>
      </c>
      <c r="K18" t="s">
        <v>55</v>
      </c>
      <c r="L18" s="24">
        <v>7.9438854818377962</v>
      </c>
    </row>
    <row r="19" spans="4:12">
      <c r="E19" t="s">
        <v>58</v>
      </c>
      <c r="F19">
        <v>175.7</v>
      </c>
      <c r="I19">
        <f t="shared" ca="1" si="0"/>
        <v>8.1526908829375042</v>
      </c>
      <c r="K19" t="s">
        <v>113</v>
      </c>
      <c r="L19" s="24"/>
    </row>
    <row r="20" spans="4:12">
      <c r="E20" s="21" t="s">
        <v>113</v>
      </c>
      <c r="F20">
        <f ca="1">SUM(F8:F19)</f>
        <v>2155.1166666666668</v>
      </c>
      <c r="K20" t="s">
        <v>54</v>
      </c>
      <c r="L20" s="24">
        <v>7.6469178002737674</v>
      </c>
    </row>
    <row r="21" spans="4:12">
      <c r="K21" t="s">
        <v>99</v>
      </c>
      <c r="L21" s="24">
        <v>99.999999999999986</v>
      </c>
    </row>
    <row r="25" spans="4:12">
      <c r="D25" s="37" t="s">
        <v>114</v>
      </c>
    </row>
  </sheetData>
  <conditionalFormatting sqref="K8:L20">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3360-6256-4D0C-9FF8-5858B56A7100}">
  <dimension ref="A3:N13"/>
  <sheetViews>
    <sheetView workbookViewId="0">
      <selection activeCell="H8" sqref="H8"/>
    </sheetView>
  </sheetViews>
  <sheetFormatPr defaultRowHeight="15"/>
  <cols>
    <col min="4" max="4" width="14" customWidth="1"/>
    <col min="5" max="5" width="12.5703125" customWidth="1"/>
    <col min="8" max="8" width="10.85546875" customWidth="1"/>
    <col min="9" max="9" width="14.42578125" customWidth="1"/>
    <col min="13" max="13" width="11.7109375" bestFit="1" customWidth="1"/>
    <col min="14" max="14" width="15.42578125" bestFit="1" customWidth="1"/>
  </cols>
  <sheetData>
    <row r="3" spans="1:14">
      <c r="E3" t="s">
        <v>3</v>
      </c>
    </row>
    <row r="5" spans="1:14">
      <c r="G5" s="19" t="s">
        <v>115</v>
      </c>
    </row>
    <row r="6" spans="1:14">
      <c r="M6" s="23" t="s">
        <v>60</v>
      </c>
      <c r="N6" t="s">
        <v>116</v>
      </c>
    </row>
    <row r="7" spans="1:14">
      <c r="E7" s="39" t="s">
        <v>60</v>
      </c>
      <c r="F7" s="40" t="s">
        <v>117</v>
      </c>
      <c r="G7" s="39" t="s">
        <v>118</v>
      </c>
      <c r="H7" s="40" t="s">
        <v>119</v>
      </c>
      <c r="I7" s="40"/>
      <c r="M7">
        <v>2017</v>
      </c>
      <c r="N7" s="24">
        <v>5.0652340752110465</v>
      </c>
    </row>
    <row r="8" spans="1:14">
      <c r="A8" s="38" t="s">
        <v>120</v>
      </c>
      <c r="B8" s="38"/>
      <c r="C8" s="38"/>
      <c r="D8" s="38"/>
      <c r="E8" s="41">
        <v>2017</v>
      </c>
      <c r="F8" s="41">
        <f ca="1">((H8-G8)/G8)*100</f>
        <v>5.0652340752110465</v>
      </c>
      <c r="G8" s="41">
        <f ca="1">AVERAGEIFS(data!$AD$2:'data'!$AD$373,data!$A$2:'data'!$A$373,"rural+urban",data!$B$2:'data'!$B$373,E8,data!$C$2:'data'!$C$373,"january")</f>
        <v>130.30000000000001</v>
      </c>
      <c r="H8" s="41">
        <f ca="1">AVERAGEIFS(data!$AD$2:'data'!$AD$373,data!$A$2:'data'!$A$373,"rural+urban",data!$B$2:'data'!$B$373,E8+1,data!$C$2:'data'!$C$373,"january")</f>
        <v>136.9</v>
      </c>
      <c r="I8" s="41"/>
      <c r="M8">
        <v>2018</v>
      </c>
      <c r="N8" s="24">
        <v>1.972242512783045</v>
      </c>
    </row>
    <row r="9" spans="1:14">
      <c r="A9" s="38" t="s">
        <v>121</v>
      </c>
      <c r="B9" s="38"/>
      <c r="C9" s="38"/>
      <c r="D9" s="38"/>
      <c r="E9" s="41">
        <v>2018</v>
      </c>
      <c r="F9" s="41">
        <f ca="1">((H9-G9)/G9)*100</f>
        <v>1.972242512783045</v>
      </c>
      <c r="G9" s="41">
        <f ca="1">AVERAGEIFS(data!$AD$2:'data'!$AD$373,data!$A$2:'data'!$A$373,"rural+urban",data!$B$2:'data'!$B$373,E9,data!$C$2:'data'!$C$373,"january")</f>
        <v>136.9</v>
      </c>
      <c r="H9" s="41">
        <f ca="1">AVERAGEIFS(data!$AD$2:'data'!$AD$373,data!$A$2:'data'!$A$373,"rural+urban",data!$B$2:'data'!$B$373,E9+1,data!$C$2:'data'!$C$373,"january")</f>
        <v>139.6</v>
      </c>
      <c r="I9" s="41"/>
      <c r="M9">
        <v>2019</v>
      </c>
      <c r="N9" s="24">
        <v>7.5931232091690504</v>
      </c>
    </row>
    <row r="10" spans="1:14">
      <c r="E10" s="41">
        <v>2019</v>
      </c>
      <c r="F10" s="41">
        <f ca="1">((H10-G10)/G10)*100</f>
        <v>7.5931232091690504</v>
      </c>
      <c r="G10" s="41">
        <f ca="1">AVERAGEIFS(data!$AD$2:'data'!$AD$373,data!$A$2:'data'!$A$373,"rural+urban",data!$B$2:'data'!$B$373,E10,data!$C$2:'data'!$C$373,"january")</f>
        <v>139.6</v>
      </c>
      <c r="H10" s="41">
        <f ca="1">AVERAGEIFS(data!$AD$2:'data'!$AD$373,data!$A$2:'data'!$A$373,"rural+urban",data!$B$2:'data'!$B$373,E10+1,data!$C$2:'data'!$C$373,"january")</f>
        <v>150.19999999999999</v>
      </c>
      <c r="I10" s="41"/>
      <c r="M10">
        <v>2020</v>
      </c>
      <c r="N10" s="24">
        <v>4.7270306258322385</v>
      </c>
    </row>
    <row r="11" spans="1:14">
      <c r="A11" t="s">
        <v>122</v>
      </c>
      <c r="E11" s="41">
        <v>2020</v>
      </c>
      <c r="F11" s="41">
        <f ca="1">((H11-G11)/G11)*100</f>
        <v>4.7270306258322385</v>
      </c>
      <c r="G11" s="41">
        <f ca="1">AVERAGEIFS(data!$AD$2:'data'!$AD$373,data!$A$2:'data'!$A$373,"rural+urban",data!$B$2:'data'!$B$373,E11,data!$C$2:'data'!$C$373,"january")</f>
        <v>150.19999999999999</v>
      </c>
      <c r="H11" s="41">
        <f ca="1">AVERAGEIFS(data!$AD$2:'data'!$AD$373,data!$A$2:'data'!$A$373,"rural+urban",data!$B$2:'data'!$B$373,E11+1,data!$C$2:'data'!$C$373,"january")</f>
        <v>157.30000000000001</v>
      </c>
      <c r="I11" s="41"/>
      <c r="M11">
        <v>2021</v>
      </c>
      <c r="N11" s="24">
        <v>5.3401144310235074</v>
      </c>
    </row>
    <row r="12" spans="1:14">
      <c r="A12" t="s">
        <v>123</v>
      </c>
      <c r="E12" s="41">
        <v>2021</v>
      </c>
      <c r="F12" s="41">
        <f ca="1">((H12-G12)/G12)*100</f>
        <v>5.3401144310235074</v>
      </c>
      <c r="G12" s="41">
        <f ca="1">AVERAGEIFS(data!$AD$2:'data'!$AD$373,data!$A$2:'data'!$A$373,"rural+urban",data!$B$2:'data'!$B$373,E12,data!$C$2:'data'!$C$373,"january")</f>
        <v>157.30000000000001</v>
      </c>
      <c r="H12" s="41">
        <f ca="1">AVERAGEIFS(data!$AD$2:'data'!$AD$373,data!$A$2:'data'!$A$373,"rural+urban",data!$B$2:'data'!$B$373,E12+1,data!$C$2:'data'!$C$373,"january")</f>
        <v>165.7</v>
      </c>
      <c r="I12" s="41"/>
      <c r="M12">
        <v>2022</v>
      </c>
      <c r="N12" s="24">
        <v>6.5178032589016377</v>
      </c>
    </row>
    <row r="13" spans="1:14">
      <c r="A13" t="s">
        <v>124</v>
      </c>
      <c r="E13" s="41">
        <v>2022</v>
      </c>
      <c r="F13" s="41">
        <f ca="1">((H13-G13)/G13)*100</f>
        <v>6.5178032589016377</v>
      </c>
      <c r="G13" s="41">
        <f ca="1">AVERAGEIFS(data!$AD$2:'data'!$AD$373,data!$A$2:'data'!$A$373,"rural+urban",data!$B$2:'data'!$B$373,E13,data!$C$2:'data'!$C$373,"january")</f>
        <v>165.7</v>
      </c>
      <c r="H13" s="41">
        <f ca="1">AVERAGEIFS(data!$AD$2:'data'!$AD$373,data!$A$2:'data'!$A$373,"rural+urban",data!$B$2:'data'!$B$373,E13+1,data!$C$2:'data'!$C$373,"january")</f>
        <v>176.5</v>
      </c>
      <c r="I13" s="41"/>
      <c r="M13" t="s">
        <v>99</v>
      </c>
      <c r="N13" s="24">
        <v>31.215548112920526</v>
      </c>
    </row>
  </sheetData>
  <conditionalFormatting sqref="M6:N12">
    <cfRule type="dataBar" priority="2">
      <dataBar>
        <cfvo type="min"/>
        <cfvo type="max"/>
        <color rgb="FF63C384"/>
      </dataBar>
      <extLst>
        <ext xmlns:x14="http://schemas.microsoft.com/office/spreadsheetml/2009/9/main" uri="{B025F937-C7B1-47D3-B67F-A62EFF666E3E}">
          <x14:id>{325E31F7-06E0-4DAE-ACB2-D5102D91EFE6}</x14:id>
        </ext>
      </extLst>
    </cfRule>
  </conditionalFormatting>
  <conditionalFormatting pivot="1" sqref="N7:N12">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25E31F7-06E0-4DAE-ACB2-D5102D91EFE6}">
            <x14:dataBar minLength="0" maxLength="100" border="1" negativeBarBorderColorSameAsPositive="0">
              <x14:cfvo type="autoMin"/>
              <x14:cfvo type="autoMax"/>
              <x14:borderColor rgb="FF63C384"/>
              <x14:negativeFillColor rgb="FFFF0000"/>
              <x14:negativeBorderColor rgb="FFFF0000"/>
              <x14:axisColor rgb="FF000000"/>
            </x14:dataBar>
          </x14:cfRule>
          <xm:sqref>M6:N12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B053-1061-463E-9144-2A4BC97DF07B}">
  <dimension ref="B1:X55"/>
  <sheetViews>
    <sheetView workbookViewId="0">
      <selection activeCell="X14" sqref="X14"/>
    </sheetView>
  </sheetViews>
  <sheetFormatPr defaultRowHeight="15"/>
  <cols>
    <col min="2" max="2" width="11.7109375" bestFit="1" customWidth="1"/>
    <col min="3" max="3" width="29.42578125" bestFit="1" customWidth="1"/>
    <col min="4" max="4" width="15.140625" customWidth="1"/>
    <col min="5" max="5" width="24.85546875" customWidth="1"/>
    <col min="6" max="6" width="24.85546875" bestFit="1" customWidth="1"/>
    <col min="7" max="7" width="23" customWidth="1"/>
    <col min="8" max="8" width="11.42578125" customWidth="1"/>
    <col min="9" max="9" width="26.42578125" bestFit="1" customWidth="1"/>
    <col min="10" max="10" width="11.7109375" bestFit="1" customWidth="1"/>
    <col min="11" max="11" width="15.28515625" bestFit="1" customWidth="1"/>
    <col min="12" max="12" width="30.7109375" bestFit="1" customWidth="1"/>
    <col min="13" max="13" width="30.5703125" bestFit="1" customWidth="1"/>
    <col min="14" max="14" width="23" customWidth="1"/>
    <col min="15" max="15" width="25.85546875" bestFit="1" customWidth="1"/>
    <col min="16" max="16" width="28" bestFit="1" customWidth="1"/>
    <col min="17" max="17" width="16.42578125" bestFit="1" customWidth="1"/>
    <col min="18" max="18" width="29.5703125" bestFit="1" customWidth="1"/>
    <col min="19" max="19" width="34" bestFit="1" customWidth="1"/>
    <col min="20" max="20" width="16.85546875" bestFit="1" customWidth="1"/>
    <col min="21" max="21" width="34" bestFit="1" customWidth="1"/>
    <col min="22" max="22" width="21.5703125" bestFit="1" customWidth="1"/>
    <col min="23" max="23" width="44.140625" bestFit="1" customWidth="1"/>
    <col min="24" max="24" width="27.7109375" bestFit="1" customWidth="1"/>
  </cols>
  <sheetData>
    <row r="1" spans="3:24">
      <c r="C1" s="21" t="s">
        <v>125</v>
      </c>
    </row>
    <row r="2" spans="3:24">
      <c r="J2" s="23" t="s">
        <v>89</v>
      </c>
      <c r="K2" t="s">
        <v>69</v>
      </c>
    </row>
    <row r="3" spans="3:24">
      <c r="C3" s="50" t="s">
        <v>126</v>
      </c>
      <c r="D3" s="50" t="s">
        <v>127</v>
      </c>
      <c r="E3" s="50" t="s">
        <v>128</v>
      </c>
    </row>
    <row r="4" spans="3:24">
      <c r="C4" s="42">
        <v>44682</v>
      </c>
      <c r="D4" s="43">
        <v>172.13333333333335</v>
      </c>
      <c r="J4" s="23" t="s">
        <v>60</v>
      </c>
      <c r="K4" s="23" t="s">
        <v>90</v>
      </c>
      <c r="L4" t="s">
        <v>129</v>
      </c>
      <c r="M4" t="s">
        <v>130</v>
      </c>
      <c r="N4" t="s">
        <v>131</v>
      </c>
      <c r="O4" t="s">
        <v>132</v>
      </c>
      <c r="P4" t="s">
        <v>133</v>
      </c>
      <c r="Q4" t="s">
        <v>134</v>
      </c>
      <c r="R4" t="s">
        <v>135</v>
      </c>
      <c r="S4" t="s">
        <v>136</v>
      </c>
      <c r="T4" t="s">
        <v>137</v>
      </c>
      <c r="U4" t="s">
        <v>138</v>
      </c>
      <c r="V4" t="s">
        <v>139</v>
      </c>
      <c r="W4" t="s">
        <v>140</v>
      </c>
      <c r="X4" s="21" t="s">
        <v>141</v>
      </c>
    </row>
    <row r="5" spans="3:24">
      <c r="C5" s="42">
        <v>44713</v>
      </c>
      <c r="D5" s="43">
        <v>173.91666666666666</v>
      </c>
      <c r="E5">
        <f>((D5-D4)/D4)*100</f>
        <v>1.0360185902401062</v>
      </c>
      <c r="J5">
        <v>2022</v>
      </c>
      <c r="K5" t="s">
        <v>66</v>
      </c>
      <c r="L5" s="24">
        <v>198.7</v>
      </c>
      <c r="M5" s="24">
        <v>149.5</v>
      </c>
      <c r="N5" s="24">
        <v>184.7</v>
      </c>
      <c r="O5" s="24">
        <v>178.8</v>
      </c>
      <c r="P5" s="24">
        <v>160.5</v>
      </c>
      <c r="Q5" s="24">
        <v>153.69999999999999</v>
      </c>
      <c r="R5" s="24">
        <v>163.9</v>
      </c>
      <c r="S5" s="24">
        <v>120</v>
      </c>
      <c r="T5" s="24">
        <v>172.1</v>
      </c>
      <c r="U5" s="24">
        <v>164.3</v>
      </c>
      <c r="V5" s="24">
        <v>174.3</v>
      </c>
      <c r="W5" s="24">
        <v>177.3</v>
      </c>
    </row>
    <row r="6" spans="3:24">
      <c r="C6" s="42">
        <v>44743</v>
      </c>
      <c r="D6" s="43">
        <v>174.27499999999998</v>
      </c>
      <c r="E6">
        <f>((D6-D5)/D5)*100</f>
        <v>0.20603737422136276</v>
      </c>
      <c r="K6" t="s">
        <v>70</v>
      </c>
      <c r="L6" s="24">
        <v>200.6</v>
      </c>
      <c r="M6" s="24">
        <v>150</v>
      </c>
      <c r="N6" s="24">
        <v>184.9</v>
      </c>
      <c r="O6" s="24">
        <v>175.8</v>
      </c>
      <c r="P6" s="24">
        <v>160.69999999999999</v>
      </c>
      <c r="Q6" s="24">
        <v>153.69999999999999</v>
      </c>
      <c r="R6" s="24">
        <v>163.69999999999999</v>
      </c>
      <c r="S6" s="24">
        <v>118.9</v>
      </c>
      <c r="T6" s="24">
        <v>174.3</v>
      </c>
      <c r="U6" s="24">
        <v>164.7</v>
      </c>
      <c r="V6" s="24">
        <v>169.7</v>
      </c>
      <c r="W6" s="24">
        <v>178</v>
      </c>
    </row>
    <row r="7" spans="3:24">
      <c r="C7" s="42">
        <v>44774</v>
      </c>
      <c r="D7" s="43">
        <v>174.40833333333333</v>
      </c>
      <c r="E7">
        <f t="shared" ref="E7:E16" si="0">((D7-D6)/D6)*100</f>
        <v>7.6507435566406087E-2</v>
      </c>
      <c r="K7" t="s">
        <v>71</v>
      </c>
      <c r="L7" s="24">
        <v>210.7</v>
      </c>
      <c r="M7" s="24">
        <v>151.30000000000001</v>
      </c>
      <c r="N7" s="24">
        <v>194.6</v>
      </c>
      <c r="O7" s="24">
        <v>167.8</v>
      </c>
      <c r="P7" s="24">
        <v>162.19999999999999</v>
      </c>
      <c r="Q7" s="24">
        <v>157.6</v>
      </c>
      <c r="R7" s="24">
        <v>163.9</v>
      </c>
      <c r="S7" s="24">
        <v>118.8</v>
      </c>
      <c r="T7" s="24">
        <v>177.4</v>
      </c>
      <c r="U7" s="24">
        <v>165.3</v>
      </c>
      <c r="V7" s="24">
        <v>166.9</v>
      </c>
      <c r="W7" s="24">
        <v>179.3</v>
      </c>
    </row>
    <row r="8" spans="3:24">
      <c r="C8" s="42">
        <v>44805</v>
      </c>
      <c r="D8" s="43">
        <v>175.25833333333333</v>
      </c>
      <c r="E8">
        <f t="shared" si="0"/>
        <v>0.487362033541972</v>
      </c>
      <c r="K8" t="s">
        <v>72</v>
      </c>
      <c r="L8" s="24">
        <v>211.8</v>
      </c>
      <c r="M8" s="24">
        <v>152.9</v>
      </c>
      <c r="N8" s="24">
        <v>199.5</v>
      </c>
      <c r="O8" s="24">
        <v>164.5</v>
      </c>
      <c r="P8" s="24">
        <v>163.9</v>
      </c>
      <c r="Q8" s="24">
        <v>172.6</v>
      </c>
      <c r="R8" s="24">
        <v>164.7</v>
      </c>
      <c r="S8" s="24">
        <v>119</v>
      </c>
      <c r="T8" s="24">
        <v>181.3</v>
      </c>
      <c r="U8" s="24">
        <v>166.2</v>
      </c>
      <c r="V8" s="24">
        <v>166.2</v>
      </c>
      <c r="W8" s="24">
        <v>180.9</v>
      </c>
    </row>
    <row r="9" spans="3:24">
      <c r="C9" s="42">
        <v>44835</v>
      </c>
      <c r="D9" s="43">
        <v>176.47500000000002</v>
      </c>
      <c r="E9">
        <f t="shared" si="0"/>
        <v>0.694213304170052</v>
      </c>
      <c r="K9" t="s">
        <v>73</v>
      </c>
      <c r="L9" s="24">
        <v>217</v>
      </c>
      <c r="M9" s="24">
        <v>154.1</v>
      </c>
      <c r="N9" s="24">
        <v>202.4</v>
      </c>
      <c r="O9" s="24">
        <v>162.4</v>
      </c>
      <c r="P9" s="24">
        <v>164.9</v>
      </c>
      <c r="Q9" s="24">
        <v>171</v>
      </c>
      <c r="R9" s="24">
        <v>164.7</v>
      </c>
      <c r="S9" s="24">
        <v>119.7</v>
      </c>
      <c r="T9" s="24">
        <v>184.9</v>
      </c>
      <c r="U9" s="24">
        <v>167.1</v>
      </c>
      <c r="V9" s="24">
        <v>174.9</v>
      </c>
      <c r="W9" s="24">
        <v>182.5</v>
      </c>
      <c r="X9">
        <f>AVERAGE(L9:W9)</f>
        <v>172.13333333333335</v>
      </c>
    </row>
    <row r="10" spans="3:24">
      <c r="C10" s="42">
        <v>44866</v>
      </c>
      <c r="D10" s="43">
        <v>176.54166666666666</v>
      </c>
      <c r="E10">
        <f t="shared" si="0"/>
        <v>3.7776833356925596E-2</v>
      </c>
      <c r="K10" t="s">
        <v>74</v>
      </c>
      <c r="L10" s="24">
        <v>219.4</v>
      </c>
      <c r="M10" s="24">
        <v>155</v>
      </c>
      <c r="N10" s="24">
        <v>200.9</v>
      </c>
      <c r="O10" s="24">
        <v>170.8</v>
      </c>
      <c r="P10" s="24">
        <v>165.8</v>
      </c>
      <c r="Q10" s="24">
        <v>169.7</v>
      </c>
      <c r="R10" s="24">
        <v>164.3</v>
      </c>
      <c r="S10" s="24">
        <v>119.9</v>
      </c>
      <c r="T10" s="24">
        <v>187.1</v>
      </c>
      <c r="U10" s="24">
        <v>167.9</v>
      </c>
      <c r="V10" s="24">
        <v>182.3</v>
      </c>
      <c r="W10" s="24">
        <v>183.9</v>
      </c>
      <c r="X10">
        <f t="shared" ref="X10:X16" si="1">AVERAGE(L10:W10)</f>
        <v>173.91666666666666</v>
      </c>
    </row>
    <row r="11" spans="3:24">
      <c r="C11" s="42">
        <v>44896</v>
      </c>
      <c r="D11" s="43">
        <v>175.625</v>
      </c>
      <c r="E11">
        <f t="shared" si="0"/>
        <v>-0.51923530800093876</v>
      </c>
      <c r="K11" t="s">
        <v>75</v>
      </c>
      <c r="L11" s="24">
        <v>213</v>
      </c>
      <c r="M11" s="24">
        <v>156.5</v>
      </c>
      <c r="N11" s="24">
        <v>195.8</v>
      </c>
      <c r="O11" s="24">
        <v>175.2</v>
      </c>
      <c r="P11" s="24">
        <v>166.6</v>
      </c>
      <c r="Q11" s="24">
        <v>174.2</v>
      </c>
      <c r="R11" s="24">
        <v>164.3</v>
      </c>
      <c r="S11" s="24">
        <v>120</v>
      </c>
      <c r="T11" s="24">
        <v>190</v>
      </c>
      <c r="U11" s="24">
        <v>168.4</v>
      </c>
      <c r="V11" s="24">
        <v>182.1</v>
      </c>
      <c r="W11" s="24">
        <v>185.2</v>
      </c>
      <c r="X11">
        <f t="shared" si="1"/>
        <v>174.27499999999998</v>
      </c>
    </row>
    <row r="12" spans="3:24">
      <c r="C12" s="42">
        <v>44927</v>
      </c>
      <c r="D12" s="44">
        <v>176.33333333333337</v>
      </c>
      <c r="E12">
        <f t="shared" si="0"/>
        <v>0.40332147093715087</v>
      </c>
      <c r="K12" t="s">
        <v>76</v>
      </c>
      <c r="L12" s="24">
        <v>206.5</v>
      </c>
      <c r="M12" s="24">
        <v>160.30000000000001</v>
      </c>
      <c r="N12" s="24">
        <v>192.4</v>
      </c>
      <c r="O12" s="24">
        <v>169.2</v>
      </c>
      <c r="P12" s="24">
        <v>168.1</v>
      </c>
      <c r="Q12" s="24">
        <v>172.9</v>
      </c>
      <c r="R12" s="24">
        <v>167.2</v>
      </c>
      <c r="S12" s="24">
        <v>120.9</v>
      </c>
      <c r="T12" s="24">
        <v>193.6</v>
      </c>
      <c r="U12" s="24">
        <v>168.8</v>
      </c>
      <c r="V12" s="24">
        <v>186.7</v>
      </c>
      <c r="W12" s="24">
        <v>186.3</v>
      </c>
      <c r="X12">
        <f t="shared" si="1"/>
        <v>174.40833333333333</v>
      </c>
    </row>
    <row r="13" spans="3:24">
      <c r="C13" s="42">
        <v>44958</v>
      </c>
      <c r="D13" s="44">
        <v>175.17500000000004</v>
      </c>
      <c r="E13">
        <f t="shared" si="0"/>
        <v>-0.6568998109640819</v>
      </c>
      <c r="K13" t="s">
        <v>77</v>
      </c>
      <c r="L13" s="24">
        <v>209.2</v>
      </c>
      <c r="M13" s="24">
        <v>163.5</v>
      </c>
      <c r="N13" s="24">
        <v>188.7</v>
      </c>
      <c r="O13" s="24">
        <v>169.7</v>
      </c>
      <c r="P13" s="24">
        <v>169.7</v>
      </c>
      <c r="Q13" s="24">
        <v>165.7</v>
      </c>
      <c r="R13" s="24">
        <v>169.1</v>
      </c>
      <c r="S13" s="24">
        <v>121.6</v>
      </c>
      <c r="T13" s="24">
        <v>197.3</v>
      </c>
      <c r="U13" s="24">
        <v>169.4</v>
      </c>
      <c r="V13" s="24">
        <v>191.8</v>
      </c>
      <c r="W13" s="24">
        <v>187.4</v>
      </c>
      <c r="X13">
        <f t="shared" si="1"/>
        <v>175.25833333333333</v>
      </c>
    </row>
    <row r="14" spans="3:24">
      <c r="C14" s="42">
        <v>44986</v>
      </c>
      <c r="D14" s="44">
        <v>175.18333333333331</v>
      </c>
      <c r="E14">
        <f t="shared" si="0"/>
        <v>4.7571476142536937E-3</v>
      </c>
      <c r="K14" t="s">
        <v>78</v>
      </c>
      <c r="L14" s="24">
        <v>210.9</v>
      </c>
      <c r="M14" s="24">
        <v>165.2</v>
      </c>
      <c r="N14" s="24">
        <v>186.5</v>
      </c>
      <c r="O14" s="24">
        <v>170.9</v>
      </c>
      <c r="P14" s="24">
        <v>170.9</v>
      </c>
      <c r="Q14" s="24">
        <v>163.80000000000001</v>
      </c>
      <c r="R14" s="24">
        <v>169.8</v>
      </c>
      <c r="S14" s="24">
        <v>121.9</v>
      </c>
      <c r="T14" s="24">
        <v>199.9</v>
      </c>
      <c r="U14" s="24">
        <v>169.9</v>
      </c>
      <c r="V14" s="24">
        <v>199.7</v>
      </c>
      <c r="W14" s="24">
        <v>188.3</v>
      </c>
      <c r="X14">
        <f t="shared" si="1"/>
        <v>176.47500000000002</v>
      </c>
    </row>
    <row r="15" spans="3:24">
      <c r="C15" s="42">
        <v>45017</v>
      </c>
      <c r="D15" s="44">
        <v>175.97500000000002</v>
      </c>
      <c r="E15">
        <f t="shared" si="0"/>
        <v>0.4519075254495562</v>
      </c>
      <c r="K15" t="s">
        <v>79</v>
      </c>
      <c r="L15" s="24">
        <v>209.4</v>
      </c>
      <c r="M15" s="24">
        <v>167.4</v>
      </c>
      <c r="N15" s="24">
        <v>188.9</v>
      </c>
      <c r="O15" s="24">
        <v>181.4</v>
      </c>
      <c r="P15" s="24">
        <v>172.3</v>
      </c>
      <c r="Q15" s="24">
        <v>160.69999999999999</v>
      </c>
      <c r="R15" s="24">
        <v>170.5</v>
      </c>
      <c r="S15" s="24">
        <v>122.1</v>
      </c>
      <c r="T15" s="24">
        <v>202.8</v>
      </c>
      <c r="U15" s="24">
        <v>170.4</v>
      </c>
      <c r="V15" s="24">
        <v>183.1</v>
      </c>
      <c r="W15" s="24">
        <v>189.5</v>
      </c>
      <c r="X15">
        <f t="shared" si="1"/>
        <v>176.54166666666666</v>
      </c>
    </row>
    <row r="16" spans="3:24">
      <c r="C16" s="42">
        <v>45047</v>
      </c>
      <c r="D16" s="44">
        <v>177.31666666666669</v>
      </c>
      <c r="E16">
        <f t="shared" si="0"/>
        <v>0.76241890420040825</v>
      </c>
      <c r="K16" t="s">
        <v>80</v>
      </c>
      <c r="L16" s="24">
        <v>209</v>
      </c>
      <c r="M16" s="24">
        <v>169.2</v>
      </c>
      <c r="N16" s="24">
        <v>188.5</v>
      </c>
      <c r="O16" s="24">
        <v>190.2</v>
      </c>
      <c r="P16" s="24">
        <v>173.6</v>
      </c>
      <c r="Q16" s="24">
        <v>158</v>
      </c>
      <c r="R16" s="24">
        <v>170.8</v>
      </c>
      <c r="S16" s="24">
        <v>121.8</v>
      </c>
      <c r="T16" s="24">
        <v>205.2</v>
      </c>
      <c r="U16" s="24">
        <v>171</v>
      </c>
      <c r="V16" s="24">
        <v>159.9</v>
      </c>
      <c r="W16" s="24">
        <v>190.3</v>
      </c>
      <c r="X16">
        <f t="shared" si="1"/>
        <v>175.625</v>
      </c>
    </row>
    <row r="17" spans="2:24">
      <c r="J17" t="s">
        <v>142</v>
      </c>
      <c r="L17" s="24">
        <v>209.68333333333337</v>
      </c>
      <c r="M17" s="24">
        <v>157.90833333333336</v>
      </c>
      <c r="N17" s="24">
        <v>192.31666666666669</v>
      </c>
      <c r="O17" s="24">
        <v>173.05833333333337</v>
      </c>
      <c r="P17" s="24">
        <v>166.6</v>
      </c>
      <c r="Q17" s="24">
        <v>164.46666666666667</v>
      </c>
      <c r="R17" s="24">
        <v>166.40833333333333</v>
      </c>
      <c r="S17" s="24">
        <v>120.38333333333333</v>
      </c>
      <c r="T17" s="24">
        <v>188.82499999999996</v>
      </c>
      <c r="U17" s="24">
        <v>167.78333333333336</v>
      </c>
      <c r="V17" s="24">
        <v>178.13333333333333</v>
      </c>
      <c r="W17" s="24">
        <v>184.07500000000002</v>
      </c>
    </row>
    <row r="18" spans="2:24">
      <c r="J18">
        <v>2023</v>
      </c>
      <c r="K18" t="s">
        <v>66</v>
      </c>
      <c r="L18" s="24">
        <v>210.7</v>
      </c>
      <c r="M18" s="24">
        <v>173.8</v>
      </c>
      <c r="N18" s="24">
        <v>187.2</v>
      </c>
      <c r="O18" s="24">
        <v>194.5</v>
      </c>
      <c r="P18" s="24">
        <v>174.6</v>
      </c>
      <c r="Q18" s="24">
        <v>158.30000000000001</v>
      </c>
      <c r="R18" s="24">
        <v>170.9</v>
      </c>
      <c r="S18" s="24">
        <v>121.1</v>
      </c>
      <c r="T18" s="24">
        <v>208.4</v>
      </c>
      <c r="U18" s="24">
        <v>171.4</v>
      </c>
      <c r="V18" s="24">
        <v>153.9</v>
      </c>
      <c r="W18" s="24">
        <v>191.2</v>
      </c>
      <c r="X18">
        <f>AVERAGE(L18:W18)</f>
        <v>176.33333333333337</v>
      </c>
    </row>
    <row r="19" spans="2:24">
      <c r="K19" t="s">
        <v>70</v>
      </c>
      <c r="L19" s="24">
        <v>207.7</v>
      </c>
      <c r="M19" s="24">
        <v>174.4</v>
      </c>
      <c r="N19" s="24">
        <v>179.3</v>
      </c>
      <c r="O19" s="24">
        <v>175.2</v>
      </c>
      <c r="P19" s="24">
        <v>177.3</v>
      </c>
      <c r="Q19" s="24">
        <v>169.5</v>
      </c>
      <c r="R19" s="24">
        <v>171</v>
      </c>
      <c r="S19" s="24">
        <v>120</v>
      </c>
      <c r="T19" s="24">
        <v>209.7</v>
      </c>
      <c r="U19" s="24">
        <v>172.3</v>
      </c>
      <c r="V19" s="24">
        <v>152.69999999999999</v>
      </c>
      <c r="W19" s="24">
        <v>193</v>
      </c>
      <c r="X19">
        <f t="shared" ref="X19:X22" si="2">AVERAGE(L19:W19)</f>
        <v>175.17500000000004</v>
      </c>
    </row>
    <row r="20" spans="2:24">
      <c r="B20" s="23" t="s">
        <v>126</v>
      </c>
      <c r="C20" t="s">
        <v>143</v>
      </c>
      <c r="K20" t="s">
        <v>71</v>
      </c>
      <c r="L20" s="24">
        <v>207.7</v>
      </c>
      <c r="M20" s="24">
        <v>174.4</v>
      </c>
      <c r="N20" s="24">
        <v>179.2</v>
      </c>
      <c r="O20" s="24">
        <v>175.2</v>
      </c>
      <c r="P20" s="24">
        <v>177.3</v>
      </c>
      <c r="Q20" s="24">
        <v>169.5</v>
      </c>
      <c r="R20" s="24">
        <v>171.1</v>
      </c>
      <c r="S20" s="24">
        <v>120</v>
      </c>
      <c r="T20" s="24">
        <v>209.7</v>
      </c>
      <c r="U20" s="24">
        <v>172.3</v>
      </c>
      <c r="V20" s="24">
        <v>152.80000000000001</v>
      </c>
      <c r="W20" s="24">
        <v>193</v>
      </c>
      <c r="X20">
        <f t="shared" si="2"/>
        <v>175.18333333333331</v>
      </c>
    </row>
    <row r="21" spans="2:24">
      <c r="B21" s="42">
        <v>44713</v>
      </c>
      <c r="C21" s="24">
        <v>1.0360185902401062</v>
      </c>
      <c r="K21" t="s">
        <v>72</v>
      </c>
      <c r="L21" s="24">
        <v>209.3</v>
      </c>
      <c r="M21" s="24">
        <v>173.8</v>
      </c>
      <c r="N21" s="24">
        <v>174.9</v>
      </c>
      <c r="O21" s="24">
        <v>169.6</v>
      </c>
      <c r="P21" s="24">
        <v>178.4</v>
      </c>
      <c r="Q21" s="24">
        <v>176.3</v>
      </c>
      <c r="R21" s="24">
        <v>173.4</v>
      </c>
      <c r="S21" s="24">
        <v>121.3</v>
      </c>
      <c r="T21" s="24">
        <v>212.9</v>
      </c>
      <c r="U21" s="24">
        <v>172.9</v>
      </c>
      <c r="V21" s="24">
        <v>155.4</v>
      </c>
      <c r="W21" s="24">
        <v>193.5</v>
      </c>
      <c r="X21">
        <f t="shared" si="2"/>
        <v>175.97500000000002</v>
      </c>
    </row>
    <row r="22" spans="2:24">
      <c r="B22" s="42">
        <v>44743</v>
      </c>
      <c r="C22" s="24">
        <v>0.20603737422136276</v>
      </c>
      <c r="K22" t="s">
        <v>73</v>
      </c>
      <c r="L22" s="24">
        <v>214.3</v>
      </c>
      <c r="M22" s="24">
        <v>173.7</v>
      </c>
      <c r="N22" s="24">
        <v>170</v>
      </c>
      <c r="O22" s="24">
        <v>173.2</v>
      </c>
      <c r="P22" s="24">
        <v>179.5</v>
      </c>
      <c r="Q22" s="24">
        <v>172.2</v>
      </c>
      <c r="R22" s="24">
        <v>175.6</v>
      </c>
      <c r="S22" s="24">
        <v>122.7</v>
      </c>
      <c r="T22" s="24">
        <v>218</v>
      </c>
      <c r="U22" s="24">
        <v>173.4</v>
      </c>
      <c r="V22" s="24">
        <v>161</v>
      </c>
      <c r="W22" s="24">
        <v>194.2</v>
      </c>
      <c r="X22">
        <f t="shared" si="2"/>
        <v>177.31666666666669</v>
      </c>
    </row>
    <row r="23" spans="2:24">
      <c r="B23" s="42">
        <v>44774</v>
      </c>
      <c r="C23" s="24">
        <v>7.6507435566406087E-2</v>
      </c>
      <c r="J23" t="s">
        <v>144</v>
      </c>
      <c r="L23" s="24">
        <v>209.93999999999997</v>
      </c>
      <c r="M23" s="24">
        <v>174.02000000000004</v>
      </c>
      <c r="N23" s="24">
        <v>178.12</v>
      </c>
      <c r="O23" s="24">
        <v>177.54000000000002</v>
      </c>
      <c r="P23" s="24">
        <v>177.42000000000002</v>
      </c>
      <c r="Q23" s="24">
        <v>169.16</v>
      </c>
      <c r="R23" s="24">
        <v>172.4</v>
      </c>
      <c r="S23" s="24">
        <v>121.02000000000001</v>
      </c>
      <c r="T23" s="24">
        <v>211.73999999999995</v>
      </c>
      <c r="U23" s="24">
        <v>172.45999999999998</v>
      </c>
      <c r="V23" s="24">
        <v>155.16000000000003</v>
      </c>
      <c r="W23" s="24">
        <v>192.98000000000002</v>
      </c>
    </row>
    <row r="24" spans="2:24">
      <c r="B24" s="42">
        <v>44805</v>
      </c>
      <c r="C24" s="24">
        <v>0.487362033541972</v>
      </c>
      <c r="J24" t="s">
        <v>99</v>
      </c>
      <c r="L24" s="24">
        <v>209.75882352941176</v>
      </c>
      <c r="M24" s="24">
        <v>162.64705882352945</v>
      </c>
      <c r="N24" s="24">
        <v>188.14117647058825</v>
      </c>
      <c r="O24" s="24">
        <v>174.37647058823526</v>
      </c>
      <c r="P24" s="24">
        <v>169.78235294117647</v>
      </c>
      <c r="Q24" s="24">
        <v>165.84705882352941</v>
      </c>
      <c r="R24" s="24">
        <v>168.1705882352941</v>
      </c>
      <c r="S24" s="24">
        <v>120.57058823529411</v>
      </c>
      <c r="T24" s="24">
        <v>195.56470588235291</v>
      </c>
      <c r="U24" s="24">
        <v>169.15882352941182</v>
      </c>
      <c r="V24" s="24">
        <v>171.37647058823529</v>
      </c>
      <c r="W24" s="24">
        <v>186.69411764705882</v>
      </c>
    </row>
    <row r="25" spans="2:24">
      <c r="B25" s="42">
        <v>44835</v>
      </c>
      <c r="C25" s="24">
        <v>0.694213304170052</v>
      </c>
    </row>
    <row r="26" spans="2:24">
      <c r="B26" s="42">
        <v>44866</v>
      </c>
      <c r="C26" s="24">
        <v>3.7776833356925596E-2</v>
      </c>
    </row>
    <row r="27" spans="2:24">
      <c r="B27" s="42">
        <v>44896</v>
      </c>
      <c r="C27" s="24">
        <v>-0.51923530800093876</v>
      </c>
    </row>
    <row r="28" spans="2:24">
      <c r="B28" s="42">
        <v>44927</v>
      </c>
      <c r="C28" s="24">
        <v>0.40332147093715087</v>
      </c>
    </row>
    <row r="29" spans="2:24">
      <c r="B29" s="42">
        <v>44958</v>
      </c>
      <c r="C29" s="24">
        <v>-0.6568998109640819</v>
      </c>
    </row>
    <row r="30" spans="2:24">
      <c r="B30" s="42">
        <v>44986</v>
      </c>
      <c r="C30" s="24">
        <v>4.7571476142536937E-3</v>
      </c>
    </row>
    <row r="31" spans="2:24">
      <c r="B31" s="42">
        <v>45017</v>
      </c>
      <c r="C31" s="24">
        <v>0.4519075254495562</v>
      </c>
    </row>
    <row r="32" spans="2:24">
      <c r="B32" s="42">
        <v>45047</v>
      </c>
      <c r="C32" s="24">
        <v>0.76241890420040825</v>
      </c>
    </row>
    <row r="33" spans="2:15">
      <c r="B33" s="42" t="s">
        <v>99</v>
      </c>
      <c r="C33" s="24">
        <v>2.9841855003331732</v>
      </c>
    </row>
    <row r="38" spans="2:15">
      <c r="L38" s="21"/>
      <c r="M38" s="21" t="s">
        <v>145</v>
      </c>
    </row>
    <row r="39" spans="2:15">
      <c r="E39" t="s">
        <v>146</v>
      </c>
    </row>
    <row r="40" spans="2:15">
      <c r="L40" s="19" t="s">
        <v>147</v>
      </c>
      <c r="M40" s="46" t="s">
        <v>148</v>
      </c>
      <c r="N40" s="46" t="s">
        <v>149</v>
      </c>
      <c r="O40" s="47" t="s">
        <v>150</v>
      </c>
    </row>
    <row r="41" spans="2:15">
      <c r="L41" s="49" t="s">
        <v>129</v>
      </c>
      <c r="M41" s="48">
        <v>219.4</v>
      </c>
      <c r="N41" s="48">
        <v>214.3</v>
      </c>
      <c r="O41">
        <f>((N41-M41)/M41)*100</f>
        <v>-2.3245214220601613</v>
      </c>
    </row>
    <row r="42" spans="2:15">
      <c r="D42" s="19" t="s">
        <v>126</v>
      </c>
      <c r="E42" s="19" t="s">
        <v>127</v>
      </c>
      <c r="F42" s="19" t="s">
        <v>128</v>
      </c>
      <c r="G42" s="45" t="s">
        <v>151</v>
      </c>
      <c r="L42" s="49" t="s">
        <v>130</v>
      </c>
      <c r="M42" s="48">
        <v>155</v>
      </c>
      <c r="N42" s="48">
        <v>173.7</v>
      </c>
      <c r="O42">
        <f t="shared" ref="O42:O52" si="3">((N42-M42)/M42)*100</f>
        <v>12.064516129032251</v>
      </c>
    </row>
    <row r="43" spans="2:15">
      <c r="D43" s="42">
        <v>44682</v>
      </c>
      <c r="E43">
        <v>172.13333333333335</v>
      </c>
      <c r="L43" s="49" t="s">
        <v>131</v>
      </c>
      <c r="M43" s="48">
        <v>200.9</v>
      </c>
      <c r="N43" s="48">
        <v>170</v>
      </c>
      <c r="O43">
        <f t="shared" si="3"/>
        <v>-15.380786460925835</v>
      </c>
    </row>
    <row r="44" spans="2:15">
      <c r="D44" s="42">
        <v>44713</v>
      </c>
      <c r="E44">
        <v>173.91666666666666</v>
      </c>
      <c r="F44">
        <v>1.0360185902401062</v>
      </c>
      <c r="G44">
        <f>ABS(F45-F44)</f>
        <v>0.82998121601874342</v>
      </c>
      <c r="L44" s="49" t="s">
        <v>132</v>
      </c>
      <c r="M44" s="48">
        <v>170.8</v>
      </c>
      <c r="N44" s="48">
        <v>173.2</v>
      </c>
      <c r="O44">
        <f t="shared" si="3"/>
        <v>1.4051522248243427</v>
      </c>
    </row>
    <row r="45" spans="2:15">
      <c r="D45" s="42">
        <v>44743</v>
      </c>
      <c r="E45">
        <v>174.27499999999998</v>
      </c>
      <c r="F45">
        <v>0.20603737422136276</v>
      </c>
      <c r="G45">
        <f>ABS(F45-F44)</f>
        <v>0.82998121601874342</v>
      </c>
      <c r="L45" s="49" t="s">
        <v>133</v>
      </c>
      <c r="M45" s="48">
        <v>165.8</v>
      </c>
      <c r="N45" s="48">
        <v>179.5</v>
      </c>
      <c r="O45">
        <f t="shared" si="3"/>
        <v>8.2629674306393177</v>
      </c>
    </row>
    <row r="46" spans="2:15">
      <c r="D46" s="42">
        <v>44774</v>
      </c>
      <c r="E46">
        <v>174.40833333333333</v>
      </c>
      <c r="F46">
        <v>7.6507435566406087E-2</v>
      </c>
      <c r="G46">
        <f>ABS(F46-F45)</f>
        <v>0.12952993865495666</v>
      </c>
      <c r="L46" s="49" t="s">
        <v>134</v>
      </c>
      <c r="M46" s="48">
        <v>169.7</v>
      </c>
      <c r="N46" s="48">
        <v>172.2</v>
      </c>
      <c r="O46">
        <f t="shared" si="3"/>
        <v>1.4731879787860933</v>
      </c>
    </row>
    <row r="47" spans="2:15">
      <c r="D47" s="42">
        <v>44805</v>
      </c>
      <c r="E47">
        <v>175.25833333333333</v>
      </c>
      <c r="F47">
        <v>0.487362033541972</v>
      </c>
      <c r="G47">
        <f>ABS(F47-F46)</f>
        <v>0.41085459797556589</v>
      </c>
      <c r="L47" s="49" t="s">
        <v>135</v>
      </c>
      <c r="M47" s="48">
        <v>164.3</v>
      </c>
      <c r="N47" s="48">
        <v>175.6</v>
      </c>
      <c r="O47">
        <f t="shared" si="3"/>
        <v>6.8776628119293877</v>
      </c>
    </row>
    <row r="48" spans="2:15">
      <c r="D48" s="42">
        <v>44835</v>
      </c>
      <c r="E48">
        <v>176.47500000000002</v>
      </c>
      <c r="F48">
        <v>0.694213304170052</v>
      </c>
      <c r="G48">
        <f>ABS(F48-F47)</f>
        <v>0.20685127062808001</v>
      </c>
      <c r="L48" s="49" t="s">
        <v>136</v>
      </c>
      <c r="M48" s="48">
        <v>119.9</v>
      </c>
      <c r="N48" s="48">
        <v>122.7</v>
      </c>
      <c r="O48">
        <f t="shared" si="3"/>
        <v>2.3352793994995804</v>
      </c>
    </row>
    <row r="49" spans="4:15">
      <c r="D49" s="42">
        <v>44866</v>
      </c>
      <c r="E49">
        <v>176.54166666666666</v>
      </c>
      <c r="F49">
        <v>3.7776833356925596E-2</v>
      </c>
      <c r="G49">
        <f>ABS(F49-F48)</f>
        <v>0.65643647081312639</v>
      </c>
      <c r="L49" s="49" t="s">
        <v>137</v>
      </c>
      <c r="M49" s="48">
        <v>187.1</v>
      </c>
      <c r="N49" s="48">
        <v>218</v>
      </c>
      <c r="O49">
        <f t="shared" si="3"/>
        <v>16.515232495991452</v>
      </c>
    </row>
    <row r="50" spans="4:15">
      <c r="D50" s="42">
        <v>44896</v>
      </c>
      <c r="E50">
        <v>175.625</v>
      </c>
      <c r="F50">
        <v>-0.51923530800093876</v>
      </c>
      <c r="G50">
        <f>ABS(F50-F49)</f>
        <v>0.55701214135786437</v>
      </c>
      <c r="L50" s="49" t="s">
        <v>138</v>
      </c>
      <c r="M50" s="48">
        <v>167.9</v>
      </c>
      <c r="N50" s="48">
        <v>173.4</v>
      </c>
      <c r="O50">
        <f t="shared" si="3"/>
        <v>3.2757593805836809</v>
      </c>
    </row>
    <row r="51" spans="4:15">
      <c r="D51" s="42">
        <v>44927</v>
      </c>
      <c r="E51">
        <v>176.33333333333337</v>
      </c>
      <c r="F51">
        <v>0.40332147093715087</v>
      </c>
      <c r="G51">
        <f>ABS(F51-F50)</f>
        <v>0.92255677893808963</v>
      </c>
      <c r="L51" s="49" t="s">
        <v>139</v>
      </c>
      <c r="M51" s="48">
        <v>182.3</v>
      </c>
      <c r="N51" s="48">
        <v>161</v>
      </c>
      <c r="O51">
        <f t="shared" si="3"/>
        <v>-11.684037301151953</v>
      </c>
    </row>
    <row r="52" spans="4:15">
      <c r="D52" s="42">
        <v>44958</v>
      </c>
      <c r="E52">
        <v>175.17500000000004</v>
      </c>
      <c r="F52">
        <v>-0.6568998109640819</v>
      </c>
      <c r="G52">
        <f>ABS(F52-F51)</f>
        <v>1.0602212819012329</v>
      </c>
      <c r="L52" s="49" t="s">
        <v>140</v>
      </c>
      <c r="M52" s="48">
        <v>183.9</v>
      </c>
      <c r="N52" s="48">
        <v>194.2</v>
      </c>
      <c r="O52">
        <f t="shared" si="3"/>
        <v>5.6008700380641558</v>
      </c>
    </row>
    <row r="53" spans="4:15">
      <c r="D53" s="42">
        <v>44986</v>
      </c>
      <c r="E53">
        <v>175.18333333333331</v>
      </c>
      <c r="F53">
        <v>4.7571476142536937E-3</v>
      </c>
      <c r="G53">
        <f>ABS(F53-F52)</f>
        <v>0.66165695857833562</v>
      </c>
    </row>
    <row r="54" spans="4:15">
      <c r="D54" s="42">
        <v>45017</v>
      </c>
      <c r="E54">
        <v>175.97500000000002</v>
      </c>
      <c r="F54">
        <v>0.4519075254495562</v>
      </c>
      <c r="G54">
        <f>ABS(F54-F53)</f>
        <v>0.44715037783530248</v>
      </c>
    </row>
    <row r="55" spans="4:15">
      <c r="D55" s="42">
        <v>45047</v>
      </c>
      <c r="E55">
        <v>177.31666666666669</v>
      </c>
      <c r="F55">
        <v>0.76241890420040825</v>
      </c>
      <c r="G55">
        <f>ABS(F55-F54)</f>
        <v>0.31051137875085205</v>
      </c>
    </row>
  </sheetData>
  <conditionalFormatting sqref="B21:B33">
    <cfRule type="dataBar" priority="9">
      <dataBar>
        <cfvo type="min"/>
        <cfvo type="max"/>
        <color rgb="FF638EC6"/>
      </dataBar>
      <extLst>
        <ext xmlns:x14="http://schemas.microsoft.com/office/spreadsheetml/2009/9/main" uri="{B025F937-C7B1-47D3-B67F-A62EFF666E3E}">
          <x14:id>{0FA90E14-2283-4239-B09D-A8C207787EA3}</x14:id>
        </ext>
      </extLst>
    </cfRule>
  </conditionalFormatting>
  <conditionalFormatting sqref="B21:B33">
    <cfRule type="dataBar" priority="8">
      <dataBar>
        <cfvo type="min"/>
        <cfvo type="max"/>
        <color rgb="FF63C384"/>
      </dataBar>
      <extLst>
        <ext xmlns:x14="http://schemas.microsoft.com/office/spreadsheetml/2009/9/main" uri="{B025F937-C7B1-47D3-B67F-A62EFF666E3E}">
          <x14:id>{1FA7A096-4E4C-4F06-8FB6-963475D9EB9E}</x14:id>
        </ext>
      </extLst>
    </cfRule>
  </conditionalFormatting>
  <conditionalFormatting pivot="1" sqref="C21:C32">
    <cfRule type="dataBar" priority="6">
      <dataBar>
        <cfvo type="min"/>
        <cfvo type="max"/>
        <color rgb="FF638EC6"/>
      </dataBar>
      <extLst>
        <ext xmlns:x14="http://schemas.microsoft.com/office/spreadsheetml/2009/9/main" uri="{B025F937-C7B1-47D3-B67F-A62EFF666E3E}">
          <x14:id>{3E47B15D-A77A-4AA6-A458-F397876C9FE4}</x14:id>
        </ext>
      </extLst>
    </cfRule>
  </conditionalFormatting>
  <conditionalFormatting sqref="G44:G55">
    <cfRule type="dataBar" priority="5">
      <dataBar>
        <cfvo type="min"/>
        <cfvo type="max"/>
        <color rgb="FF63C384"/>
      </dataBar>
      <extLst>
        <ext xmlns:x14="http://schemas.microsoft.com/office/spreadsheetml/2009/9/main" uri="{B025F937-C7B1-47D3-B67F-A62EFF666E3E}">
          <x14:id>{D13945CB-40D9-4A06-8C9E-A6CE05AD4F71}</x14:id>
        </ext>
      </extLst>
    </cfRule>
  </conditionalFormatting>
  <conditionalFormatting sqref="J51">
    <cfRule type="dataBar" priority="4">
      <dataBar>
        <cfvo type="min"/>
        <cfvo type="max"/>
        <color rgb="FFFF555A"/>
      </dataBar>
      <extLst>
        <ext xmlns:x14="http://schemas.microsoft.com/office/spreadsheetml/2009/9/main" uri="{B025F937-C7B1-47D3-B67F-A62EFF666E3E}">
          <x14:id>{48504D6C-7B3D-450A-8E14-897C0B5BA9A3}</x14:id>
        </ext>
      </extLst>
    </cfRule>
  </conditionalFormatting>
  <conditionalFormatting sqref="G44:G55">
    <cfRule type="dataBar" priority="3">
      <dataBar>
        <cfvo type="min"/>
        <cfvo type="max"/>
        <color rgb="FFFF555A"/>
      </dataBar>
      <extLst>
        <ext xmlns:x14="http://schemas.microsoft.com/office/spreadsheetml/2009/9/main" uri="{B025F937-C7B1-47D3-B67F-A62EFF666E3E}">
          <x14:id>{4E88D4DC-D938-46C8-9DA3-6CF4DE4D3926}</x14:id>
        </ext>
      </extLst>
    </cfRule>
  </conditionalFormatting>
  <conditionalFormatting sqref="F43:G55">
    <cfRule type="dataBar" priority="2">
      <dataBar>
        <cfvo type="min"/>
        <cfvo type="max"/>
        <color rgb="FFFFB628"/>
      </dataBar>
      <extLst>
        <ext xmlns:x14="http://schemas.microsoft.com/office/spreadsheetml/2009/9/main" uri="{B025F937-C7B1-47D3-B67F-A62EFF666E3E}">
          <x14:id>{F9346F87-B212-4ED2-8A62-8B6801D1D6E6}</x14:id>
        </ext>
      </extLst>
    </cfRule>
  </conditionalFormatting>
  <conditionalFormatting sqref="O41:O52">
    <cfRule type="dataBar" priority="1">
      <dataBar>
        <cfvo type="min"/>
        <cfvo type="max"/>
        <color rgb="FF008AEF"/>
      </dataBar>
      <extLst>
        <ext xmlns:x14="http://schemas.microsoft.com/office/spreadsheetml/2009/9/main" uri="{B025F937-C7B1-47D3-B67F-A62EFF666E3E}">
          <x14:id>{BFD6A471-01C5-427B-BD4F-9A3AD33BE86D}</x14:id>
        </ext>
      </extLst>
    </cfRule>
  </conditionalFormatting>
  <pageMargins left="0.7" right="0.7" top="0.75" bottom="0.75" header="0.3" footer="0.3"/>
  <drawing r:id="rId3"/>
  <tableParts count="4">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0FA90E14-2283-4239-B09D-A8C207787EA3}">
            <x14:dataBar minLength="0" maxLength="100" border="1" negativeBarBorderColorSameAsPositive="0">
              <x14:cfvo type="autoMin"/>
              <x14:cfvo type="autoMax"/>
              <x14:borderColor rgb="FF638EC6"/>
              <x14:negativeFillColor rgb="FFFF0000"/>
              <x14:negativeBorderColor rgb="FFFF0000"/>
              <x14:axisColor rgb="FF000000"/>
            </x14:dataBar>
          </x14:cfRule>
          <xm:sqref>B21:B33</xm:sqref>
        </x14:conditionalFormatting>
        <x14:conditionalFormatting xmlns:xm="http://schemas.microsoft.com/office/excel/2006/main">
          <x14:cfRule type="dataBar" id="{1FA7A096-4E4C-4F06-8FB6-963475D9EB9E}">
            <x14:dataBar minLength="0" maxLength="100" border="1" negativeBarBorderColorSameAsPositive="0">
              <x14:cfvo type="autoMin"/>
              <x14:cfvo type="autoMax"/>
              <x14:borderColor rgb="FF63C384"/>
              <x14:negativeFillColor rgb="FFFF0000"/>
              <x14:negativeBorderColor rgb="FFFF0000"/>
              <x14:axisColor rgb="FF000000"/>
            </x14:dataBar>
          </x14:cfRule>
          <xm:sqref>B21:B33</xm:sqref>
        </x14:conditionalFormatting>
        <x14:conditionalFormatting xmlns:xm="http://schemas.microsoft.com/office/excel/2006/main" pivot="1">
          <x14:cfRule type="dataBar" id="{3E47B15D-A77A-4AA6-A458-F397876C9FE4}">
            <x14:dataBar minLength="0" maxLength="100" border="1" negativeBarBorderColorSameAsPositive="0">
              <x14:cfvo type="autoMin"/>
              <x14:cfvo type="autoMax"/>
              <x14:borderColor rgb="FF638EC6"/>
              <x14:negativeFillColor rgb="FFFF0000"/>
              <x14:negativeBorderColor rgb="FFFF0000"/>
              <x14:axisColor rgb="FF000000"/>
            </x14:dataBar>
          </x14:cfRule>
          <xm:sqref>C21:C32</xm:sqref>
        </x14:conditionalFormatting>
        <x14:conditionalFormatting xmlns:xm="http://schemas.microsoft.com/office/excel/2006/main">
          <x14:cfRule type="dataBar" id="{D13945CB-40D9-4A06-8C9E-A6CE05AD4F71}">
            <x14:dataBar minLength="0" maxLength="100" border="1" negativeBarBorderColorSameAsPositive="0">
              <x14:cfvo type="autoMin"/>
              <x14:cfvo type="autoMax"/>
              <x14:borderColor rgb="FF63C384"/>
              <x14:negativeFillColor rgb="FFFF0000"/>
              <x14:negativeBorderColor rgb="FFFF0000"/>
              <x14:axisColor rgb="FF000000"/>
            </x14:dataBar>
          </x14:cfRule>
          <xm:sqref>G44:G55</xm:sqref>
        </x14:conditionalFormatting>
        <x14:conditionalFormatting xmlns:xm="http://schemas.microsoft.com/office/excel/2006/main">
          <x14:cfRule type="dataBar" id="{48504D6C-7B3D-450A-8E14-897C0B5BA9A3}">
            <x14:dataBar minLength="0" maxLength="100" border="1" negativeBarBorderColorSameAsPositive="0">
              <x14:cfvo type="autoMin"/>
              <x14:cfvo type="autoMax"/>
              <x14:borderColor rgb="FFFF555A"/>
              <x14:negativeFillColor rgb="FFFF0000"/>
              <x14:negativeBorderColor rgb="FFFF0000"/>
              <x14:axisColor rgb="FF000000"/>
            </x14:dataBar>
          </x14:cfRule>
          <xm:sqref>J51</xm:sqref>
        </x14:conditionalFormatting>
        <x14:conditionalFormatting xmlns:xm="http://schemas.microsoft.com/office/excel/2006/main">
          <x14:cfRule type="dataBar" id="{4E88D4DC-D938-46C8-9DA3-6CF4DE4D3926}">
            <x14:dataBar minLength="0" maxLength="100" border="1" negativeBarBorderColorSameAsPositive="0">
              <x14:cfvo type="autoMin"/>
              <x14:cfvo type="autoMax"/>
              <x14:borderColor rgb="FFFF555A"/>
              <x14:negativeFillColor rgb="FFFF0000"/>
              <x14:negativeBorderColor rgb="FFFF0000"/>
              <x14:axisColor rgb="FF000000"/>
            </x14:dataBar>
          </x14:cfRule>
          <xm:sqref>G44:G55</xm:sqref>
        </x14:conditionalFormatting>
        <x14:conditionalFormatting xmlns:xm="http://schemas.microsoft.com/office/excel/2006/main">
          <x14:cfRule type="dataBar" id="{F9346F87-B212-4ED2-8A62-8B6801D1D6E6}">
            <x14:dataBar minLength="0" maxLength="100" border="1" negativeBarBorderColorSameAsPositive="0">
              <x14:cfvo type="autoMin"/>
              <x14:cfvo type="autoMax"/>
              <x14:borderColor rgb="FFFFB628"/>
              <x14:negativeFillColor rgb="FFFF0000"/>
              <x14:negativeBorderColor rgb="FFFF0000"/>
              <x14:axisColor rgb="FF000000"/>
            </x14:dataBar>
          </x14:cfRule>
          <xm:sqref>F43:G55</xm:sqref>
        </x14:conditionalFormatting>
        <x14:conditionalFormatting xmlns:xm="http://schemas.microsoft.com/office/excel/2006/main">
          <x14:cfRule type="dataBar" id="{BFD6A471-01C5-427B-BD4F-9A3AD33BE86D}">
            <x14:dataBar minLength="0" maxLength="100" gradient="0">
              <x14:cfvo type="autoMin"/>
              <x14:cfvo type="autoMax"/>
              <x14:negativeFillColor rgb="FFFF0000"/>
              <x14:axisColor rgb="FF000000"/>
            </x14:dataBar>
          </x14:cfRule>
          <xm:sqref>O41:O52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3AF4-384E-4A77-9672-C12D41EA7F2D}">
  <dimension ref="C2:AM86"/>
  <sheetViews>
    <sheetView topLeftCell="A69" workbookViewId="0">
      <selection activeCell="L122" sqref="L122"/>
    </sheetView>
  </sheetViews>
  <sheetFormatPr defaultRowHeight="15"/>
  <cols>
    <col min="3" max="3" width="9.42578125" bestFit="1" customWidth="1"/>
    <col min="4" max="4" width="25.7109375" style="54" customWidth="1"/>
    <col min="5" max="5" width="15.28515625" customWidth="1"/>
    <col min="6" max="6" width="17.5703125" customWidth="1"/>
    <col min="7" max="7" width="15.42578125" customWidth="1"/>
    <col min="8" max="8" width="16.28515625" customWidth="1"/>
    <col min="9" max="9" width="18" customWidth="1"/>
    <col min="10" max="10" width="10.7109375" customWidth="1"/>
    <col min="12" max="12" width="14.5703125" customWidth="1"/>
    <col min="18" max="18" width="11.7109375" bestFit="1" customWidth="1"/>
    <col min="19" max="19" width="15.28515625" bestFit="1" customWidth="1"/>
    <col min="20" max="20" width="17.42578125" bestFit="1" customWidth="1"/>
    <col min="21" max="21" width="24" bestFit="1" customWidth="1"/>
    <col min="22" max="22" width="11.7109375" bestFit="1" customWidth="1"/>
    <col min="23" max="23" width="10.7109375" bestFit="1" customWidth="1"/>
    <col min="24" max="24" width="19" bestFit="1" customWidth="1"/>
    <col min="25" max="25" width="20" customWidth="1"/>
    <col min="26" max="26" width="23.7109375" bestFit="1" customWidth="1"/>
    <col min="27" max="27" width="39" bestFit="1" customWidth="1"/>
    <col min="28" max="28" width="39.140625" bestFit="1" customWidth="1"/>
    <col min="29" max="29" width="20.42578125" bestFit="1" customWidth="1"/>
    <col min="30" max="30" width="34" bestFit="1" customWidth="1"/>
    <col min="31" max="32" width="44.140625" bestFit="1" customWidth="1"/>
    <col min="33" max="33" width="14.42578125" bestFit="1" customWidth="1"/>
    <col min="34" max="34" width="28.5703125" bestFit="1" customWidth="1"/>
    <col min="35" max="35" width="22" bestFit="1" customWidth="1"/>
    <col min="36" max="36" width="12.28515625" bestFit="1" customWidth="1"/>
    <col min="37" max="37" width="26" bestFit="1" customWidth="1"/>
    <col min="38" max="38" width="20.5703125" bestFit="1" customWidth="1"/>
    <col min="39" max="39" width="14.42578125" bestFit="1" customWidth="1"/>
    <col min="40" max="40" width="28.5703125" bestFit="1" customWidth="1"/>
    <col min="41" max="41" width="22" bestFit="1" customWidth="1"/>
    <col min="42" max="42" width="12.28515625" bestFit="1" customWidth="1"/>
    <col min="43" max="43" width="26" bestFit="1" customWidth="1"/>
    <col min="44" max="44" width="20.5703125" bestFit="1" customWidth="1"/>
    <col min="45" max="45" width="14.42578125" bestFit="1" customWidth="1"/>
    <col min="46" max="46" width="28.5703125" bestFit="1" customWidth="1"/>
    <col min="47" max="47" width="22" bestFit="1" customWidth="1"/>
    <col min="48" max="48" width="12.28515625" bestFit="1" customWidth="1"/>
    <col min="49" max="49" width="26" bestFit="1" customWidth="1"/>
    <col min="50" max="50" width="20.5703125" bestFit="1" customWidth="1"/>
    <col min="51" max="51" width="14.42578125" bestFit="1" customWidth="1"/>
    <col min="52" max="52" width="28.5703125" bestFit="1" customWidth="1"/>
    <col min="53" max="53" width="22" bestFit="1" customWidth="1"/>
    <col min="54" max="54" width="12.28515625" bestFit="1" customWidth="1"/>
    <col min="55" max="55" width="26" bestFit="1" customWidth="1"/>
    <col min="56" max="56" width="20.5703125" bestFit="1" customWidth="1"/>
    <col min="57" max="57" width="14.42578125" bestFit="1" customWidth="1"/>
    <col min="58" max="58" width="28.5703125" bestFit="1" customWidth="1"/>
    <col min="59" max="59" width="22" bestFit="1" customWidth="1"/>
    <col min="60" max="60" width="12.28515625" bestFit="1" customWidth="1"/>
    <col min="61" max="61" width="26" bestFit="1" customWidth="1"/>
    <col min="62" max="62" width="20.5703125" bestFit="1" customWidth="1"/>
    <col min="63" max="63" width="14.42578125" bestFit="1" customWidth="1"/>
    <col min="64" max="64" width="28.5703125" bestFit="1" customWidth="1"/>
    <col min="65" max="65" width="22" bestFit="1" customWidth="1"/>
    <col min="66" max="66" width="12.28515625" bestFit="1" customWidth="1"/>
    <col min="67" max="67" width="26" bestFit="1" customWidth="1"/>
    <col min="68" max="68" width="20.5703125" bestFit="1" customWidth="1"/>
    <col min="69" max="69" width="14.42578125" bestFit="1" customWidth="1"/>
    <col min="70" max="70" width="28.5703125" bestFit="1" customWidth="1"/>
    <col min="71" max="71" width="22" bestFit="1" customWidth="1"/>
    <col min="72" max="72" width="12.28515625" bestFit="1" customWidth="1"/>
    <col min="73" max="73" width="26" bestFit="1" customWidth="1"/>
    <col min="74" max="74" width="20.5703125" bestFit="1" customWidth="1"/>
    <col min="75" max="75" width="14.42578125" bestFit="1" customWidth="1"/>
    <col min="76" max="76" width="28.5703125" bestFit="1" customWidth="1"/>
    <col min="77" max="77" width="22" bestFit="1" customWidth="1"/>
    <col min="78" max="78" width="12.28515625" bestFit="1" customWidth="1"/>
    <col min="79" max="79" width="26" bestFit="1" customWidth="1"/>
    <col min="80" max="80" width="20.5703125" bestFit="1" customWidth="1"/>
    <col min="81" max="81" width="14.42578125" bestFit="1" customWidth="1"/>
    <col min="82" max="82" width="28.5703125" bestFit="1" customWidth="1"/>
    <col min="83" max="83" width="22" bestFit="1" customWidth="1"/>
    <col min="84" max="84" width="12.28515625" bestFit="1" customWidth="1"/>
    <col min="85" max="85" width="26" bestFit="1" customWidth="1"/>
    <col min="86" max="86" width="20.5703125" bestFit="1" customWidth="1"/>
    <col min="87" max="87" width="14.42578125" bestFit="1" customWidth="1"/>
    <col min="88" max="88" width="33.7109375" bestFit="1" customWidth="1"/>
    <col min="89" max="89" width="27.140625" bestFit="1" customWidth="1"/>
    <col min="90" max="90" width="17.7109375" bestFit="1" customWidth="1"/>
    <col min="91" max="91" width="31.140625" bestFit="1" customWidth="1"/>
    <col min="92" max="92" width="25.85546875" bestFit="1" customWidth="1"/>
    <col min="93" max="93" width="19.5703125" bestFit="1" customWidth="1"/>
    <col min="94" max="94" width="12.28515625" bestFit="1" customWidth="1"/>
    <col min="95" max="95" width="26" bestFit="1" customWidth="1"/>
    <col min="96" max="96" width="20.5703125" bestFit="1" customWidth="1"/>
    <col min="97" max="97" width="34.140625" bestFit="1" customWidth="1"/>
    <col min="98" max="98" width="27.5703125" bestFit="1" customWidth="1"/>
    <col min="99" max="99" width="18" bestFit="1" customWidth="1"/>
    <col min="100" max="100" width="31.5703125" bestFit="1" customWidth="1"/>
    <col min="101" max="101" width="26.28515625" bestFit="1" customWidth="1"/>
    <col min="102" max="102" width="28.5703125" bestFit="1" customWidth="1"/>
    <col min="103" max="103" width="22" bestFit="1" customWidth="1"/>
    <col min="104" max="104" width="12.28515625" bestFit="1" customWidth="1"/>
    <col min="105" max="105" width="26" bestFit="1" customWidth="1"/>
    <col min="106" max="106" width="20.5703125" bestFit="1" customWidth="1"/>
    <col min="107" max="107" width="34.140625" bestFit="1" customWidth="1"/>
    <col min="108" max="108" width="27.5703125" bestFit="1" customWidth="1"/>
    <col min="109" max="109" width="18" bestFit="1" customWidth="1"/>
    <col min="110" max="110" width="31.5703125" bestFit="1" customWidth="1"/>
    <col min="111" max="111" width="26.28515625" bestFit="1" customWidth="1"/>
    <col min="112" max="112" width="28.5703125" bestFit="1" customWidth="1"/>
    <col min="113" max="113" width="22" bestFit="1" customWidth="1"/>
    <col min="114" max="114" width="12.28515625" bestFit="1" customWidth="1"/>
    <col min="115" max="115" width="26" bestFit="1" customWidth="1"/>
    <col min="116" max="116" width="20.5703125" bestFit="1" customWidth="1"/>
    <col min="117" max="117" width="34.140625" bestFit="1" customWidth="1"/>
    <col min="118" max="118" width="27.5703125" bestFit="1" customWidth="1"/>
    <col min="119" max="119" width="18" bestFit="1" customWidth="1"/>
    <col min="120" max="120" width="31.5703125" bestFit="1" customWidth="1"/>
    <col min="121" max="121" width="26.28515625" bestFit="1" customWidth="1"/>
    <col min="122" max="122" width="28.5703125" bestFit="1" customWidth="1"/>
    <col min="123" max="123" width="22" bestFit="1" customWidth="1"/>
    <col min="124" max="124" width="12.28515625" bestFit="1" customWidth="1"/>
    <col min="125" max="125" width="26" bestFit="1" customWidth="1"/>
    <col min="126" max="126" width="20.5703125" bestFit="1" customWidth="1"/>
    <col min="127" max="127" width="31.85546875" bestFit="1" customWidth="1"/>
    <col min="128" max="128" width="25.140625" bestFit="1" customWidth="1"/>
    <col min="129" max="129" width="15.7109375" bestFit="1" customWidth="1"/>
    <col min="130" max="130" width="29.140625" bestFit="1" customWidth="1"/>
    <col min="131" max="131" width="23.85546875" bestFit="1" customWidth="1"/>
    <col min="132" max="132" width="33.7109375" bestFit="1" customWidth="1"/>
    <col min="133" max="133" width="27.140625" bestFit="1" customWidth="1"/>
    <col min="134" max="134" width="17.7109375" bestFit="1" customWidth="1"/>
    <col min="135" max="135" width="31.140625" bestFit="1" customWidth="1"/>
    <col min="136" max="136" width="25.85546875" bestFit="1" customWidth="1"/>
    <col min="137" max="137" width="31.5703125" bestFit="1" customWidth="1"/>
    <col min="138" max="138" width="34.140625" bestFit="1" customWidth="1"/>
    <col min="139" max="139" width="27.5703125" bestFit="1" customWidth="1"/>
    <col min="140" max="140" width="18" bestFit="1" customWidth="1"/>
    <col min="141" max="141" width="31.5703125" bestFit="1" customWidth="1"/>
    <col min="142" max="142" width="28.5703125" bestFit="1" customWidth="1"/>
    <col min="143" max="143" width="22" bestFit="1" customWidth="1"/>
    <col min="144" max="144" width="12.28515625" bestFit="1" customWidth="1"/>
    <col min="145" max="145" width="26" bestFit="1" customWidth="1"/>
    <col min="146" max="146" width="31.85546875" bestFit="1" customWidth="1"/>
    <col min="147" max="147" width="25.140625" bestFit="1" customWidth="1"/>
    <col min="148" max="148" width="15.7109375" bestFit="1" customWidth="1"/>
    <col min="149" max="149" width="29.140625" bestFit="1" customWidth="1"/>
    <col min="150" max="150" width="31.85546875" bestFit="1" customWidth="1"/>
    <col min="151" max="151" width="25.140625" bestFit="1" customWidth="1"/>
    <col min="152" max="152" width="15.7109375" bestFit="1" customWidth="1"/>
    <col min="153" max="153" width="29.140625" bestFit="1" customWidth="1"/>
    <col min="154" max="154" width="33.7109375" bestFit="1" customWidth="1"/>
    <col min="155" max="155" width="27.140625" bestFit="1" customWidth="1"/>
    <col min="156" max="156" width="17.7109375" bestFit="1" customWidth="1"/>
    <col min="157" max="157" width="31.140625" bestFit="1" customWidth="1"/>
    <col min="158" max="160" width="11.140625" bestFit="1" customWidth="1"/>
    <col min="161" max="161" width="7.85546875" bestFit="1" customWidth="1"/>
    <col min="162" max="166" width="11.140625" bestFit="1" customWidth="1"/>
    <col min="167" max="167" width="7.85546875" bestFit="1" customWidth="1"/>
    <col min="168" max="173" width="11.140625" bestFit="1" customWidth="1"/>
    <col min="174" max="174" width="7.85546875" bestFit="1" customWidth="1"/>
    <col min="175" max="180" width="11.140625" bestFit="1" customWidth="1"/>
    <col min="181" max="181" width="7.85546875" bestFit="1" customWidth="1"/>
    <col min="182" max="184" width="11.140625" bestFit="1" customWidth="1"/>
    <col min="185" max="185" width="9.42578125" bestFit="1" customWidth="1"/>
    <col min="186" max="187" width="11.140625" bestFit="1" customWidth="1"/>
    <col min="188" max="188" width="7.85546875" bestFit="1" customWidth="1"/>
    <col min="189" max="190" width="11.140625" bestFit="1" customWidth="1"/>
    <col min="191" max="191" width="9.42578125" bestFit="1" customWidth="1"/>
    <col min="192" max="194" width="11.140625" bestFit="1" customWidth="1"/>
    <col min="195" max="195" width="7.85546875" bestFit="1" customWidth="1"/>
    <col min="196" max="197" width="11.140625" bestFit="1" customWidth="1"/>
    <col min="198" max="198" width="9.42578125" bestFit="1" customWidth="1"/>
    <col min="199" max="200" width="11.140625" bestFit="1" customWidth="1"/>
    <col min="201" max="201" width="7.85546875" bestFit="1" customWidth="1"/>
    <col min="202" max="207" width="11.140625" bestFit="1" customWidth="1"/>
    <col min="208" max="208" width="7.85546875" bestFit="1" customWidth="1"/>
    <col min="209" max="211" width="11.140625" bestFit="1" customWidth="1"/>
    <col min="212" max="213" width="9.42578125" bestFit="1" customWidth="1"/>
    <col min="214" max="214" width="11.140625" bestFit="1" customWidth="1"/>
    <col min="215" max="215" width="7.85546875" bestFit="1" customWidth="1"/>
    <col min="216" max="220" width="11.140625" bestFit="1" customWidth="1"/>
    <col min="221" max="221" width="7.85546875" bestFit="1" customWidth="1"/>
    <col min="222" max="224" width="11.140625" bestFit="1" customWidth="1"/>
    <col min="225" max="225" width="9.42578125" bestFit="1" customWidth="1"/>
    <col min="226" max="227" width="11.140625" bestFit="1" customWidth="1"/>
    <col min="228" max="228" width="7.85546875" bestFit="1" customWidth="1"/>
    <col min="229" max="234" width="11.140625" bestFit="1" customWidth="1"/>
    <col min="235" max="235" width="7.85546875" bestFit="1" customWidth="1"/>
    <col min="236" max="241" width="11.140625" bestFit="1" customWidth="1"/>
    <col min="242" max="242" width="7.85546875" bestFit="1" customWidth="1"/>
    <col min="243" max="248" width="11.140625" bestFit="1" customWidth="1"/>
    <col min="249" max="249" width="7.85546875" bestFit="1" customWidth="1"/>
    <col min="250" max="250" width="9.42578125" bestFit="1" customWidth="1"/>
    <col min="251" max="254" width="11.140625" bestFit="1" customWidth="1"/>
    <col min="255" max="255" width="9.42578125" bestFit="1" customWidth="1"/>
    <col min="256" max="256" width="7.85546875" bestFit="1" customWidth="1"/>
    <col min="257" max="262" width="11.140625" bestFit="1" customWidth="1"/>
    <col min="263" max="263" width="7.85546875" bestFit="1" customWidth="1"/>
    <col min="264" max="269" width="11.140625" bestFit="1" customWidth="1"/>
    <col min="270" max="270" width="7.85546875" bestFit="1" customWidth="1"/>
    <col min="271" max="276" width="11.140625" bestFit="1" customWidth="1"/>
    <col min="277" max="277" width="7.85546875" bestFit="1" customWidth="1"/>
    <col min="278" max="283" width="11.140625" bestFit="1" customWidth="1"/>
    <col min="284" max="284" width="7.85546875" bestFit="1" customWidth="1"/>
    <col min="285" max="290" width="11.140625" bestFit="1" customWidth="1"/>
    <col min="291" max="291" width="7.85546875" bestFit="1" customWidth="1"/>
    <col min="292" max="294" width="11.140625" bestFit="1" customWidth="1"/>
    <col min="295" max="295" width="9.42578125" bestFit="1" customWidth="1"/>
    <col min="296" max="297" width="11.140625" bestFit="1" customWidth="1"/>
    <col min="298" max="298" width="7.85546875" bestFit="1" customWidth="1"/>
    <col min="299" max="300" width="9.42578125" bestFit="1" customWidth="1"/>
    <col min="301" max="304" width="11.140625" bestFit="1" customWidth="1"/>
    <col min="305" max="305" width="7.85546875" bestFit="1" customWidth="1"/>
    <col min="306" max="311" width="11.140625" bestFit="1" customWidth="1"/>
    <col min="312" max="312" width="7.85546875" bestFit="1" customWidth="1"/>
    <col min="313" max="318" width="11.140625" bestFit="1" customWidth="1"/>
    <col min="319" max="319" width="7.85546875" bestFit="1" customWidth="1"/>
    <col min="320" max="325" width="11.140625" bestFit="1" customWidth="1"/>
    <col min="326" max="326" width="7.85546875" bestFit="1" customWidth="1"/>
    <col min="327" max="330" width="11.140625" bestFit="1" customWidth="1"/>
    <col min="331" max="331" width="9.42578125" bestFit="1" customWidth="1"/>
    <col min="332" max="332" width="11.140625" bestFit="1" customWidth="1"/>
    <col min="333" max="333" width="7.85546875" bestFit="1" customWidth="1"/>
    <col min="334" max="339" width="11.140625" bestFit="1" customWidth="1"/>
    <col min="340" max="340" width="7.85546875" bestFit="1" customWidth="1"/>
    <col min="341" max="341" width="11.140625" bestFit="1" customWidth="1"/>
    <col min="342" max="344" width="9.42578125" bestFit="1" customWidth="1"/>
    <col min="345" max="346" width="11.140625" bestFit="1" customWidth="1"/>
    <col min="347" max="347" width="7.85546875" bestFit="1" customWidth="1"/>
    <col min="348" max="353" width="11.140625" bestFit="1" customWidth="1"/>
    <col min="354" max="354" width="7.85546875" bestFit="1" customWidth="1"/>
    <col min="355" max="355" width="9.42578125" bestFit="1" customWidth="1"/>
    <col min="356" max="360" width="11.140625" bestFit="1" customWidth="1"/>
    <col min="361" max="361" width="7.85546875" bestFit="1" customWidth="1"/>
    <col min="362" max="367" width="11.140625" bestFit="1" customWidth="1"/>
    <col min="368" max="368" width="7.85546875" bestFit="1" customWidth="1"/>
    <col min="369" max="373" width="11.140625" bestFit="1" customWidth="1"/>
    <col min="374" max="374" width="9.42578125" bestFit="1" customWidth="1"/>
    <col min="375" max="375" width="7.85546875" bestFit="1" customWidth="1"/>
    <col min="376" max="381" width="11.140625" bestFit="1" customWidth="1"/>
    <col min="382" max="382" width="7.85546875" bestFit="1" customWidth="1"/>
    <col min="383" max="386" width="11.140625" bestFit="1" customWidth="1"/>
    <col min="387" max="387" width="9.42578125" bestFit="1" customWidth="1"/>
    <col min="388" max="388" width="7.85546875" bestFit="1" customWidth="1"/>
    <col min="389" max="394" width="11.140625" bestFit="1" customWidth="1"/>
    <col min="395" max="395" width="7.85546875" bestFit="1" customWidth="1"/>
    <col min="396" max="401" width="11.140625" bestFit="1" customWidth="1"/>
    <col min="402" max="402" width="7.85546875" bestFit="1" customWidth="1"/>
    <col min="403" max="404" width="11.140625" bestFit="1" customWidth="1"/>
    <col min="405" max="405" width="9.42578125" bestFit="1" customWidth="1"/>
    <col min="406" max="408" width="11.140625" bestFit="1" customWidth="1"/>
    <col min="409" max="409" width="7.85546875" bestFit="1" customWidth="1"/>
    <col min="410" max="410" width="9.42578125" bestFit="1" customWidth="1"/>
    <col min="411" max="415" width="11.140625" bestFit="1" customWidth="1"/>
    <col min="416" max="416" width="7.85546875" bestFit="1" customWidth="1"/>
    <col min="417" max="417" width="11.140625" bestFit="1" customWidth="1"/>
    <col min="418" max="418" width="9.42578125" bestFit="1" customWidth="1"/>
    <col min="419" max="422" width="11.140625" bestFit="1" customWidth="1"/>
    <col min="423" max="423" width="7.85546875" bestFit="1" customWidth="1"/>
    <col min="424" max="429" width="11.140625" bestFit="1" customWidth="1"/>
    <col min="430" max="430" width="7.85546875" bestFit="1" customWidth="1"/>
    <col min="431" max="432" width="11.140625" bestFit="1" customWidth="1"/>
    <col min="433" max="433" width="9.42578125" bestFit="1" customWidth="1"/>
    <col min="434" max="436" width="11.140625" bestFit="1" customWidth="1"/>
    <col min="437" max="437" width="7.85546875" bestFit="1" customWidth="1"/>
    <col min="438" max="443" width="11.140625" bestFit="1" customWidth="1"/>
    <col min="444" max="444" width="7.85546875" bestFit="1" customWidth="1"/>
    <col min="445" max="449" width="11.140625" bestFit="1" customWidth="1"/>
    <col min="450" max="450" width="9.42578125" bestFit="1" customWidth="1"/>
    <col min="451" max="451" width="7.85546875" bestFit="1" customWidth="1"/>
    <col min="452" max="457" width="11.140625" bestFit="1" customWidth="1"/>
    <col min="458" max="458" width="7.85546875" bestFit="1" customWidth="1"/>
    <col min="459" max="459" width="11.140625" bestFit="1" customWidth="1"/>
    <col min="460" max="460" width="9.42578125" bestFit="1" customWidth="1"/>
    <col min="461" max="464" width="11.140625" bestFit="1" customWidth="1"/>
    <col min="465" max="465" width="7.85546875" bestFit="1" customWidth="1"/>
    <col min="466" max="466" width="11.140625" bestFit="1" customWidth="1"/>
    <col min="467" max="467" width="9.42578125" bestFit="1" customWidth="1"/>
    <col min="468" max="471" width="11.140625" bestFit="1" customWidth="1"/>
    <col min="472" max="472" width="7.85546875" bestFit="1" customWidth="1"/>
    <col min="473" max="478" width="11.140625" bestFit="1" customWidth="1"/>
    <col min="479" max="479" width="7.85546875" bestFit="1" customWidth="1"/>
    <col min="480" max="485" width="11.140625" bestFit="1" customWidth="1"/>
    <col min="486" max="486" width="7.85546875" bestFit="1" customWidth="1"/>
    <col min="487" max="491" width="11.140625" bestFit="1" customWidth="1"/>
    <col min="492" max="492" width="7.85546875" bestFit="1" customWidth="1"/>
    <col min="493" max="498" width="11.140625" bestFit="1" customWidth="1"/>
    <col min="499" max="499" width="7.85546875" bestFit="1" customWidth="1"/>
    <col min="500" max="504" width="11.140625" bestFit="1" customWidth="1"/>
    <col min="505" max="505" width="7.85546875" bestFit="1" customWidth="1"/>
    <col min="506" max="506" width="11.140625" bestFit="1" customWidth="1"/>
    <col min="507" max="507" width="9.42578125" bestFit="1" customWidth="1"/>
    <col min="508" max="511" width="11.140625" bestFit="1" customWidth="1"/>
    <col min="512" max="512" width="7.85546875" bestFit="1" customWidth="1"/>
    <col min="513" max="513" width="11.140625" bestFit="1" customWidth="1"/>
    <col min="514" max="514" width="9.42578125" bestFit="1" customWidth="1"/>
    <col min="515" max="516" width="11.140625" bestFit="1" customWidth="1"/>
    <col min="517" max="517" width="9.42578125" bestFit="1" customWidth="1"/>
    <col min="518" max="518" width="11.140625" bestFit="1" customWidth="1"/>
    <col min="519" max="519" width="7.85546875" bestFit="1" customWidth="1"/>
    <col min="520" max="520" width="11.140625" bestFit="1" customWidth="1"/>
    <col min="521" max="521" width="9.42578125" bestFit="1" customWidth="1"/>
    <col min="522" max="523" width="11.140625" bestFit="1" customWidth="1"/>
    <col min="524" max="524" width="9.42578125" bestFit="1" customWidth="1"/>
    <col min="525" max="525" width="11.140625" bestFit="1" customWidth="1"/>
    <col min="526" max="526" width="7.85546875" bestFit="1" customWidth="1"/>
    <col min="527" max="530" width="11.140625" bestFit="1" customWidth="1"/>
    <col min="531" max="531" width="9.42578125" bestFit="1" customWidth="1"/>
    <col min="532" max="532" width="7.85546875" bestFit="1" customWidth="1"/>
    <col min="533" max="533" width="11.140625" bestFit="1" customWidth="1"/>
    <col min="534" max="534" width="9.42578125" bestFit="1" customWidth="1"/>
    <col min="535" max="535" width="11.140625" bestFit="1" customWidth="1"/>
    <col min="536" max="536" width="9.42578125" bestFit="1" customWidth="1"/>
    <col min="537" max="538" width="11.140625" bestFit="1" customWidth="1"/>
    <col min="539" max="539" width="7.85546875" bestFit="1" customWidth="1"/>
    <col min="540" max="545" width="11.140625" bestFit="1" customWidth="1"/>
    <col min="546" max="546" width="7.85546875" bestFit="1" customWidth="1"/>
    <col min="547" max="552" width="11.140625" bestFit="1" customWidth="1"/>
    <col min="553" max="553" width="7.85546875" bestFit="1" customWidth="1"/>
    <col min="554" max="555" width="11.140625" bestFit="1" customWidth="1"/>
    <col min="556" max="557" width="9.42578125" bestFit="1" customWidth="1"/>
    <col min="558" max="559" width="11.140625" bestFit="1" customWidth="1"/>
    <col min="560" max="560" width="7.85546875" bestFit="1" customWidth="1"/>
    <col min="561" max="566" width="11.140625" bestFit="1" customWidth="1"/>
    <col min="567" max="567" width="7.85546875" bestFit="1" customWidth="1"/>
    <col min="568" max="573" width="11.140625" bestFit="1" customWidth="1"/>
    <col min="574" max="574" width="7.85546875" bestFit="1" customWidth="1"/>
    <col min="575" max="575" width="9.42578125" bestFit="1" customWidth="1"/>
    <col min="576" max="578" width="11.140625" bestFit="1" customWidth="1"/>
    <col min="579" max="579" width="9.42578125" bestFit="1" customWidth="1"/>
    <col min="580" max="580" width="11.140625" bestFit="1" customWidth="1"/>
    <col min="581" max="581" width="7.85546875" bestFit="1" customWidth="1"/>
    <col min="582" max="587" width="11.140625" bestFit="1" customWidth="1"/>
    <col min="588" max="588" width="7.85546875" bestFit="1" customWidth="1"/>
    <col min="589" max="592" width="11.140625" bestFit="1" customWidth="1"/>
    <col min="593" max="593" width="9.42578125" bestFit="1" customWidth="1"/>
    <col min="594" max="594" width="11.140625" bestFit="1" customWidth="1"/>
    <col min="595" max="595" width="7.85546875" bestFit="1" customWidth="1"/>
    <col min="596" max="601" width="11.140625" bestFit="1" customWidth="1"/>
    <col min="602" max="602" width="7.85546875" bestFit="1" customWidth="1"/>
    <col min="603" max="607" width="11.140625" bestFit="1" customWidth="1"/>
    <col min="608" max="608" width="7.85546875" bestFit="1" customWidth="1"/>
    <col min="609" max="613" width="11.140625" bestFit="1" customWidth="1"/>
    <col min="614" max="614" width="7.85546875" bestFit="1" customWidth="1"/>
    <col min="615" max="618" width="11.140625" bestFit="1" customWidth="1"/>
    <col min="619" max="619" width="9.42578125" bestFit="1" customWidth="1"/>
    <col min="620" max="620" width="11.140625" bestFit="1" customWidth="1"/>
    <col min="621" max="621" width="7.85546875" bestFit="1" customWidth="1"/>
    <col min="622" max="627" width="11.140625" bestFit="1" customWidth="1"/>
    <col min="628" max="628" width="7.85546875" bestFit="1" customWidth="1"/>
    <col min="629" max="634" width="11.140625" bestFit="1" customWidth="1"/>
    <col min="635" max="635" width="7.85546875" bestFit="1" customWidth="1"/>
    <col min="636" max="639" width="11.140625" bestFit="1" customWidth="1"/>
    <col min="640" max="640" width="9.42578125" bestFit="1" customWidth="1"/>
    <col min="641" max="641" width="11.140625" bestFit="1" customWidth="1"/>
    <col min="642" max="642" width="7.85546875" bestFit="1" customWidth="1"/>
    <col min="643" max="646" width="11.140625" bestFit="1" customWidth="1"/>
    <col min="647" max="648" width="9.42578125" bestFit="1" customWidth="1"/>
    <col min="649" max="649" width="7.85546875" bestFit="1" customWidth="1"/>
    <col min="650" max="655" width="11.140625" bestFit="1" customWidth="1"/>
    <col min="656" max="656" width="7.85546875" bestFit="1" customWidth="1"/>
    <col min="657" max="662" width="11.140625" bestFit="1" customWidth="1"/>
    <col min="663" max="663" width="7.85546875" bestFit="1" customWidth="1"/>
    <col min="664" max="664" width="11.140625" bestFit="1" customWidth="1"/>
    <col min="665" max="665" width="7.85546875" bestFit="1" customWidth="1"/>
    <col min="666" max="666" width="11.140625" bestFit="1" customWidth="1"/>
    <col min="667" max="667" width="9.42578125" bestFit="1" customWidth="1"/>
    <col min="668" max="669" width="11.140625" bestFit="1" customWidth="1"/>
    <col min="670" max="670" width="9.42578125" bestFit="1" customWidth="1"/>
    <col min="671" max="671" width="11.140625" bestFit="1" customWidth="1"/>
    <col min="672" max="672" width="7.85546875" bestFit="1" customWidth="1"/>
    <col min="673" max="676" width="11.140625" bestFit="1" customWidth="1"/>
    <col min="677" max="677" width="9.42578125" bestFit="1" customWidth="1"/>
    <col min="678" max="678" width="11.140625" bestFit="1" customWidth="1"/>
    <col min="679" max="679" width="7.85546875" bestFit="1" customWidth="1"/>
    <col min="680" max="683" width="11.140625" bestFit="1" customWidth="1"/>
    <col min="684" max="684" width="9.42578125" bestFit="1" customWidth="1"/>
    <col min="685" max="685" width="11.140625" bestFit="1" customWidth="1"/>
    <col min="686" max="686" width="7.85546875" bestFit="1" customWidth="1"/>
    <col min="687" max="692" width="11.140625" bestFit="1" customWidth="1"/>
    <col min="693" max="693" width="7.85546875" bestFit="1" customWidth="1"/>
    <col min="694" max="699" width="11.140625" bestFit="1" customWidth="1"/>
    <col min="700" max="700" width="7.85546875" bestFit="1" customWidth="1"/>
    <col min="701" max="703" width="11.140625" bestFit="1" customWidth="1"/>
    <col min="704" max="704" width="9.42578125" bestFit="1" customWidth="1"/>
    <col min="705" max="706" width="11.140625" bestFit="1" customWidth="1"/>
    <col min="707" max="707" width="7.85546875" bestFit="1" customWidth="1"/>
    <col min="708" max="713" width="11.140625" bestFit="1" customWidth="1"/>
    <col min="714" max="714" width="7.85546875" bestFit="1" customWidth="1"/>
    <col min="715" max="719" width="11.140625" bestFit="1" customWidth="1"/>
    <col min="720" max="720" width="7.85546875" bestFit="1" customWidth="1"/>
    <col min="721" max="724" width="11.140625" bestFit="1" customWidth="1"/>
    <col min="725" max="725" width="8.85546875" bestFit="1" customWidth="1"/>
    <col min="726" max="726" width="11.140625" bestFit="1" customWidth="1"/>
    <col min="727" max="727" width="7.85546875" bestFit="1" customWidth="1"/>
    <col min="728" max="733" width="11.140625" bestFit="1" customWidth="1"/>
    <col min="734" max="734" width="7.85546875" bestFit="1" customWidth="1"/>
    <col min="735" max="740" width="11.140625" bestFit="1" customWidth="1"/>
    <col min="741" max="741" width="7.85546875" bestFit="1" customWidth="1"/>
    <col min="742" max="747" width="11.140625" bestFit="1" customWidth="1"/>
    <col min="748" max="748" width="7.85546875" bestFit="1" customWidth="1"/>
    <col min="749" max="753" width="11.140625" bestFit="1" customWidth="1"/>
    <col min="754" max="754" width="9.42578125" bestFit="1" customWidth="1"/>
    <col min="755" max="755" width="7.85546875" bestFit="1" customWidth="1"/>
    <col min="756" max="761" width="11.140625" bestFit="1" customWidth="1"/>
    <col min="762" max="762" width="7.85546875" bestFit="1" customWidth="1"/>
    <col min="763" max="768" width="11.140625" bestFit="1" customWidth="1"/>
    <col min="769" max="769" width="7.85546875" bestFit="1" customWidth="1"/>
    <col min="770" max="770" width="9.42578125" bestFit="1" customWidth="1"/>
    <col min="771" max="773" width="11.140625" bestFit="1" customWidth="1"/>
    <col min="774" max="774" width="9.42578125" bestFit="1" customWidth="1"/>
    <col min="775" max="775" width="11.140625" bestFit="1" customWidth="1"/>
    <col min="776" max="776" width="7.85546875" bestFit="1" customWidth="1"/>
    <col min="777" max="781" width="11.140625" bestFit="1" customWidth="1"/>
    <col min="782" max="782" width="9.42578125" bestFit="1" customWidth="1"/>
    <col min="783" max="783" width="7.85546875" bestFit="1" customWidth="1"/>
    <col min="784" max="787" width="11.140625" bestFit="1" customWidth="1"/>
    <col min="788" max="788" width="9.42578125" bestFit="1" customWidth="1"/>
    <col min="789" max="789" width="11.140625" bestFit="1" customWidth="1"/>
    <col min="790" max="790" width="7.85546875" bestFit="1" customWidth="1"/>
    <col min="791" max="796" width="11.140625" bestFit="1" customWidth="1"/>
    <col min="797" max="797" width="7.85546875" bestFit="1" customWidth="1"/>
    <col min="798" max="803" width="11.140625" bestFit="1" customWidth="1"/>
    <col min="804" max="804" width="7.85546875" bestFit="1" customWidth="1"/>
    <col min="805" max="810" width="11.140625" bestFit="1" customWidth="1"/>
    <col min="811" max="811" width="7.85546875" bestFit="1" customWidth="1"/>
    <col min="812" max="817" width="11.140625" bestFit="1" customWidth="1"/>
    <col min="818" max="818" width="7.85546875" bestFit="1" customWidth="1"/>
    <col min="819" max="819" width="9.42578125" bestFit="1" customWidth="1"/>
    <col min="820" max="822" width="11.140625" bestFit="1" customWidth="1"/>
    <col min="823" max="823" width="9.42578125" bestFit="1" customWidth="1"/>
    <col min="824" max="824" width="11.140625" bestFit="1" customWidth="1"/>
    <col min="825" max="825" width="7.85546875" bestFit="1" customWidth="1"/>
    <col min="826" max="826" width="11.140625" bestFit="1" customWidth="1"/>
    <col min="827" max="827" width="9.42578125" bestFit="1" customWidth="1"/>
    <col min="828" max="831" width="11.140625" bestFit="1" customWidth="1"/>
    <col min="832" max="832" width="7.85546875" bestFit="1" customWidth="1"/>
    <col min="833" max="837" width="11.140625" bestFit="1" customWidth="1"/>
    <col min="838" max="838" width="7.85546875" bestFit="1" customWidth="1"/>
    <col min="839" max="844" width="11.140625" bestFit="1" customWidth="1"/>
    <col min="845" max="845" width="7.85546875" bestFit="1" customWidth="1"/>
    <col min="846" max="847" width="11.140625" bestFit="1" customWidth="1"/>
    <col min="848" max="848" width="7.85546875" bestFit="1" customWidth="1"/>
    <col min="849" max="854" width="11.140625" bestFit="1" customWidth="1"/>
    <col min="855" max="855" width="5.7109375" bestFit="1" customWidth="1"/>
    <col min="856" max="861" width="8.85546875" bestFit="1" customWidth="1"/>
    <col min="862" max="863" width="11.7109375" bestFit="1" customWidth="1"/>
    <col min="864" max="864" width="11.140625" bestFit="1" customWidth="1"/>
    <col min="865" max="865" width="7.85546875" bestFit="1" customWidth="1"/>
    <col min="866" max="868" width="10.5703125" bestFit="1" customWidth="1"/>
    <col min="869" max="871" width="11.140625" bestFit="1" customWidth="1"/>
    <col min="872" max="872" width="7.85546875" bestFit="1" customWidth="1"/>
    <col min="873" max="875" width="10.5703125" bestFit="1" customWidth="1"/>
    <col min="876" max="878" width="11.140625" bestFit="1" customWidth="1"/>
    <col min="879" max="879" width="7.85546875" bestFit="1" customWidth="1"/>
    <col min="880" max="882" width="10.5703125" bestFit="1" customWidth="1"/>
    <col min="883" max="885" width="11.140625" bestFit="1" customWidth="1"/>
    <col min="886" max="886" width="7.85546875" bestFit="1" customWidth="1"/>
    <col min="887" max="889" width="10.5703125" bestFit="1" customWidth="1"/>
    <col min="890" max="892" width="11.140625" bestFit="1" customWidth="1"/>
    <col min="893" max="893" width="7.85546875" bestFit="1" customWidth="1"/>
    <col min="894" max="896" width="10.5703125" bestFit="1" customWidth="1"/>
    <col min="897" max="899" width="11.140625" bestFit="1" customWidth="1"/>
    <col min="900" max="900" width="7.85546875" bestFit="1" customWidth="1"/>
    <col min="901" max="903" width="10.5703125" bestFit="1" customWidth="1"/>
    <col min="904" max="905" width="11.140625" bestFit="1" customWidth="1"/>
    <col min="906" max="906" width="7.85546875" bestFit="1" customWidth="1"/>
    <col min="907" max="909" width="10.5703125" bestFit="1" customWidth="1"/>
    <col min="910" max="912" width="11.140625" bestFit="1" customWidth="1"/>
    <col min="913" max="913" width="7.85546875" bestFit="1" customWidth="1"/>
    <col min="914" max="916" width="10.5703125" bestFit="1" customWidth="1"/>
    <col min="917" max="917" width="11.140625" bestFit="1" customWidth="1"/>
    <col min="918" max="918" width="9.42578125" bestFit="1" customWidth="1"/>
    <col min="919" max="919" width="11.140625" bestFit="1" customWidth="1"/>
    <col min="920" max="920" width="7.85546875" bestFit="1" customWidth="1"/>
    <col min="921" max="923" width="10.5703125" bestFit="1" customWidth="1"/>
    <col min="924" max="926" width="11.140625" bestFit="1" customWidth="1"/>
    <col min="927" max="927" width="7.85546875" bestFit="1" customWidth="1"/>
    <col min="928" max="930" width="10.5703125" bestFit="1" customWidth="1"/>
    <col min="931" max="933" width="11.140625" bestFit="1" customWidth="1"/>
    <col min="934" max="934" width="7.85546875" bestFit="1" customWidth="1"/>
    <col min="935" max="937" width="10.5703125" bestFit="1" customWidth="1"/>
    <col min="938" max="940" width="11.140625" bestFit="1" customWidth="1"/>
    <col min="941" max="941" width="7.85546875" bestFit="1" customWidth="1"/>
    <col min="942" max="944" width="10.5703125" bestFit="1" customWidth="1"/>
    <col min="945" max="947" width="11.140625" bestFit="1" customWidth="1"/>
    <col min="948" max="948" width="7.85546875" bestFit="1" customWidth="1"/>
    <col min="949" max="950" width="10.5703125" bestFit="1" customWidth="1"/>
    <col min="951" max="951" width="9" bestFit="1" customWidth="1"/>
    <col min="952" max="954" width="11.140625" bestFit="1" customWidth="1"/>
    <col min="955" max="955" width="7.85546875" bestFit="1" customWidth="1"/>
    <col min="956" max="956" width="10.5703125" bestFit="1" customWidth="1"/>
    <col min="957" max="958" width="9" bestFit="1" customWidth="1"/>
    <col min="959" max="959" width="9.42578125" bestFit="1" customWidth="1"/>
    <col min="960" max="961" width="11.140625" bestFit="1" customWidth="1"/>
    <col min="962" max="962" width="7.85546875" bestFit="1" customWidth="1"/>
    <col min="963" max="965" width="10.5703125" bestFit="1" customWidth="1"/>
    <col min="966" max="968" width="11.140625" bestFit="1" customWidth="1"/>
    <col min="969" max="969" width="7.85546875" bestFit="1" customWidth="1"/>
    <col min="970" max="972" width="10.5703125" bestFit="1" customWidth="1"/>
    <col min="973" max="974" width="11.140625" bestFit="1" customWidth="1"/>
    <col min="975" max="975" width="9.42578125" bestFit="1" customWidth="1"/>
    <col min="976" max="976" width="7.85546875" bestFit="1" customWidth="1"/>
    <col min="977" max="977" width="10.5703125" bestFit="1" customWidth="1"/>
    <col min="978" max="978" width="9" bestFit="1" customWidth="1"/>
    <col min="979" max="979" width="10.5703125" bestFit="1" customWidth="1"/>
    <col min="980" max="982" width="11.140625" bestFit="1" customWidth="1"/>
    <col min="983" max="983" width="7.85546875" bestFit="1" customWidth="1"/>
    <col min="984" max="986" width="10.5703125" bestFit="1" customWidth="1"/>
    <col min="987" max="989" width="11.140625" bestFit="1" customWidth="1"/>
    <col min="990" max="990" width="7.85546875" bestFit="1" customWidth="1"/>
    <col min="991" max="993" width="10.5703125" bestFit="1" customWidth="1"/>
    <col min="994" max="995" width="11.140625" bestFit="1" customWidth="1"/>
    <col min="996" max="996" width="7.85546875" bestFit="1" customWidth="1"/>
    <col min="997" max="999" width="10.5703125" bestFit="1" customWidth="1"/>
    <col min="1000" max="1002" width="11.140625" bestFit="1" customWidth="1"/>
    <col min="1003" max="1003" width="7.85546875" bestFit="1" customWidth="1"/>
    <col min="1004" max="1004" width="10.5703125" bestFit="1" customWidth="1"/>
    <col min="1005" max="1005" width="9" bestFit="1" customWidth="1"/>
    <col min="1006" max="1006" width="10.5703125" bestFit="1" customWidth="1"/>
    <col min="1007" max="1008" width="11.140625" bestFit="1" customWidth="1"/>
    <col min="1009" max="1009" width="7.85546875" bestFit="1" customWidth="1"/>
    <col min="1010" max="1012" width="10.5703125" bestFit="1" customWidth="1"/>
    <col min="1013" max="1015" width="11.140625" bestFit="1" customWidth="1"/>
    <col min="1016" max="1016" width="7.85546875" bestFit="1" customWidth="1"/>
    <col min="1017" max="1017" width="9" bestFit="1" customWidth="1"/>
    <col min="1018" max="1019" width="10.5703125" bestFit="1" customWidth="1"/>
    <col min="1020" max="1021" width="11.140625" bestFit="1" customWidth="1"/>
    <col min="1022" max="1022" width="7.85546875" bestFit="1" customWidth="1"/>
    <col min="1023" max="1025" width="10.5703125" bestFit="1" customWidth="1"/>
    <col min="1026" max="1027" width="11.140625" bestFit="1" customWidth="1"/>
    <col min="1028" max="1028" width="7.85546875" bestFit="1" customWidth="1"/>
    <col min="1029" max="1031" width="10.5703125" bestFit="1" customWidth="1"/>
    <col min="1032" max="1034" width="11.140625" bestFit="1" customWidth="1"/>
    <col min="1035" max="1035" width="7.85546875" bestFit="1" customWidth="1"/>
    <col min="1036" max="1038" width="10.5703125" bestFit="1" customWidth="1"/>
    <col min="1039" max="1040" width="11.140625" bestFit="1" customWidth="1"/>
    <col min="1041" max="1041" width="7.85546875" bestFit="1" customWidth="1"/>
    <col min="1042" max="1044" width="10.5703125" bestFit="1" customWidth="1"/>
    <col min="1045" max="1047" width="11.140625" bestFit="1" customWidth="1"/>
    <col min="1048" max="1048" width="7.85546875" bestFit="1" customWidth="1"/>
    <col min="1049" max="1051" width="10.5703125" bestFit="1" customWidth="1"/>
    <col min="1052" max="1053" width="11.140625" bestFit="1" customWidth="1"/>
    <col min="1054" max="1054" width="9.42578125" bestFit="1" customWidth="1"/>
    <col min="1055" max="1055" width="7.85546875" bestFit="1" customWidth="1"/>
    <col min="1056" max="1057" width="9" bestFit="1" customWidth="1"/>
    <col min="1058" max="1058" width="10.5703125" bestFit="1" customWidth="1"/>
    <col min="1059" max="1060" width="11.140625" bestFit="1" customWidth="1"/>
    <col min="1061" max="1061" width="7.85546875" bestFit="1" customWidth="1"/>
    <col min="1062" max="1064" width="10.5703125" bestFit="1" customWidth="1"/>
    <col min="1065" max="1066" width="11.140625" bestFit="1" customWidth="1"/>
    <col min="1067" max="1067" width="7.85546875" bestFit="1" customWidth="1"/>
    <col min="1068" max="1070" width="10.5703125" bestFit="1" customWidth="1"/>
    <col min="1071" max="1073" width="11.140625" bestFit="1" customWidth="1"/>
    <col min="1074" max="1074" width="7.85546875" bestFit="1" customWidth="1"/>
    <col min="1075" max="1077" width="10.5703125" bestFit="1" customWidth="1"/>
    <col min="1078" max="1079" width="11.140625" bestFit="1" customWidth="1"/>
    <col min="1080" max="1080" width="7.85546875" bestFit="1" customWidth="1"/>
    <col min="1081" max="1083" width="10.5703125" bestFit="1" customWidth="1"/>
    <col min="1084" max="1086" width="11.140625" bestFit="1" customWidth="1"/>
    <col min="1087" max="1087" width="7.85546875" bestFit="1" customWidth="1"/>
    <col min="1088" max="1090" width="10.5703125" bestFit="1" customWidth="1"/>
    <col min="1091" max="1092" width="11.140625" bestFit="1" customWidth="1"/>
    <col min="1093" max="1093" width="7.85546875" bestFit="1" customWidth="1"/>
    <col min="1094" max="1096" width="10.5703125" bestFit="1" customWidth="1"/>
    <col min="1097" max="1097" width="11.140625" bestFit="1" customWidth="1"/>
    <col min="1098" max="1098" width="9.42578125" bestFit="1" customWidth="1"/>
    <col min="1099" max="1099" width="7.85546875" bestFit="1" customWidth="1"/>
    <col min="1100" max="1102" width="10.5703125" bestFit="1" customWidth="1"/>
    <col min="1103" max="1105" width="11.140625" bestFit="1" customWidth="1"/>
    <col min="1106" max="1106" width="7.85546875" bestFit="1" customWidth="1"/>
    <col min="1107" max="1109" width="10.5703125" bestFit="1" customWidth="1"/>
    <col min="1110" max="1110" width="9.42578125" bestFit="1" customWidth="1"/>
    <col min="1111" max="1112" width="11.140625" bestFit="1" customWidth="1"/>
    <col min="1113" max="1113" width="7.85546875" bestFit="1" customWidth="1"/>
    <col min="1114" max="1116" width="10.5703125" bestFit="1" customWidth="1"/>
    <col min="1117" max="1118" width="11.140625" bestFit="1" customWidth="1"/>
    <col min="1119" max="1119" width="7.85546875" bestFit="1" customWidth="1"/>
    <col min="1120" max="1122" width="10.5703125" bestFit="1" customWidth="1"/>
    <col min="1123" max="1123" width="11.140625" bestFit="1" customWidth="1"/>
    <col min="1124" max="1124" width="9.42578125" bestFit="1" customWidth="1"/>
    <col min="1125" max="1125" width="7.85546875" bestFit="1" customWidth="1"/>
    <col min="1126" max="1128" width="10.5703125" bestFit="1" customWidth="1"/>
    <col min="1129" max="1131" width="11.140625" bestFit="1" customWidth="1"/>
    <col min="1132" max="1132" width="7.85546875" bestFit="1" customWidth="1"/>
    <col min="1133" max="1135" width="10.5703125" bestFit="1" customWidth="1"/>
    <col min="1136" max="1138" width="11.140625" bestFit="1" customWidth="1"/>
    <col min="1139" max="1139" width="7.85546875" bestFit="1" customWidth="1"/>
    <col min="1140" max="1141" width="10.5703125" bestFit="1" customWidth="1"/>
    <col min="1142" max="1142" width="9" bestFit="1" customWidth="1"/>
    <col min="1143" max="1144" width="11.140625" bestFit="1" customWidth="1"/>
    <col min="1145" max="1145" width="9.42578125" bestFit="1" customWidth="1"/>
    <col min="1146" max="1146" width="7.85546875" bestFit="1" customWidth="1"/>
    <col min="1147" max="1149" width="10.5703125" bestFit="1" customWidth="1"/>
    <col min="1150" max="1151" width="11.140625" bestFit="1" customWidth="1"/>
    <col min="1152" max="1152" width="7.85546875" bestFit="1" customWidth="1"/>
    <col min="1153" max="1154" width="10.5703125" bestFit="1" customWidth="1"/>
    <col min="1155" max="1155" width="9" bestFit="1" customWidth="1"/>
    <col min="1156" max="1158" width="11.140625" bestFit="1" customWidth="1"/>
    <col min="1159" max="1159" width="7.85546875" bestFit="1" customWidth="1"/>
    <col min="1160" max="1160" width="9" bestFit="1" customWidth="1"/>
    <col min="1161" max="1162" width="10.5703125" bestFit="1" customWidth="1"/>
    <col min="1163" max="1165" width="11.140625" bestFit="1" customWidth="1"/>
    <col min="1166" max="1166" width="7.85546875" bestFit="1" customWidth="1"/>
    <col min="1167" max="1169" width="10.5703125" bestFit="1" customWidth="1"/>
    <col min="1170" max="1172" width="11.140625" bestFit="1" customWidth="1"/>
    <col min="1173" max="1173" width="7.85546875" bestFit="1" customWidth="1"/>
    <col min="1174" max="1174" width="9" bestFit="1" customWidth="1"/>
    <col min="1175" max="1176" width="10.5703125" bestFit="1" customWidth="1"/>
    <col min="1177" max="1179" width="11.140625" bestFit="1" customWidth="1"/>
    <col min="1180" max="1180" width="7.85546875" bestFit="1" customWidth="1"/>
    <col min="1181" max="1183" width="10.5703125" bestFit="1" customWidth="1"/>
    <col min="1184" max="1184" width="11.140625" bestFit="1" customWidth="1"/>
    <col min="1185" max="1185" width="9.42578125" bestFit="1" customWidth="1"/>
    <col min="1186" max="1186" width="7.85546875" bestFit="1" customWidth="1"/>
    <col min="1187" max="1187" width="9" bestFit="1" customWidth="1"/>
    <col min="1188" max="1189" width="10.5703125" bestFit="1" customWidth="1"/>
    <col min="1190" max="1190" width="9.42578125" bestFit="1" customWidth="1"/>
    <col min="1191" max="1192" width="11.140625" bestFit="1" customWidth="1"/>
    <col min="1193" max="1193" width="7.85546875" bestFit="1" customWidth="1"/>
    <col min="1194" max="1196" width="10.5703125" bestFit="1" customWidth="1"/>
    <col min="1197" max="1198" width="11.140625" bestFit="1" customWidth="1"/>
    <col min="1199" max="1199" width="7.85546875" bestFit="1" customWidth="1"/>
    <col min="1200" max="1202" width="10.5703125" bestFit="1" customWidth="1"/>
    <col min="1203" max="1204" width="11.140625" bestFit="1" customWidth="1"/>
    <col min="1205" max="1205" width="7.85546875" bestFit="1" customWidth="1"/>
    <col min="1206" max="1208" width="10.5703125" bestFit="1" customWidth="1"/>
    <col min="1209" max="1210" width="11.140625" bestFit="1" customWidth="1"/>
    <col min="1211" max="1211" width="9.42578125" bestFit="1" customWidth="1"/>
    <col min="1212" max="1212" width="7.85546875" bestFit="1" customWidth="1"/>
    <col min="1213" max="1215" width="10.5703125" bestFit="1" customWidth="1"/>
    <col min="1216" max="1216" width="11.140625" bestFit="1" customWidth="1"/>
    <col min="1217" max="1217" width="9.42578125" bestFit="1" customWidth="1"/>
    <col min="1218" max="1218" width="11.140625" bestFit="1" customWidth="1"/>
    <col min="1219" max="1219" width="7.85546875" bestFit="1" customWidth="1"/>
    <col min="1220" max="1220" width="10.5703125" bestFit="1" customWidth="1"/>
    <col min="1221" max="1221" width="9" bestFit="1" customWidth="1"/>
    <col min="1222" max="1222" width="10.5703125" bestFit="1" customWidth="1"/>
    <col min="1223" max="1224" width="11.140625" bestFit="1" customWidth="1"/>
    <col min="1225" max="1225" width="7.85546875" bestFit="1" customWidth="1"/>
    <col min="1226" max="1228" width="10.5703125" bestFit="1" customWidth="1"/>
    <col min="1229" max="1231" width="11.140625" bestFit="1" customWidth="1"/>
    <col min="1232" max="1232" width="7.85546875" bestFit="1" customWidth="1"/>
    <col min="1233" max="1234" width="10.5703125" bestFit="1" customWidth="1"/>
    <col min="1235" max="1235" width="9" bestFit="1" customWidth="1"/>
    <col min="1236" max="1238" width="11.140625" bestFit="1" customWidth="1"/>
    <col min="1239" max="1239" width="7.85546875" bestFit="1" customWidth="1"/>
    <col min="1240" max="1242" width="10.5703125" bestFit="1" customWidth="1"/>
    <col min="1243" max="1245" width="11.140625" bestFit="1" customWidth="1"/>
    <col min="1246" max="1246" width="7.85546875" bestFit="1" customWidth="1"/>
    <col min="1247" max="1248" width="10.5703125" bestFit="1" customWidth="1"/>
    <col min="1249" max="1249" width="9" bestFit="1" customWidth="1"/>
    <col min="1250" max="1252" width="11.140625" bestFit="1" customWidth="1"/>
    <col min="1253" max="1253" width="7.85546875" bestFit="1" customWidth="1"/>
    <col min="1254" max="1256" width="10.5703125" bestFit="1" customWidth="1"/>
    <col min="1257" max="1257" width="9.42578125" bestFit="1" customWidth="1"/>
    <col min="1258" max="1258" width="11.140625" bestFit="1" customWidth="1"/>
    <col min="1259" max="1259" width="7.85546875" bestFit="1" customWidth="1"/>
    <col min="1260" max="1262" width="10.5703125" bestFit="1" customWidth="1"/>
    <col min="1263" max="1265" width="11.140625" bestFit="1" customWidth="1"/>
    <col min="1266" max="1266" width="7.85546875" bestFit="1" customWidth="1"/>
    <col min="1267" max="1269" width="10.5703125" bestFit="1" customWidth="1"/>
    <col min="1270" max="1271" width="11.140625" bestFit="1" customWidth="1"/>
    <col min="1272" max="1272" width="9.42578125" bestFit="1" customWidth="1"/>
    <col min="1273" max="1273" width="7.85546875" bestFit="1" customWidth="1"/>
    <col min="1274" max="1276" width="10.5703125" bestFit="1" customWidth="1"/>
    <col min="1277" max="1279" width="11.140625" bestFit="1" customWidth="1"/>
    <col min="1280" max="1280" width="7.85546875" bestFit="1" customWidth="1"/>
    <col min="1281" max="1283" width="10.5703125" bestFit="1" customWidth="1"/>
    <col min="1284" max="1286" width="11.140625" bestFit="1" customWidth="1"/>
    <col min="1287" max="1287" width="7.85546875" bestFit="1" customWidth="1"/>
    <col min="1288" max="1290" width="10.5703125" bestFit="1" customWidth="1"/>
    <col min="1291" max="1291" width="11.140625" bestFit="1" customWidth="1"/>
    <col min="1292" max="1292" width="7.85546875" bestFit="1" customWidth="1"/>
    <col min="1293" max="1295" width="10.5703125" bestFit="1" customWidth="1"/>
    <col min="1296" max="1297" width="11.140625" bestFit="1" customWidth="1"/>
    <col min="1298" max="1298" width="7.85546875" bestFit="1" customWidth="1"/>
    <col min="1299" max="1299" width="10.5703125" bestFit="1" customWidth="1"/>
    <col min="1300" max="1300" width="9" bestFit="1" customWidth="1"/>
    <col min="1301" max="1301" width="10.5703125" bestFit="1" customWidth="1"/>
    <col min="1302" max="1304" width="11.140625" bestFit="1" customWidth="1"/>
    <col min="1305" max="1305" width="7.85546875" bestFit="1" customWidth="1"/>
    <col min="1306" max="1308" width="10.5703125" bestFit="1" customWidth="1"/>
    <col min="1309" max="1311" width="11.140625" bestFit="1" customWidth="1"/>
    <col min="1312" max="1312" width="7.85546875" bestFit="1" customWidth="1"/>
    <col min="1313" max="1314" width="10.5703125" bestFit="1" customWidth="1"/>
    <col min="1315" max="1315" width="9" bestFit="1" customWidth="1"/>
    <col min="1316" max="1317" width="11.140625" bestFit="1" customWidth="1"/>
    <col min="1318" max="1318" width="7.85546875" bestFit="1" customWidth="1"/>
    <col min="1319" max="1319" width="10.5703125" bestFit="1" customWidth="1"/>
    <col min="1320" max="1320" width="9" bestFit="1" customWidth="1"/>
    <col min="1321" max="1321" width="10.5703125" bestFit="1" customWidth="1"/>
    <col min="1322" max="1323" width="11.140625" bestFit="1" customWidth="1"/>
    <col min="1324" max="1324" width="7.85546875" bestFit="1" customWidth="1"/>
    <col min="1325" max="1327" width="10.5703125" bestFit="1" customWidth="1"/>
    <col min="1328" max="1330" width="11.140625" bestFit="1" customWidth="1"/>
    <col min="1331" max="1331" width="7.85546875" bestFit="1" customWidth="1"/>
    <col min="1332" max="1333" width="10.5703125" bestFit="1" customWidth="1"/>
    <col min="1334" max="1334" width="9" bestFit="1" customWidth="1"/>
    <col min="1335" max="1335" width="9.42578125" bestFit="1" customWidth="1"/>
    <col min="1336" max="1336" width="11.140625" bestFit="1" customWidth="1"/>
    <col min="1337" max="1337" width="7.85546875" bestFit="1" customWidth="1"/>
    <col min="1338" max="1340" width="10.5703125" bestFit="1" customWidth="1"/>
    <col min="1341" max="1341" width="11.140625" bestFit="1" customWidth="1"/>
    <col min="1342" max="1342" width="9.42578125" bestFit="1" customWidth="1"/>
    <col min="1343" max="1343" width="11.140625" bestFit="1" customWidth="1"/>
    <col min="1344" max="1344" width="7.85546875" bestFit="1" customWidth="1"/>
    <col min="1345" max="1347" width="10.5703125" bestFit="1" customWidth="1"/>
    <col min="1348" max="1349" width="11.140625" bestFit="1" customWidth="1"/>
    <col min="1350" max="1350" width="7.85546875" bestFit="1" customWidth="1"/>
    <col min="1351" max="1353" width="10.5703125" bestFit="1" customWidth="1"/>
    <col min="1354" max="1356" width="11.140625" bestFit="1" customWidth="1"/>
    <col min="1357" max="1357" width="7.85546875" bestFit="1" customWidth="1"/>
    <col min="1358" max="1358" width="9" bestFit="1" customWidth="1"/>
    <col min="1359" max="1360" width="10.5703125" bestFit="1" customWidth="1"/>
    <col min="1361" max="1362" width="11.140625" bestFit="1" customWidth="1"/>
    <col min="1363" max="1363" width="9.42578125" bestFit="1" customWidth="1"/>
    <col min="1364" max="1364" width="7.85546875" bestFit="1" customWidth="1"/>
    <col min="1365" max="1367" width="10.5703125" bestFit="1" customWidth="1"/>
    <col min="1368" max="1369" width="11.140625" bestFit="1" customWidth="1"/>
    <col min="1370" max="1370" width="7.85546875" bestFit="1" customWidth="1"/>
    <col min="1371" max="1373" width="10.5703125" bestFit="1" customWidth="1"/>
    <col min="1374" max="1375" width="11.140625" bestFit="1" customWidth="1"/>
    <col min="1376" max="1376" width="7.85546875" bestFit="1" customWidth="1"/>
    <col min="1377" max="1379" width="10.5703125" bestFit="1" customWidth="1"/>
    <col min="1380" max="1381" width="11.140625" bestFit="1" customWidth="1"/>
    <col min="1382" max="1382" width="7.85546875" bestFit="1" customWidth="1"/>
    <col min="1383" max="1385" width="10.5703125" bestFit="1" customWidth="1"/>
    <col min="1386" max="1388" width="11.140625" bestFit="1" customWidth="1"/>
    <col min="1389" max="1389" width="7.85546875" bestFit="1" customWidth="1"/>
    <col min="1390" max="1392" width="10.5703125" bestFit="1" customWidth="1"/>
    <col min="1393" max="1394" width="11.140625" bestFit="1" customWidth="1"/>
    <col min="1395" max="1395" width="7.85546875" bestFit="1" customWidth="1"/>
    <col min="1396" max="1398" width="10.5703125" bestFit="1" customWidth="1"/>
    <col min="1399" max="1400" width="11.140625" bestFit="1" customWidth="1"/>
    <col min="1401" max="1401" width="7.85546875" bestFit="1" customWidth="1"/>
    <col min="1402" max="1404" width="10.5703125" bestFit="1" customWidth="1"/>
    <col min="1405" max="1406" width="11.140625" bestFit="1" customWidth="1"/>
    <col min="1407" max="1407" width="7.85546875" bestFit="1" customWidth="1"/>
    <col min="1408" max="1408" width="10.5703125" bestFit="1" customWidth="1"/>
    <col min="1409" max="1409" width="9" bestFit="1" customWidth="1"/>
    <col min="1410" max="1410" width="10.5703125" bestFit="1" customWidth="1"/>
    <col min="1411" max="1413" width="11.140625" bestFit="1" customWidth="1"/>
    <col min="1414" max="1414" width="7.85546875" bestFit="1" customWidth="1"/>
    <col min="1415" max="1417" width="10.5703125" bestFit="1" customWidth="1"/>
    <col min="1418" max="1419" width="11.140625" bestFit="1" customWidth="1"/>
    <col min="1420" max="1420" width="7.85546875" bestFit="1" customWidth="1"/>
    <col min="1421" max="1421" width="10.5703125" bestFit="1" customWidth="1"/>
    <col min="1422" max="1422" width="9" bestFit="1" customWidth="1"/>
    <col min="1423" max="1423" width="10.5703125" bestFit="1" customWidth="1"/>
    <col min="1424" max="1426" width="11.140625" bestFit="1" customWidth="1"/>
    <col min="1427" max="1427" width="7.85546875" bestFit="1" customWidth="1"/>
    <col min="1428" max="1428" width="10.5703125" bestFit="1" customWidth="1"/>
    <col min="1429" max="1429" width="9" bestFit="1" customWidth="1"/>
    <col min="1430" max="1430" width="10.5703125" bestFit="1" customWidth="1"/>
    <col min="1431" max="1432" width="11.140625" bestFit="1" customWidth="1"/>
    <col min="1433" max="1433" width="7.85546875" bestFit="1" customWidth="1"/>
    <col min="1434" max="1434" width="10.5703125" bestFit="1" customWidth="1"/>
    <col min="1435" max="1435" width="9" bestFit="1" customWidth="1"/>
    <col min="1436" max="1436" width="10.5703125" bestFit="1" customWidth="1"/>
    <col min="1437" max="1438" width="11.140625" bestFit="1" customWidth="1"/>
    <col min="1439" max="1439" width="7.85546875" bestFit="1" customWidth="1"/>
    <col min="1440" max="1440" width="10.5703125" bestFit="1" customWidth="1"/>
    <col min="1441" max="1441" width="9" bestFit="1" customWidth="1"/>
    <col min="1442" max="1442" width="10.5703125" bestFit="1" customWidth="1"/>
    <col min="1443" max="1443" width="11.140625" bestFit="1" customWidth="1"/>
    <col min="1444" max="1444" width="9.42578125" bestFit="1" customWidth="1"/>
    <col min="1445" max="1445" width="11.140625" bestFit="1" customWidth="1"/>
    <col min="1446" max="1446" width="7.85546875" bestFit="1" customWidth="1"/>
    <col min="1447" max="1447" width="10.5703125" bestFit="1" customWidth="1"/>
    <col min="1448" max="1448" width="9" bestFit="1" customWidth="1"/>
    <col min="1449" max="1449" width="10.5703125" bestFit="1" customWidth="1"/>
    <col min="1450" max="1450" width="11.140625" bestFit="1" customWidth="1"/>
    <col min="1451" max="1451" width="9.42578125" bestFit="1" customWidth="1"/>
    <col min="1452" max="1452" width="7.85546875" bestFit="1" customWidth="1"/>
    <col min="1453" max="1455" width="10.5703125" bestFit="1" customWidth="1"/>
    <col min="1456" max="1458" width="11.140625" bestFit="1" customWidth="1"/>
    <col min="1459" max="1459" width="7.85546875" bestFit="1" customWidth="1"/>
    <col min="1460" max="1462" width="10.5703125" bestFit="1" customWidth="1"/>
    <col min="1463" max="1465" width="11.140625" bestFit="1" customWidth="1"/>
    <col min="1466" max="1466" width="7.85546875" bestFit="1" customWidth="1"/>
    <col min="1467" max="1469" width="10.5703125" bestFit="1" customWidth="1"/>
    <col min="1470" max="1470" width="11.140625" bestFit="1" customWidth="1"/>
    <col min="1471" max="1471" width="9.42578125" bestFit="1" customWidth="1"/>
    <col min="1472" max="1472" width="7.85546875" bestFit="1" customWidth="1"/>
    <col min="1473" max="1475" width="10.5703125" bestFit="1" customWidth="1"/>
    <col min="1476" max="1477" width="11.140625" bestFit="1" customWidth="1"/>
    <col min="1478" max="1478" width="7.85546875" bestFit="1" customWidth="1"/>
    <col min="1479" max="1479" width="10.5703125" bestFit="1" customWidth="1"/>
    <col min="1480" max="1480" width="9" bestFit="1" customWidth="1"/>
    <col min="1481" max="1481" width="10.5703125" bestFit="1" customWidth="1"/>
    <col min="1482" max="1482" width="9.42578125" bestFit="1" customWidth="1"/>
    <col min="1483" max="1484" width="11.140625" bestFit="1" customWidth="1"/>
    <col min="1485" max="1485" width="7.85546875" bestFit="1" customWidth="1"/>
    <col min="1486" max="1488" width="10.5703125" bestFit="1" customWidth="1"/>
    <col min="1489" max="1490" width="11.140625" bestFit="1" customWidth="1"/>
    <col min="1491" max="1491" width="7.85546875" bestFit="1" customWidth="1"/>
    <col min="1492" max="1494" width="10.5703125" bestFit="1" customWidth="1"/>
    <col min="1495" max="1495" width="11.140625" bestFit="1" customWidth="1"/>
    <col min="1496" max="1496" width="9.42578125" bestFit="1" customWidth="1"/>
    <col min="1497" max="1497" width="11.140625" bestFit="1" customWidth="1"/>
    <col min="1498" max="1498" width="7.85546875" bestFit="1" customWidth="1"/>
    <col min="1499" max="1501" width="10.5703125" bestFit="1" customWidth="1"/>
    <col min="1502" max="1504" width="11.140625" bestFit="1" customWidth="1"/>
    <col min="1505" max="1505" width="7.85546875" bestFit="1" customWidth="1"/>
    <col min="1506" max="1508" width="10.5703125" bestFit="1" customWidth="1"/>
    <col min="1509" max="1511" width="11.140625" bestFit="1" customWidth="1"/>
    <col min="1512" max="1512" width="7.85546875" bestFit="1" customWidth="1"/>
    <col min="1513" max="1515" width="10.5703125" bestFit="1" customWidth="1"/>
    <col min="1516" max="1518" width="11.140625" bestFit="1" customWidth="1"/>
    <col min="1519" max="1519" width="7.85546875" bestFit="1" customWidth="1"/>
    <col min="1520" max="1520" width="10.5703125" bestFit="1" customWidth="1"/>
    <col min="1521" max="1521" width="9" bestFit="1" customWidth="1"/>
    <col min="1522" max="1522" width="10.5703125" bestFit="1" customWidth="1"/>
    <col min="1523" max="1524" width="11.140625" bestFit="1" customWidth="1"/>
    <col min="1525" max="1525" width="7.85546875" bestFit="1" customWidth="1"/>
    <col min="1526" max="1528" width="10.5703125" bestFit="1" customWidth="1"/>
    <col min="1529" max="1531" width="11.140625" bestFit="1" customWidth="1"/>
    <col min="1532" max="1532" width="7.85546875" bestFit="1" customWidth="1"/>
    <col min="1533" max="1535" width="10.5703125" bestFit="1" customWidth="1"/>
    <col min="1536" max="1537" width="11.140625" bestFit="1" customWidth="1"/>
    <col min="1538" max="1538" width="7.85546875" bestFit="1" customWidth="1"/>
    <col min="1539" max="1540" width="10.5703125" bestFit="1" customWidth="1"/>
    <col min="1541" max="1541" width="9" bestFit="1" customWidth="1"/>
    <col min="1542" max="1542" width="9.42578125" bestFit="1" customWidth="1"/>
    <col min="1543" max="1544" width="11.140625" bestFit="1" customWidth="1"/>
    <col min="1545" max="1545" width="7.85546875" bestFit="1" customWidth="1"/>
    <col min="1546" max="1548" width="10.5703125" bestFit="1" customWidth="1"/>
    <col min="1549" max="1550" width="11.140625" bestFit="1" customWidth="1"/>
    <col min="1551" max="1551" width="7.85546875" bestFit="1" customWidth="1"/>
    <col min="1552" max="1552" width="9" bestFit="1" customWidth="1"/>
    <col min="1553" max="1554" width="10.5703125" bestFit="1" customWidth="1"/>
    <col min="1555" max="1557" width="11.140625" bestFit="1" customWidth="1"/>
    <col min="1558" max="1558" width="7.85546875" bestFit="1" customWidth="1"/>
    <col min="1559" max="1561" width="10.5703125" bestFit="1" customWidth="1"/>
    <col min="1562" max="1564" width="11.140625" bestFit="1" customWidth="1"/>
    <col min="1565" max="1565" width="7.85546875" bestFit="1" customWidth="1"/>
    <col min="1566" max="1568" width="10.5703125" bestFit="1" customWidth="1"/>
    <col min="1569" max="1570" width="11.140625" bestFit="1" customWidth="1"/>
    <col min="1571" max="1571" width="7.85546875" bestFit="1" customWidth="1"/>
    <col min="1572" max="1574" width="10.5703125" bestFit="1" customWidth="1"/>
    <col min="1575" max="1577" width="11.140625" bestFit="1" customWidth="1"/>
    <col min="1578" max="1578" width="7.85546875" bestFit="1" customWidth="1"/>
    <col min="1579" max="1581" width="10.5703125" bestFit="1" customWidth="1"/>
    <col min="1582" max="1584" width="11.140625" bestFit="1" customWidth="1"/>
    <col min="1585" max="1585" width="7.85546875" bestFit="1" customWidth="1"/>
    <col min="1586" max="1588" width="10.5703125" bestFit="1" customWidth="1"/>
    <col min="1589" max="1591" width="11.140625" bestFit="1" customWidth="1"/>
    <col min="1592" max="1592" width="7.85546875" bestFit="1" customWidth="1"/>
    <col min="1593" max="1595" width="10.5703125" bestFit="1" customWidth="1"/>
    <col min="1596" max="1598" width="11.140625" bestFit="1" customWidth="1"/>
    <col min="1599" max="1599" width="7.85546875" bestFit="1" customWidth="1"/>
    <col min="1600" max="1602" width="10.5703125" bestFit="1" customWidth="1"/>
    <col min="1603" max="1604" width="11.140625" bestFit="1" customWidth="1"/>
    <col min="1605" max="1605" width="9.42578125" bestFit="1" customWidth="1"/>
    <col min="1606" max="1606" width="7.85546875" bestFit="1" customWidth="1"/>
    <col min="1607" max="1609" width="10.5703125" bestFit="1" customWidth="1"/>
    <col min="1610" max="1612" width="11.140625" bestFit="1" customWidth="1"/>
    <col min="1613" max="1613" width="7.85546875" bestFit="1" customWidth="1"/>
    <col min="1614" max="1614" width="9" bestFit="1" customWidth="1"/>
    <col min="1615" max="1616" width="10.5703125" bestFit="1" customWidth="1"/>
    <col min="1617" max="1617" width="11.140625" bestFit="1" customWidth="1"/>
    <col min="1618" max="1618" width="9.42578125" bestFit="1" customWidth="1"/>
    <col min="1619" max="1619" width="7.85546875" bestFit="1" customWidth="1"/>
    <col min="1620" max="1620" width="10.5703125" bestFit="1" customWidth="1"/>
    <col min="1621" max="1621" width="9" bestFit="1" customWidth="1"/>
    <col min="1622" max="1622" width="10.5703125" bestFit="1" customWidth="1"/>
    <col min="1623" max="1625" width="11.140625" bestFit="1" customWidth="1"/>
    <col min="1626" max="1626" width="7.85546875" bestFit="1" customWidth="1"/>
    <col min="1627" max="1629" width="10.5703125" bestFit="1" customWidth="1"/>
    <col min="1630" max="1632" width="11.140625" bestFit="1" customWidth="1"/>
    <col min="1633" max="1633" width="7.85546875" bestFit="1" customWidth="1"/>
    <col min="1634" max="1636" width="10.5703125" bestFit="1" customWidth="1"/>
    <col min="1637" max="1638" width="11.140625" bestFit="1" customWidth="1"/>
    <col min="1639" max="1639" width="7.85546875" bestFit="1" customWidth="1"/>
    <col min="1640" max="1642" width="10.5703125" bestFit="1" customWidth="1"/>
    <col min="1643" max="1645" width="11.140625" bestFit="1" customWidth="1"/>
    <col min="1646" max="1646" width="7.85546875" bestFit="1" customWidth="1"/>
    <col min="1647" max="1649" width="10.5703125" bestFit="1" customWidth="1"/>
    <col min="1650" max="1651" width="11.140625" bestFit="1" customWidth="1"/>
    <col min="1652" max="1652" width="7.85546875" bestFit="1" customWidth="1"/>
    <col min="1653" max="1654" width="10.5703125" bestFit="1" customWidth="1"/>
    <col min="1655" max="1655" width="9" bestFit="1" customWidth="1"/>
    <col min="1656" max="1658" width="11.140625" bestFit="1" customWidth="1"/>
    <col min="1659" max="1659" width="7.85546875" bestFit="1" customWidth="1"/>
    <col min="1660" max="1662" width="10.5703125" bestFit="1" customWidth="1"/>
    <col min="1663" max="1664" width="11.140625" bestFit="1" customWidth="1"/>
    <col min="1665" max="1665" width="7.5703125" bestFit="1" customWidth="1"/>
    <col min="1666" max="1666" width="10.5703125" bestFit="1" customWidth="1"/>
    <col min="1667" max="1667" width="9" bestFit="1" customWidth="1"/>
    <col min="1668" max="1668" width="10.5703125" bestFit="1" customWidth="1"/>
    <col min="1669" max="1670" width="9.42578125" bestFit="1" customWidth="1"/>
    <col min="1671" max="1671" width="11.140625" bestFit="1" customWidth="1"/>
    <col min="1672" max="1672" width="7.85546875" bestFit="1" customWidth="1"/>
    <col min="1673" max="1673" width="9" bestFit="1" customWidth="1"/>
    <col min="1674" max="1674" width="10.5703125" bestFit="1" customWidth="1"/>
    <col min="1675" max="1675" width="9" bestFit="1" customWidth="1"/>
    <col min="1676" max="1678" width="11.140625" bestFit="1" customWidth="1"/>
    <col min="1679" max="1679" width="7.85546875" bestFit="1" customWidth="1"/>
    <col min="1680" max="1682" width="10.5703125" bestFit="1" customWidth="1"/>
    <col min="1683" max="1684" width="11.140625" bestFit="1" customWidth="1"/>
    <col min="1685" max="1685" width="7.85546875" bestFit="1" customWidth="1"/>
    <col min="1686" max="1688" width="10.5703125" bestFit="1" customWidth="1"/>
    <col min="1689" max="1689" width="11.140625" bestFit="1" customWidth="1"/>
    <col min="1690" max="1690" width="9.42578125" bestFit="1" customWidth="1"/>
    <col min="1691" max="1691" width="11.140625" bestFit="1" customWidth="1"/>
    <col min="1692" max="1692" width="7.85546875" bestFit="1" customWidth="1"/>
    <col min="1693" max="1693" width="10.5703125" bestFit="1" customWidth="1"/>
    <col min="1694" max="1694" width="9" bestFit="1" customWidth="1"/>
    <col min="1695" max="1695" width="10.5703125" bestFit="1" customWidth="1"/>
    <col min="1696" max="1698" width="11.140625" bestFit="1" customWidth="1"/>
    <col min="1699" max="1699" width="7.85546875" bestFit="1" customWidth="1"/>
    <col min="1700" max="1702" width="10.5703125" bestFit="1" customWidth="1"/>
    <col min="1703" max="1704" width="11.140625" bestFit="1" customWidth="1"/>
    <col min="1705" max="1705" width="7.85546875" bestFit="1" customWidth="1"/>
    <col min="1706" max="1708" width="10.5703125" bestFit="1" customWidth="1"/>
    <col min="1709" max="1711" width="11.140625" bestFit="1" customWidth="1"/>
    <col min="1712" max="1712" width="7.85546875" bestFit="1" customWidth="1"/>
    <col min="1713" max="1715" width="10.5703125" bestFit="1" customWidth="1"/>
    <col min="1716" max="1718" width="11.140625" bestFit="1" customWidth="1"/>
    <col min="1719" max="1719" width="7.85546875" bestFit="1" customWidth="1"/>
    <col min="1720" max="1722" width="10.5703125" bestFit="1" customWidth="1"/>
    <col min="1723" max="1724" width="11.140625" bestFit="1" customWidth="1"/>
    <col min="1725" max="1725" width="7.85546875" bestFit="1" customWidth="1"/>
    <col min="1726" max="1728" width="10.5703125" bestFit="1" customWidth="1"/>
    <col min="1729" max="1730" width="11.140625" bestFit="1" customWidth="1"/>
    <col min="1731" max="1731" width="7.85546875" bestFit="1" customWidth="1"/>
    <col min="1732" max="1734" width="10.5703125" bestFit="1" customWidth="1"/>
    <col min="1735" max="1735" width="11.140625" bestFit="1" customWidth="1"/>
    <col min="1736" max="1736" width="9.42578125" bestFit="1" customWidth="1"/>
    <col min="1737" max="1737" width="11.140625" bestFit="1" customWidth="1"/>
    <col min="1738" max="1738" width="7.85546875" bestFit="1" customWidth="1"/>
    <col min="1739" max="1741" width="10.5703125" bestFit="1" customWidth="1"/>
    <col min="1742" max="1744" width="11.140625" bestFit="1" customWidth="1"/>
    <col min="1745" max="1745" width="7.85546875" bestFit="1" customWidth="1"/>
    <col min="1746" max="1746" width="10.5703125" bestFit="1" customWidth="1"/>
    <col min="1747" max="1748" width="9" bestFit="1" customWidth="1"/>
    <col min="1749" max="1751" width="11.140625" bestFit="1" customWidth="1"/>
    <col min="1752" max="1752" width="7.85546875" bestFit="1" customWidth="1"/>
    <col min="1753" max="1755" width="10.5703125" bestFit="1" customWidth="1"/>
    <col min="1756" max="1758" width="11.140625" bestFit="1" customWidth="1"/>
    <col min="1759" max="1759" width="7.85546875" bestFit="1" customWidth="1"/>
    <col min="1760" max="1762" width="10.5703125" bestFit="1" customWidth="1"/>
    <col min="1763" max="1764" width="11.140625" bestFit="1" customWidth="1"/>
    <col min="1765" max="1765" width="7.85546875" bestFit="1" customWidth="1"/>
    <col min="1766" max="1768" width="10.5703125" bestFit="1" customWidth="1"/>
    <col min="1769" max="1770" width="11.140625" bestFit="1" customWidth="1"/>
    <col min="1771" max="1771" width="7.85546875" bestFit="1" customWidth="1"/>
    <col min="1772" max="1774" width="10.5703125" bestFit="1" customWidth="1"/>
    <col min="1775" max="1777" width="11.140625" bestFit="1" customWidth="1"/>
    <col min="1778" max="1778" width="7.85546875" bestFit="1" customWidth="1"/>
    <col min="1779" max="1781" width="10.5703125" bestFit="1" customWidth="1"/>
    <col min="1782" max="1782" width="11.140625" bestFit="1" customWidth="1"/>
    <col min="1783" max="1783" width="9.42578125" bestFit="1" customWidth="1"/>
    <col min="1784" max="1784" width="7.85546875" bestFit="1" customWidth="1"/>
    <col min="1785" max="1787" width="10.5703125" bestFit="1" customWidth="1"/>
    <col min="1788" max="1789" width="11.140625" bestFit="1" customWidth="1"/>
    <col min="1790" max="1790" width="7.85546875" bestFit="1" customWidth="1"/>
    <col min="1791" max="1793" width="10.5703125" bestFit="1" customWidth="1"/>
    <col min="1794" max="1796" width="11.140625" bestFit="1" customWidth="1"/>
    <col min="1797" max="1797" width="7.85546875" bestFit="1" customWidth="1"/>
    <col min="1798" max="1800" width="10.5703125" bestFit="1" customWidth="1"/>
    <col min="1801" max="1802" width="11.140625" bestFit="1" customWidth="1"/>
    <col min="1803" max="1803" width="7.85546875" bestFit="1" customWidth="1"/>
    <col min="1804" max="1805" width="10.5703125" bestFit="1" customWidth="1"/>
    <col min="1806" max="1806" width="9" bestFit="1" customWidth="1"/>
    <col min="1807" max="1807" width="9.42578125" bestFit="1" customWidth="1"/>
    <col min="1808" max="1809" width="11.140625" bestFit="1" customWidth="1"/>
    <col min="1810" max="1810" width="7.85546875" bestFit="1" customWidth="1"/>
    <col min="1811" max="1813" width="10.5703125" bestFit="1" customWidth="1"/>
    <col min="1814" max="1814" width="9.42578125" bestFit="1" customWidth="1"/>
    <col min="1815" max="1815" width="11.140625" bestFit="1" customWidth="1"/>
    <col min="1816" max="1816" width="7.85546875" bestFit="1" customWidth="1"/>
    <col min="1817" max="1819" width="10.5703125" bestFit="1" customWidth="1"/>
    <col min="1820" max="1822" width="11.140625" bestFit="1" customWidth="1"/>
    <col min="1823" max="1823" width="7.85546875" bestFit="1" customWidth="1"/>
    <col min="1824" max="1826" width="10.5703125" bestFit="1" customWidth="1"/>
    <col min="1827" max="1828" width="11.140625" bestFit="1" customWidth="1"/>
    <col min="1829" max="1829" width="7.85546875" bestFit="1" customWidth="1"/>
    <col min="1830" max="1832" width="10.5703125" bestFit="1" customWidth="1"/>
    <col min="1833" max="1833" width="11.140625" bestFit="1" customWidth="1"/>
    <col min="1834" max="1835" width="9.42578125" bestFit="1" customWidth="1"/>
    <col min="1836" max="1836" width="7.85546875" bestFit="1" customWidth="1"/>
    <col min="1837" max="1839" width="10.5703125" bestFit="1" customWidth="1"/>
    <col min="1840" max="1842" width="11.140625" bestFit="1" customWidth="1"/>
    <col min="1843" max="1843" width="7.85546875" bestFit="1" customWidth="1"/>
    <col min="1844" max="1846" width="10.5703125" bestFit="1" customWidth="1"/>
    <col min="1847" max="1849" width="11.140625" bestFit="1" customWidth="1"/>
    <col min="1850" max="1850" width="7.85546875" bestFit="1" customWidth="1"/>
    <col min="1851" max="1853" width="10.5703125" bestFit="1" customWidth="1"/>
    <col min="1854" max="1856" width="11.140625" bestFit="1" customWidth="1"/>
    <col min="1857" max="1857" width="7.85546875" bestFit="1" customWidth="1"/>
    <col min="1858" max="1860" width="10.5703125" bestFit="1" customWidth="1"/>
    <col min="1861" max="1863" width="11.140625" bestFit="1" customWidth="1"/>
    <col min="1864" max="1864" width="7.85546875" bestFit="1" customWidth="1"/>
    <col min="1865" max="1867" width="10.5703125" bestFit="1" customWidth="1"/>
    <col min="1868" max="1870" width="11.140625" bestFit="1" customWidth="1"/>
    <col min="1871" max="1871" width="7.85546875" bestFit="1" customWidth="1"/>
    <col min="1872" max="1872" width="10.5703125" bestFit="1" customWidth="1"/>
    <col min="1873" max="1873" width="7.5703125" bestFit="1" customWidth="1"/>
    <col min="1874" max="1874" width="10.5703125" bestFit="1" customWidth="1"/>
    <col min="1875" max="1875" width="9" bestFit="1" customWidth="1"/>
    <col min="1876" max="1876" width="10.5703125" bestFit="1" customWidth="1"/>
    <col min="1877" max="1877" width="11.140625" bestFit="1" customWidth="1"/>
    <col min="1878" max="1878" width="9.42578125" bestFit="1" customWidth="1"/>
    <col min="1879" max="1879" width="11.140625" bestFit="1" customWidth="1"/>
    <col min="1880" max="1880" width="7.85546875" bestFit="1" customWidth="1"/>
    <col min="1881" max="1883" width="10.5703125" bestFit="1" customWidth="1"/>
    <col min="1884" max="1884" width="11.140625" bestFit="1" customWidth="1"/>
    <col min="1885" max="1885" width="9.42578125" bestFit="1" customWidth="1"/>
    <col min="1886" max="1886" width="11.140625" bestFit="1" customWidth="1"/>
    <col min="1887" max="1887" width="7.85546875" bestFit="1" customWidth="1"/>
    <col min="1888" max="1890" width="10.5703125" bestFit="1" customWidth="1"/>
    <col min="1891" max="1891" width="11.140625" bestFit="1" customWidth="1"/>
    <col min="1892" max="1892" width="9.42578125" bestFit="1" customWidth="1"/>
    <col min="1893" max="1893" width="11.140625" bestFit="1" customWidth="1"/>
    <col min="1894" max="1894" width="7.85546875" bestFit="1" customWidth="1"/>
    <col min="1895" max="1895" width="9" bestFit="1" customWidth="1"/>
    <col min="1896" max="1897" width="10.5703125" bestFit="1" customWidth="1"/>
    <col min="1898" max="1899" width="11.140625" bestFit="1" customWidth="1"/>
    <col min="1900" max="1900" width="7.85546875" bestFit="1" customWidth="1"/>
    <col min="1901" max="1903" width="10.5703125" bestFit="1" customWidth="1"/>
    <col min="1904" max="1906" width="11.140625" bestFit="1" customWidth="1"/>
    <col min="1907" max="1907" width="7.85546875" bestFit="1" customWidth="1"/>
    <col min="1908" max="1910" width="10.5703125" bestFit="1" customWidth="1"/>
    <col min="1911" max="1911" width="11.140625" bestFit="1" customWidth="1"/>
    <col min="1912" max="1912" width="8.85546875" bestFit="1" customWidth="1"/>
    <col min="1913" max="1913" width="11.140625" bestFit="1" customWidth="1"/>
    <col min="1914" max="1914" width="7.85546875" bestFit="1" customWidth="1"/>
    <col min="1915" max="1915" width="9" bestFit="1" customWidth="1"/>
    <col min="1916" max="1917" width="10.5703125" bestFit="1" customWidth="1"/>
    <col min="1918" max="1918" width="11.140625" bestFit="1" customWidth="1"/>
    <col min="1919" max="1919" width="9.42578125" bestFit="1" customWidth="1"/>
    <col min="1920" max="1920" width="7.85546875" bestFit="1" customWidth="1"/>
    <col min="1921" max="1923" width="10.5703125" bestFit="1" customWidth="1"/>
    <col min="1924" max="1926" width="11.140625" bestFit="1" customWidth="1"/>
    <col min="1927" max="1927" width="7.85546875" bestFit="1" customWidth="1"/>
    <col min="1928" max="1930" width="10.5703125" bestFit="1" customWidth="1"/>
    <col min="1931" max="1932" width="11.140625" bestFit="1" customWidth="1"/>
    <col min="1933" max="1933" width="7.85546875" bestFit="1" customWidth="1"/>
    <col min="1934" max="1936" width="10.5703125" bestFit="1" customWidth="1"/>
    <col min="1937" max="1939" width="11.140625" bestFit="1" customWidth="1"/>
    <col min="1940" max="1940" width="7.85546875" bestFit="1" customWidth="1"/>
    <col min="1941" max="1943" width="10.5703125" bestFit="1" customWidth="1"/>
    <col min="1944" max="1945" width="11.140625" bestFit="1" customWidth="1"/>
    <col min="1946" max="1946" width="7.85546875" bestFit="1" customWidth="1"/>
    <col min="1947" max="1947" width="9" bestFit="1" customWidth="1"/>
    <col min="1948" max="1949" width="10.5703125" bestFit="1" customWidth="1"/>
    <col min="1950" max="1951" width="11.140625" bestFit="1" customWidth="1"/>
    <col min="1952" max="1952" width="7.85546875" bestFit="1" customWidth="1"/>
    <col min="1953" max="1954" width="10.5703125" bestFit="1" customWidth="1"/>
    <col min="1955" max="1955" width="9" bestFit="1" customWidth="1"/>
    <col min="1956" max="1958" width="11.140625" bestFit="1" customWidth="1"/>
    <col min="1959" max="1959" width="7.85546875" bestFit="1" customWidth="1"/>
    <col min="1960" max="1962" width="10.5703125" bestFit="1" customWidth="1"/>
    <col min="1963" max="1964" width="11.140625" bestFit="1" customWidth="1"/>
    <col min="1965" max="1965" width="9.42578125" bestFit="1" customWidth="1"/>
    <col min="1966" max="1966" width="7.85546875" bestFit="1" customWidth="1"/>
    <col min="1967" max="1969" width="10.5703125" bestFit="1" customWidth="1"/>
    <col min="1970" max="1971" width="11.140625" bestFit="1" customWidth="1"/>
    <col min="1972" max="1972" width="7.85546875" bestFit="1" customWidth="1"/>
    <col min="1973" max="1975" width="10.5703125" bestFit="1" customWidth="1"/>
    <col min="1976" max="1976" width="9.42578125" bestFit="1" customWidth="1"/>
    <col min="1977" max="1978" width="11.140625" bestFit="1" customWidth="1"/>
    <col min="1979" max="1979" width="7.85546875" bestFit="1" customWidth="1"/>
    <col min="1980" max="1982" width="10.5703125" bestFit="1" customWidth="1"/>
    <col min="1983" max="1983" width="9.42578125" bestFit="1" customWidth="1"/>
    <col min="1984" max="1985" width="11.140625" bestFit="1" customWidth="1"/>
    <col min="1986" max="1986" width="7.85546875" bestFit="1" customWidth="1"/>
    <col min="1987" max="1989" width="10.5703125" bestFit="1" customWidth="1"/>
    <col min="1990" max="1992" width="11.140625" bestFit="1" customWidth="1"/>
    <col min="1993" max="1993" width="7.85546875" bestFit="1" customWidth="1"/>
    <col min="1994" max="1996" width="10.5703125" bestFit="1" customWidth="1"/>
    <col min="1997" max="1998" width="11.140625" bestFit="1" customWidth="1"/>
    <col min="1999" max="1999" width="7.85546875" bestFit="1" customWidth="1"/>
    <col min="2000" max="2002" width="10.5703125" bestFit="1" customWidth="1"/>
    <col min="2003" max="2003" width="11.140625" bestFit="1" customWidth="1"/>
    <col min="2004" max="2004" width="8.85546875" bestFit="1" customWidth="1"/>
    <col min="2005" max="2005" width="11.140625" bestFit="1" customWidth="1"/>
    <col min="2006" max="2006" width="7.85546875" bestFit="1" customWidth="1"/>
    <col min="2007" max="2009" width="10.5703125" bestFit="1" customWidth="1"/>
    <col min="2010" max="2011" width="11.140625" bestFit="1" customWidth="1"/>
    <col min="2012" max="2012" width="7.85546875" bestFit="1" customWidth="1"/>
    <col min="2013" max="2015" width="10.5703125" bestFit="1" customWidth="1"/>
    <col min="2016" max="2016" width="9.42578125" bestFit="1" customWidth="1"/>
    <col min="2017" max="2018" width="11.140625" bestFit="1" customWidth="1"/>
    <col min="2019" max="2019" width="7.85546875" bestFit="1" customWidth="1"/>
    <col min="2020" max="2022" width="10.5703125" bestFit="1" customWidth="1"/>
    <col min="2023" max="2025" width="11.140625" bestFit="1" customWidth="1"/>
    <col min="2026" max="2026" width="7.85546875" bestFit="1" customWidth="1"/>
    <col min="2027" max="2029" width="10.5703125" bestFit="1" customWidth="1"/>
    <col min="2030" max="2031" width="11.140625" bestFit="1" customWidth="1"/>
    <col min="2032" max="2032" width="9.42578125" bestFit="1" customWidth="1"/>
    <col min="2033" max="2033" width="7.85546875" bestFit="1" customWidth="1"/>
    <col min="2034" max="2036" width="10.5703125" bestFit="1" customWidth="1"/>
    <col min="2037" max="2037" width="9.42578125" bestFit="1" customWidth="1"/>
    <col min="2038" max="2039" width="11.140625" bestFit="1" customWidth="1"/>
    <col min="2040" max="2040" width="7.85546875" bestFit="1" customWidth="1"/>
    <col min="2041" max="2043" width="10.5703125" bestFit="1" customWidth="1"/>
    <col min="2044" max="2046" width="11.140625" bestFit="1" customWidth="1"/>
    <col min="2047" max="2047" width="7.85546875" bestFit="1" customWidth="1"/>
    <col min="2048" max="2048" width="10.5703125" bestFit="1" customWidth="1"/>
    <col min="2049" max="2049" width="9" bestFit="1" customWidth="1"/>
    <col min="2050" max="2050" width="10.5703125" bestFit="1" customWidth="1"/>
    <col min="2051" max="2051" width="7.5703125" bestFit="1" customWidth="1"/>
    <col min="2052" max="2052" width="10.5703125" bestFit="1" customWidth="1"/>
    <col min="2053" max="2053" width="9" bestFit="1" customWidth="1"/>
    <col min="2054" max="2054" width="10.5703125" bestFit="1" customWidth="1"/>
    <col min="2055" max="2057" width="11.140625" bestFit="1" customWidth="1"/>
    <col min="2058" max="2058" width="7.85546875" bestFit="1" customWidth="1"/>
    <col min="2059" max="2061" width="10.5703125" bestFit="1" customWidth="1"/>
    <col min="2062" max="2064" width="11.140625" bestFit="1" customWidth="1"/>
    <col min="2065" max="2065" width="7.85546875" bestFit="1" customWidth="1"/>
    <col min="2066" max="2068" width="10.5703125" bestFit="1" customWidth="1"/>
    <col min="2069" max="2071" width="11.140625" bestFit="1" customWidth="1"/>
    <col min="2072" max="2072" width="7.85546875" bestFit="1" customWidth="1"/>
    <col min="2073" max="2073" width="10.5703125" bestFit="1" customWidth="1"/>
    <col min="2074" max="2074" width="9" bestFit="1" customWidth="1"/>
    <col min="2075" max="2075" width="10.5703125" bestFit="1" customWidth="1"/>
    <col min="2076" max="2078" width="11.140625" bestFit="1" customWidth="1"/>
    <col min="2079" max="2079" width="7.85546875" bestFit="1" customWidth="1"/>
    <col min="2080" max="2082" width="10.5703125" bestFit="1" customWidth="1"/>
    <col min="2083" max="2084" width="11.140625" bestFit="1" customWidth="1"/>
    <col min="2085" max="2085" width="9.42578125" bestFit="1" customWidth="1"/>
    <col min="2086" max="2086" width="7.85546875" bestFit="1" customWidth="1"/>
    <col min="2087" max="2089" width="10.5703125" bestFit="1" customWidth="1"/>
    <col min="2090" max="2090" width="9.42578125" bestFit="1" customWidth="1"/>
    <col min="2091" max="2092" width="11.140625" bestFit="1" customWidth="1"/>
    <col min="2093" max="2093" width="7.85546875" bestFit="1" customWidth="1"/>
    <col min="2094" max="2095" width="10.5703125" bestFit="1" customWidth="1"/>
    <col min="2096" max="2096" width="9" bestFit="1" customWidth="1"/>
    <col min="2097" max="2097" width="11.140625" bestFit="1" customWidth="1"/>
    <col min="2098" max="2098" width="9.42578125" bestFit="1" customWidth="1"/>
    <col min="2099" max="2099" width="11.140625" bestFit="1" customWidth="1"/>
    <col min="2100" max="2100" width="7.85546875" bestFit="1" customWidth="1"/>
    <col min="2101" max="2103" width="10.5703125" bestFit="1" customWidth="1"/>
    <col min="2104" max="2106" width="11.140625" bestFit="1" customWidth="1"/>
    <col min="2107" max="2107" width="7.85546875" bestFit="1" customWidth="1"/>
    <col min="2108" max="2110" width="10.5703125" bestFit="1" customWidth="1"/>
    <col min="2111" max="2112" width="11.140625" bestFit="1" customWidth="1"/>
    <col min="2113" max="2113" width="9.42578125" bestFit="1" customWidth="1"/>
    <col min="2114" max="2114" width="7.85546875" bestFit="1" customWidth="1"/>
    <col min="2115" max="2117" width="10.5703125" bestFit="1" customWidth="1"/>
    <col min="2118" max="2120" width="11.140625" bestFit="1" customWidth="1"/>
    <col min="2121" max="2121" width="7.85546875" bestFit="1" customWidth="1"/>
    <col min="2122" max="2124" width="10.5703125" bestFit="1" customWidth="1"/>
    <col min="2125" max="2127" width="11.140625" bestFit="1" customWidth="1"/>
    <col min="2128" max="2128" width="7.85546875" bestFit="1" customWidth="1"/>
    <col min="2129" max="2131" width="10.5703125" bestFit="1" customWidth="1"/>
    <col min="2132" max="2133" width="11.140625" bestFit="1" customWidth="1"/>
    <col min="2134" max="2134" width="7.85546875" bestFit="1" customWidth="1"/>
    <col min="2135" max="2136" width="10.5703125" bestFit="1" customWidth="1"/>
    <col min="2137" max="2137" width="9" bestFit="1" customWidth="1"/>
    <col min="2138" max="2138" width="9.42578125" bestFit="1" customWidth="1"/>
    <col min="2139" max="2140" width="11.140625" bestFit="1" customWidth="1"/>
    <col min="2141" max="2141" width="7.85546875" bestFit="1" customWidth="1"/>
    <col min="2142" max="2144" width="10.5703125" bestFit="1" customWidth="1"/>
    <col min="2145" max="2146" width="11.140625" bestFit="1" customWidth="1"/>
    <col min="2147" max="2147" width="7.85546875" bestFit="1" customWidth="1"/>
    <col min="2148" max="2150" width="10.5703125" bestFit="1" customWidth="1"/>
    <col min="2151" max="2151" width="11.140625" bestFit="1" customWidth="1"/>
    <col min="2152" max="2152" width="8.85546875" bestFit="1" customWidth="1"/>
    <col min="2153" max="2153" width="11.140625" bestFit="1" customWidth="1"/>
    <col min="2154" max="2154" width="7.85546875" bestFit="1" customWidth="1"/>
    <col min="2155" max="2155" width="10.5703125" bestFit="1" customWidth="1"/>
    <col min="2156" max="2156" width="9" bestFit="1" customWidth="1"/>
    <col min="2157" max="2157" width="10.5703125" bestFit="1" customWidth="1"/>
    <col min="2158" max="2160" width="11.140625" bestFit="1" customWidth="1"/>
    <col min="2161" max="2161" width="7.85546875" bestFit="1" customWidth="1"/>
    <col min="2162" max="2164" width="10.5703125" bestFit="1" customWidth="1"/>
    <col min="2165" max="2167" width="11.140625" bestFit="1" customWidth="1"/>
    <col min="2168" max="2168" width="7.85546875" bestFit="1" customWidth="1"/>
    <col min="2169" max="2171" width="10.5703125" bestFit="1" customWidth="1"/>
    <col min="2172" max="2172" width="11.140625" bestFit="1" customWidth="1"/>
    <col min="2173" max="2173" width="9.42578125" bestFit="1" customWidth="1"/>
    <col min="2174" max="2174" width="11.140625" bestFit="1" customWidth="1"/>
    <col min="2175" max="2175" width="7.85546875" bestFit="1" customWidth="1"/>
    <col min="2176" max="2178" width="10.5703125" bestFit="1" customWidth="1"/>
    <col min="2179" max="2180" width="11.140625" bestFit="1" customWidth="1"/>
    <col min="2181" max="2181" width="7.85546875" bestFit="1" customWidth="1"/>
    <col min="2182" max="2182" width="9" bestFit="1" customWidth="1"/>
    <col min="2183" max="2184" width="10.5703125" bestFit="1" customWidth="1"/>
    <col min="2185" max="2187" width="11.140625" bestFit="1" customWidth="1"/>
    <col min="2188" max="2188" width="7.85546875" bestFit="1" customWidth="1"/>
    <col min="2189" max="2189" width="10.5703125" bestFit="1" customWidth="1"/>
    <col min="2190" max="2190" width="9" bestFit="1" customWidth="1"/>
    <col min="2191" max="2191" width="10.5703125" bestFit="1" customWidth="1"/>
    <col min="2192" max="2194" width="11.140625" bestFit="1" customWidth="1"/>
    <col min="2195" max="2195" width="7.85546875" bestFit="1" customWidth="1"/>
    <col min="2196" max="2198" width="10.5703125" bestFit="1" customWidth="1"/>
    <col min="2199" max="2201" width="11.140625" bestFit="1" customWidth="1"/>
    <col min="2202" max="2202" width="7.85546875" bestFit="1" customWidth="1"/>
    <col min="2203" max="2203" width="9" bestFit="1" customWidth="1"/>
    <col min="2204" max="2205" width="10.5703125" bestFit="1" customWidth="1"/>
    <col min="2206" max="2206" width="11.140625" bestFit="1" customWidth="1"/>
    <col min="2207" max="2207" width="9.42578125" bestFit="1" customWidth="1"/>
    <col min="2208" max="2208" width="11.140625" bestFit="1" customWidth="1"/>
    <col min="2209" max="2209" width="7.85546875" bestFit="1" customWidth="1"/>
    <col min="2210" max="2212" width="10.5703125" bestFit="1" customWidth="1"/>
    <col min="2213" max="2214" width="11.140625" bestFit="1" customWidth="1"/>
    <col min="2215" max="2215" width="9.42578125" bestFit="1" customWidth="1"/>
    <col min="2216" max="2216" width="7.85546875" bestFit="1" customWidth="1"/>
    <col min="2217" max="2219" width="10.5703125" bestFit="1" customWidth="1"/>
    <col min="2220" max="2222" width="11.140625" bestFit="1" customWidth="1"/>
    <col min="2223" max="2223" width="7.85546875" bestFit="1" customWidth="1"/>
    <col min="2224" max="2224" width="10.5703125" bestFit="1" customWidth="1"/>
    <col min="2225" max="2225" width="9" bestFit="1" customWidth="1"/>
    <col min="2226" max="2226" width="10.5703125" bestFit="1" customWidth="1"/>
    <col min="2227" max="2229" width="11.140625" bestFit="1" customWidth="1"/>
    <col min="2230" max="2230" width="7.85546875" bestFit="1" customWidth="1"/>
    <col min="2231" max="2233" width="10.5703125" bestFit="1" customWidth="1"/>
    <col min="2234" max="2234" width="11.140625" bestFit="1" customWidth="1"/>
    <col min="2235" max="2235" width="9.42578125" bestFit="1" customWidth="1"/>
    <col min="2236" max="2236" width="11.140625" bestFit="1" customWidth="1"/>
    <col min="2237" max="2237" width="7.85546875" bestFit="1" customWidth="1"/>
    <col min="2238" max="2240" width="10.5703125" bestFit="1" customWidth="1"/>
    <col min="2241" max="2243" width="11.140625" bestFit="1" customWidth="1"/>
    <col min="2244" max="2244" width="7.85546875" bestFit="1" customWidth="1"/>
    <col min="2245" max="2247" width="10.5703125" bestFit="1" customWidth="1"/>
    <col min="2248" max="2250" width="11.140625" bestFit="1" customWidth="1"/>
    <col min="2251" max="2251" width="7.85546875" bestFit="1" customWidth="1"/>
    <col min="2252" max="2254" width="10.5703125" bestFit="1" customWidth="1"/>
    <col min="2255" max="2257" width="11.140625" bestFit="1" customWidth="1"/>
    <col min="2258" max="2258" width="7.85546875" bestFit="1" customWidth="1"/>
    <col min="2259" max="2261" width="10.5703125" bestFit="1" customWidth="1"/>
    <col min="2262" max="2264" width="11.140625" bestFit="1" customWidth="1"/>
    <col min="2265" max="2265" width="7.85546875" bestFit="1" customWidth="1"/>
    <col min="2266" max="2268" width="10.5703125" bestFit="1" customWidth="1"/>
    <col min="2269" max="2271" width="11.140625" bestFit="1" customWidth="1"/>
    <col min="2272" max="2272" width="7.85546875" bestFit="1" customWidth="1"/>
    <col min="2273" max="2275" width="10.5703125" bestFit="1" customWidth="1"/>
    <col min="2276" max="2278" width="11.140625" bestFit="1" customWidth="1"/>
    <col min="2279" max="2279" width="7.85546875" bestFit="1" customWidth="1"/>
    <col min="2280" max="2282" width="10.5703125" bestFit="1" customWidth="1"/>
    <col min="2283" max="2283" width="9.42578125" bestFit="1" customWidth="1"/>
    <col min="2284" max="2285" width="11.140625" bestFit="1" customWidth="1"/>
    <col min="2286" max="2286" width="7.85546875" bestFit="1" customWidth="1"/>
    <col min="2287" max="2289" width="10.5703125" bestFit="1" customWidth="1"/>
    <col min="2290" max="2292" width="11.140625" bestFit="1" customWidth="1"/>
    <col min="2293" max="2293" width="7.85546875" bestFit="1" customWidth="1"/>
    <col min="2294" max="2296" width="10.5703125" bestFit="1" customWidth="1"/>
    <col min="2297" max="2299" width="11.140625" bestFit="1" customWidth="1"/>
    <col min="2300" max="2300" width="7.85546875" bestFit="1" customWidth="1"/>
    <col min="2301" max="2303" width="10.5703125" bestFit="1" customWidth="1"/>
    <col min="2304" max="2306" width="11.140625" bestFit="1" customWidth="1"/>
    <col min="2307" max="2307" width="7.85546875" bestFit="1" customWidth="1"/>
    <col min="2308" max="2310" width="10.5703125" bestFit="1" customWidth="1"/>
    <col min="2311" max="2313" width="11.140625" bestFit="1" customWidth="1"/>
    <col min="2314" max="2314" width="7.85546875" bestFit="1" customWidth="1"/>
    <col min="2315" max="2316" width="10.5703125" bestFit="1" customWidth="1"/>
    <col min="2317" max="2317" width="9" bestFit="1" customWidth="1"/>
    <col min="2318" max="2320" width="11.140625" bestFit="1" customWidth="1"/>
    <col min="2321" max="2321" width="7.85546875" bestFit="1" customWidth="1"/>
    <col min="2322" max="2322" width="10.5703125" bestFit="1" customWidth="1"/>
    <col min="2323" max="2323" width="9" bestFit="1" customWidth="1"/>
    <col min="2324" max="2324" width="10.5703125" bestFit="1" customWidth="1"/>
    <col min="2325" max="2327" width="11.140625" bestFit="1" customWidth="1"/>
    <col min="2328" max="2328" width="7.85546875" bestFit="1" customWidth="1"/>
    <col min="2329" max="2331" width="10.5703125" bestFit="1" customWidth="1"/>
    <col min="2332" max="2334" width="11.140625" bestFit="1" customWidth="1"/>
    <col min="2335" max="2335" width="7.85546875" bestFit="1" customWidth="1"/>
    <col min="2336" max="2336" width="10.5703125" bestFit="1" customWidth="1"/>
    <col min="2337" max="2337" width="9" bestFit="1" customWidth="1"/>
    <col min="2338" max="2338" width="10.5703125" bestFit="1" customWidth="1"/>
    <col min="2339" max="2341" width="11.140625" bestFit="1" customWidth="1"/>
    <col min="2342" max="2342" width="7.85546875" bestFit="1" customWidth="1"/>
    <col min="2343" max="2345" width="10.5703125" bestFit="1" customWidth="1"/>
    <col min="2346" max="2348" width="11.140625" bestFit="1" customWidth="1"/>
    <col min="2349" max="2349" width="7.85546875" bestFit="1" customWidth="1"/>
    <col min="2350" max="2350" width="9" bestFit="1" customWidth="1"/>
    <col min="2351" max="2352" width="10.5703125" bestFit="1" customWidth="1"/>
    <col min="2353" max="2353" width="11.140625" bestFit="1" customWidth="1"/>
    <col min="2354" max="2354" width="9.42578125" bestFit="1" customWidth="1"/>
    <col min="2355" max="2355" width="11.140625" bestFit="1" customWidth="1"/>
    <col min="2356" max="2356" width="7.85546875" bestFit="1" customWidth="1"/>
    <col min="2357" max="2359" width="10.5703125" bestFit="1" customWidth="1"/>
    <col min="2360" max="2362" width="11.140625" bestFit="1" customWidth="1"/>
    <col min="2363" max="2363" width="7.85546875" bestFit="1" customWidth="1"/>
    <col min="2364" max="2364" width="9" bestFit="1" customWidth="1"/>
    <col min="2365" max="2366" width="10.5703125" bestFit="1" customWidth="1"/>
    <col min="2367" max="2367" width="9.42578125" bestFit="1" customWidth="1"/>
    <col min="2368" max="2369" width="11.140625" bestFit="1" customWidth="1"/>
    <col min="2370" max="2370" width="7.85546875" bestFit="1" customWidth="1"/>
    <col min="2371" max="2373" width="10.5703125" bestFit="1" customWidth="1"/>
    <col min="2374" max="2375" width="11.140625" bestFit="1" customWidth="1"/>
    <col min="2376" max="2376" width="7.85546875" bestFit="1" customWidth="1"/>
    <col min="2377" max="2377" width="10.5703125" bestFit="1" customWidth="1"/>
    <col min="2378" max="2378" width="9" bestFit="1" customWidth="1"/>
    <col min="2379" max="2379" width="10.5703125" bestFit="1" customWidth="1"/>
    <col min="2380" max="2380" width="9.42578125" bestFit="1" customWidth="1"/>
    <col min="2381" max="2382" width="11.140625" bestFit="1" customWidth="1"/>
    <col min="2383" max="2383" width="7.85546875" bestFit="1" customWidth="1"/>
    <col min="2384" max="2384" width="10.5703125" bestFit="1" customWidth="1"/>
    <col min="2385" max="2385" width="9" bestFit="1" customWidth="1"/>
    <col min="2386" max="2386" width="10.5703125" bestFit="1" customWidth="1"/>
    <col min="2387" max="2389" width="11.140625" bestFit="1" customWidth="1"/>
    <col min="2390" max="2390" width="7.85546875" bestFit="1" customWidth="1"/>
    <col min="2391" max="2393" width="10.5703125" bestFit="1" customWidth="1"/>
    <col min="2394" max="2395" width="11.140625" bestFit="1" customWidth="1"/>
    <col min="2396" max="2396" width="7.85546875" bestFit="1" customWidth="1"/>
    <col min="2397" max="2399" width="10.5703125" bestFit="1" customWidth="1"/>
    <col min="2400" max="2402" width="11.140625" bestFit="1" customWidth="1"/>
    <col min="2403" max="2403" width="7.85546875" bestFit="1" customWidth="1"/>
    <col min="2404" max="2406" width="10.5703125" bestFit="1" customWidth="1"/>
    <col min="2407" max="2408" width="11.140625" bestFit="1" customWidth="1"/>
    <col min="2409" max="2409" width="9.42578125" bestFit="1" customWidth="1"/>
    <col min="2410" max="2410" width="7.85546875" bestFit="1" customWidth="1"/>
    <col min="2411" max="2412" width="10.5703125" bestFit="1" customWidth="1"/>
    <col min="2413" max="2413" width="9" bestFit="1" customWidth="1"/>
    <col min="2414" max="2416" width="11.140625" bestFit="1" customWidth="1"/>
    <col min="2417" max="2417" width="7.85546875" bestFit="1" customWidth="1"/>
    <col min="2418" max="2419" width="10.5703125" bestFit="1" customWidth="1"/>
    <col min="2420" max="2420" width="9" bestFit="1" customWidth="1"/>
    <col min="2421" max="2423" width="11.140625" bestFit="1" customWidth="1"/>
    <col min="2424" max="2424" width="7.85546875" bestFit="1" customWidth="1"/>
    <col min="2425" max="2426" width="10.5703125" bestFit="1" customWidth="1"/>
    <col min="2427" max="2427" width="7.5703125" bestFit="1" customWidth="1"/>
    <col min="2428" max="2430" width="10.5703125" bestFit="1" customWidth="1"/>
    <col min="2431" max="2433" width="11.140625" bestFit="1" customWidth="1"/>
    <col min="2434" max="2434" width="7.85546875" bestFit="1" customWidth="1"/>
    <col min="2435" max="2435" width="6.140625" bestFit="1" customWidth="1"/>
    <col min="2436" max="2438" width="10.5703125" bestFit="1" customWidth="1"/>
    <col min="2439" max="2440" width="11.140625" bestFit="1" customWidth="1"/>
    <col min="2441" max="2441" width="7.85546875" bestFit="1" customWidth="1"/>
    <col min="2442" max="2444" width="10.5703125" bestFit="1" customWidth="1"/>
    <col min="2445" max="2447" width="11.140625" bestFit="1" customWidth="1"/>
    <col min="2448" max="2448" width="7.85546875" bestFit="1" customWidth="1"/>
    <col min="2449" max="2451" width="10.5703125" bestFit="1" customWidth="1"/>
    <col min="2452" max="2454" width="11.140625" bestFit="1" customWidth="1"/>
    <col min="2455" max="2455" width="5.7109375" bestFit="1" customWidth="1"/>
    <col min="2456" max="2458" width="8.7109375" bestFit="1" customWidth="1"/>
    <col min="2459" max="2461" width="8.85546875" bestFit="1" customWidth="1"/>
    <col min="2462" max="2463" width="11.7109375" bestFit="1" customWidth="1"/>
  </cols>
  <sheetData>
    <row r="2" spans="3:39">
      <c r="C2" s="19" t="s">
        <v>61</v>
      </c>
      <c r="D2" s="47" t="s">
        <v>152</v>
      </c>
      <c r="E2" s="19" t="s">
        <v>153</v>
      </c>
      <c r="F2" s="45" t="s">
        <v>154</v>
      </c>
      <c r="J2" s="33" t="s">
        <v>59</v>
      </c>
      <c r="K2" s="34" t="s">
        <v>60</v>
      </c>
      <c r="L2" s="34" t="s">
        <v>61</v>
      </c>
      <c r="M2" s="35" t="s">
        <v>23</v>
      </c>
      <c r="N2" s="35" t="s">
        <v>32</v>
      </c>
      <c r="O2" s="35" t="s">
        <v>34</v>
      </c>
      <c r="P2" s="35" t="s">
        <v>35</v>
      </c>
      <c r="Q2" s="35" t="s">
        <v>36</v>
      </c>
      <c r="R2" s="35" t="s">
        <v>39</v>
      </c>
      <c r="S2" s="35" t="s">
        <v>41</v>
      </c>
      <c r="T2" s="35" t="s">
        <v>42</v>
      </c>
      <c r="U2" s="35" t="s">
        <v>43</v>
      </c>
      <c r="V2" s="35" t="s">
        <v>44</v>
      </c>
      <c r="W2" s="35" t="s">
        <v>46</v>
      </c>
      <c r="X2" s="35" t="s">
        <v>45</v>
      </c>
      <c r="Y2" s="34" t="s">
        <v>83</v>
      </c>
      <c r="Z2" s="35" t="s">
        <v>50</v>
      </c>
      <c r="AA2" s="35" t="s">
        <v>24</v>
      </c>
      <c r="AB2" s="35" t="s">
        <v>33</v>
      </c>
      <c r="AC2" s="34" t="s">
        <v>84</v>
      </c>
      <c r="AD2" s="35" t="s">
        <v>25</v>
      </c>
      <c r="AE2" s="35" t="s">
        <v>26</v>
      </c>
      <c r="AF2" s="35" t="s">
        <v>49</v>
      </c>
      <c r="AG2" s="35" t="s">
        <v>27</v>
      </c>
      <c r="AH2" s="35" t="s">
        <v>28</v>
      </c>
      <c r="AI2" s="35" t="s">
        <v>30</v>
      </c>
      <c r="AJ2" s="35" t="s">
        <v>29</v>
      </c>
      <c r="AK2" s="35" t="s">
        <v>31</v>
      </c>
      <c r="AL2" s="35" t="s">
        <v>58</v>
      </c>
      <c r="AM2" s="36" t="s">
        <v>85</v>
      </c>
    </row>
    <row r="3" spans="3:39">
      <c r="C3" s="69">
        <v>43800</v>
      </c>
      <c r="D3" s="47"/>
      <c r="E3" s="19">
        <v>150.4</v>
      </c>
      <c r="F3" t="str">
        <f>IF(ROW()=6,"COVID onset",IF(ROW()&lt;6,"Before COVID","After COVID"))</f>
        <v>Before COVID</v>
      </c>
      <c r="J3" t="str" cm="1">
        <f t="array" aca="1" ref="J3:AM14" ca="1">_xlfn._xlws.FILTER(data!A2:'data'!AD373,(data!B2:'data'!B373=2020)*(data!A2:'data'!A373="rural+urban"))</f>
        <v>Rural+Urban</v>
      </c>
      <c r="K3">
        <f ca="1"/>
        <v>2020</v>
      </c>
      <c r="L3" t="str">
        <f ca="1"/>
        <v>January</v>
      </c>
      <c r="M3">
        <f ca="1"/>
        <v>144.30000000000001</v>
      </c>
      <c r="N3">
        <f ca="1"/>
        <v>167.4</v>
      </c>
      <c r="O3">
        <f ca="1"/>
        <v>154.9</v>
      </c>
      <c r="P3">
        <f ca="1"/>
        <v>150.1</v>
      </c>
      <c r="Q3">
        <f ca="1"/>
        <v>129.9</v>
      </c>
      <c r="R3">
        <f ca="1"/>
        <v>143.19999999999999</v>
      </c>
      <c r="S3">
        <f ca="1"/>
        <v>197</v>
      </c>
      <c r="T3">
        <f ca="1"/>
        <v>140.4</v>
      </c>
      <c r="U3">
        <f ca="1"/>
        <v>114.1</v>
      </c>
      <c r="V3">
        <f ca="1"/>
        <v>150.9</v>
      </c>
      <c r="W3">
        <f ca="1"/>
        <v>136.1</v>
      </c>
      <c r="X3">
        <f ca="1"/>
        <v>158.6</v>
      </c>
      <c r="Y3">
        <f ca="1"/>
        <v>153.5</v>
      </c>
      <c r="Z3">
        <f ca="1"/>
        <v>169.2</v>
      </c>
      <c r="AA3">
        <f ca="1"/>
        <v>150.5</v>
      </c>
      <c r="AB3">
        <f ca="1"/>
        <v>141.5</v>
      </c>
      <c r="AC3">
        <f ca="1"/>
        <v>149.19999999999999</v>
      </c>
      <c r="AD3">
        <f ca="1"/>
        <v>153.9</v>
      </c>
      <c r="AE3">
        <f ca="1"/>
        <v>144.6</v>
      </c>
      <c r="AF3">
        <f ca="1"/>
        <v>146.19999999999999</v>
      </c>
      <c r="AG3">
        <f ca="1"/>
        <v>151.19999999999999</v>
      </c>
      <c r="AH3">
        <f ca="1"/>
        <v>130.9</v>
      </c>
      <c r="AI3">
        <f ca="1"/>
        <v>142.80000000000001</v>
      </c>
      <c r="AJ3">
        <f ca="1"/>
        <v>156.1</v>
      </c>
      <c r="AK3">
        <f ca="1"/>
        <v>142.30000000000001</v>
      </c>
      <c r="AL3">
        <f ca="1"/>
        <v>143.4</v>
      </c>
      <c r="AM3">
        <f ca="1"/>
        <v>150.19999999999999</v>
      </c>
    </row>
    <row r="4" spans="3:39">
      <c r="C4" s="70">
        <v>43831</v>
      </c>
      <c r="D4" s="53">
        <f>((E4-E3)/E3)*100</f>
        <v>-0.13297872340426667</v>
      </c>
      <c r="E4">
        <v>150.19999999999999</v>
      </c>
      <c r="F4" t="str">
        <f t="shared" ref="F4:F15" si="0">IF(ROW()=6,"COVID onset",IF(ROW()&lt;6,"Before COVID","After COVID"))</f>
        <v>Before COVID</v>
      </c>
      <c r="J4" t="str">
        <f ca="1"/>
        <v>Rural+Urban</v>
      </c>
      <c r="K4">
        <f ca="1"/>
        <v>2020</v>
      </c>
      <c r="L4" t="str">
        <f ca="1"/>
        <v>February</v>
      </c>
      <c r="M4">
        <f ca="1"/>
        <v>144.80000000000001</v>
      </c>
      <c r="N4">
        <f ca="1"/>
        <v>167.5</v>
      </c>
      <c r="O4">
        <f ca="1"/>
        <v>151.80000000000001</v>
      </c>
      <c r="P4">
        <f ca="1"/>
        <v>150.80000000000001</v>
      </c>
      <c r="Q4">
        <f ca="1"/>
        <v>131.4</v>
      </c>
      <c r="R4">
        <f ca="1"/>
        <v>141.80000000000001</v>
      </c>
      <c r="S4">
        <f ca="1"/>
        <v>170.7</v>
      </c>
      <c r="T4">
        <f ca="1"/>
        <v>141.1</v>
      </c>
      <c r="U4">
        <f ca="1"/>
        <v>113.6</v>
      </c>
      <c r="V4">
        <f ca="1"/>
        <v>152</v>
      </c>
      <c r="W4">
        <f ca="1"/>
        <v>136.5</v>
      </c>
      <c r="X4">
        <f ca="1"/>
        <v>159.1</v>
      </c>
      <c r="Y4">
        <f ca="1"/>
        <v>150.5</v>
      </c>
      <c r="Z4">
        <f ca="1"/>
        <v>170.1</v>
      </c>
      <c r="AA4">
        <f ca="1"/>
        <v>150.80000000000001</v>
      </c>
      <c r="AB4">
        <f ca="1"/>
        <v>141.69999999999999</v>
      </c>
      <c r="AC4">
        <f ca="1"/>
        <v>149.5</v>
      </c>
      <c r="AD4">
        <f ca="1"/>
        <v>154.80000000000001</v>
      </c>
      <c r="AE4">
        <f ca="1"/>
        <v>147.19999999999999</v>
      </c>
      <c r="AF4">
        <f ca="1"/>
        <v>146.4</v>
      </c>
      <c r="AG4">
        <f ca="1"/>
        <v>151.69999999999999</v>
      </c>
      <c r="AH4">
        <f ca="1"/>
        <v>130.30000000000001</v>
      </c>
      <c r="AI4">
        <f ca="1"/>
        <v>143.19999999999999</v>
      </c>
      <c r="AJ4">
        <f ca="1"/>
        <v>156.19999999999999</v>
      </c>
      <c r="AK4">
        <f ca="1"/>
        <v>143.4</v>
      </c>
      <c r="AL4">
        <f ca="1"/>
        <v>143.6</v>
      </c>
      <c r="AM4">
        <f ca="1"/>
        <v>149.1</v>
      </c>
    </row>
    <row r="5" spans="3:39">
      <c r="C5" s="70">
        <v>43862</v>
      </c>
      <c r="D5" s="53">
        <f>((E5-E4)/E4)*100</f>
        <v>-0.73235685752329849</v>
      </c>
      <c r="E5">
        <v>149.1</v>
      </c>
      <c r="F5" t="str">
        <f t="shared" si="0"/>
        <v>Before COVID</v>
      </c>
      <c r="J5" t="str">
        <f ca="1"/>
        <v>Rural+Urban</v>
      </c>
      <c r="K5">
        <f ca="1"/>
        <v>2020</v>
      </c>
      <c r="L5" t="str">
        <f ca="1"/>
        <v>March</v>
      </c>
      <c r="M5">
        <f ca="1"/>
        <v>145.1</v>
      </c>
      <c r="N5">
        <f ca="1"/>
        <v>167</v>
      </c>
      <c r="O5">
        <f ca="1"/>
        <v>148.1</v>
      </c>
      <c r="P5">
        <f ca="1"/>
        <v>151.5</v>
      </c>
      <c r="Q5">
        <f ca="1"/>
        <v>131.19999999999999</v>
      </c>
      <c r="R5">
        <f ca="1"/>
        <v>142.5</v>
      </c>
      <c r="S5">
        <f ca="1"/>
        <v>157.30000000000001</v>
      </c>
      <c r="T5">
        <f ca="1"/>
        <v>141.1</v>
      </c>
      <c r="U5">
        <f ca="1"/>
        <v>113.2</v>
      </c>
      <c r="V5">
        <f ca="1"/>
        <v>153.19999999999999</v>
      </c>
      <c r="W5">
        <f ca="1"/>
        <v>136.69999999999999</v>
      </c>
      <c r="X5">
        <f ca="1"/>
        <v>159.6</v>
      </c>
      <c r="Y5">
        <f ca="1"/>
        <v>148.9</v>
      </c>
      <c r="Z5">
        <f ca="1"/>
        <v>171.2</v>
      </c>
      <c r="AA5">
        <f ca="1"/>
        <v>151.19999999999999</v>
      </c>
      <c r="AB5">
        <f ca="1"/>
        <v>141.9</v>
      </c>
      <c r="AC5">
        <f ca="1"/>
        <v>149.80000000000001</v>
      </c>
      <c r="AD5">
        <f ca="1"/>
        <v>154.5</v>
      </c>
      <c r="AE5">
        <f ca="1"/>
        <v>148.9</v>
      </c>
      <c r="AF5">
        <f ca="1"/>
        <v>146.4</v>
      </c>
      <c r="AG5">
        <f ca="1"/>
        <v>152.30000000000001</v>
      </c>
      <c r="AH5">
        <f ca="1"/>
        <v>129.9</v>
      </c>
      <c r="AI5">
        <f ca="1"/>
        <v>143.69999999999999</v>
      </c>
      <c r="AJ5">
        <f ca="1"/>
        <v>156.1</v>
      </c>
      <c r="AK5">
        <f ca="1"/>
        <v>145.19999999999999</v>
      </c>
      <c r="AL5">
        <f ca="1"/>
        <v>143.80000000000001</v>
      </c>
      <c r="AM5">
        <f ca="1"/>
        <v>148.6</v>
      </c>
    </row>
    <row r="6" spans="3:39">
      <c r="C6" s="70">
        <v>43891</v>
      </c>
      <c r="D6" s="53">
        <f>((E6-E5)/E5)*100</f>
        <v>-0.33534540576794097</v>
      </c>
      <c r="E6">
        <v>148.6</v>
      </c>
      <c r="F6" t="str">
        <f t="shared" si="0"/>
        <v>COVID onset</v>
      </c>
      <c r="J6" t="str">
        <f ca="1"/>
        <v>Rural+Urban</v>
      </c>
      <c r="K6">
        <f ca="1"/>
        <v>2020</v>
      </c>
      <c r="L6" t="str">
        <f ca="1"/>
        <v>April</v>
      </c>
      <c r="M6">
        <f ca="1"/>
        <v>148.69999999999999</v>
      </c>
      <c r="N6">
        <f ca="1"/>
        <v>175.56666666666666</v>
      </c>
      <c r="O6">
        <f ca="1"/>
        <v>148.80000000000001</v>
      </c>
      <c r="P6">
        <f ca="1"/>
        <v>155.6</v>
      </c>
      <c r="Q6">
        <f ca="1"/>
        <v>135.1</v>
      </c>
      <c r="R6">
        <f ca="1"/>
        <v>149.9</v>
      </c>
      <c r="S6">
        <f ca="1"/>
        <v>168.6</v>
      </c>
      <c r="T6">
        <f ca="1"/>
        <v>150.4</v>
      </c>
      <c r="U6">
        <f ca="1"/>
        <v>120.3</v>
      </c>
      <c r="V6">
        <f ca="1"/>
        <v>157.1</v>
      </c>
      <c r="W6">
        <f ca="1"/>
        <v>136.80000000000001</v>
      </c>
      <c r="X6">
        <f ca="1"/>
        <v>160.33333333333334</v>
      </c>
      <c r="Y6">
        <f ca="1"/>
        <v>151.4</v>
      </c>
      <c r="Z6">
        <f ca="1"/>
        <v>175.29999999999998</v>
      </c>
      <c r="AA6">
        <f ca="1"/>
        <v>151.63333333333333</v>
      </c>
      <c r="AB6">
        <f ca="1"/>
        <v>142.73333333333335</v>
      </c>
      <c r="AC6">
        <f ca="1"/>
        <v>150.33333333333334</v>
      </c>
      <c r="AD6">
        <f ca="1"/>
        <v>155.6</v>
      </c>
      <c r="AE6">
        <f ca="1"/>
        <v>144.1</v>
      </c>
      <c r="AF6">
        <f ca="1"/>
        <v>146.4</v>
      </c>
      <c r="AG6">
        <f ca="1"/>
        <v>150.69999999999999</v>
      </c>
      <c r="AH6">
        <f ca="1"/>
        <v>131.6</v>
      </c>
      <c r="AI6">
        <f ca="1"/>
        <v>145.23333333333332</v>
      </c>
      <c r="AJ6">
        <f ca="1"/>
        <v>156.19999999999999</v>
      </c>
      <c r="AK6">
        <f ca="1"/>
        <v>147.33333333333331</v>
      </c>
      <c r="AL6">
        <f ca="1"/>
        <v>144.86666666666667</v>
      </c>
      <c r="AM6" s="43">
        <f ca="1"/>
        <v>149.66666666666666</v>
      </c>
    </row>
    <row r="7" spans="3:39">
      <c r="C7" s="70">
        <v>43922</v>
      </c>
      <c r="D7" s="53">
        <f>((E7-E6)/E6)*100</f>
        <v>0.71781067743382432</v>
      </c>
      <c r="E7" s="43">
        <v>149.66666666666666</v>
      </c>
      <c r="F7" t="str">
        <f t="shared" si="0"/>
        <v>After COVID</v>
      </c>
      <c r="J7" t="str">
        <f ca="1"/>
        <v>Rural+Urban</v>
      </c>
      <c r="K7">
        <f ca="1"/>
        <v>2020</v>
      </c>
      <c r="L7" t="str">
        <f ca="1"/>
        <v>May</v>
      </c>
      <c r="M7">
        <f ca="1"/>
        <v>149.14999999999998</v>
      </c>
      <c r="N7">
        <f ca="1"/>
        <v>184.13333333333333</v>
      </c>
      <c r="O7">
        <f ca="1"/>
        <v>150.10000000000002</v>
      </c>
      <c r="P7">
        <f ca="1"/>
        <v>154.44999999999999</v>
      </c>
      <c r="Q7">
        <f ca="1"/>
        <v>135.69999999999999</v>
      </c>
      <c r="R7">
        <f ca="1"/>
        <v>148.55000000000001</v>
      </c>
      <c r="S7">
        <f ca="1"/>
        <v>162.55000000000001</v>
      </c>
      <c r="T7">
        <f ca="1"/>
        <v>150.65</v>
      </c>
      <c r="U7">
        <f ca="1"/>
        <v>117.25</v>
      </c>
      <c r="V7">
        <f ca="1"/>
        <v>158.30000000000001</v>
      </c>
      <c r="W7">
        <f ca="1"/>
        <v>138.10000000000002</v>
      </c>
      <c r="X7">
        <f ca="1"/>
        <v>161.06666666666666</v>
      </c>
      <c r="Y7">
        <f ca="1"/>
        <v>152.69999999999999</v>
      </c>
      <c r="Z7">
        <f ca="1"/>
        <v>179.4</v>
      </c>
      <c r="AA7">
        <f ca="1"/>
        <v>152.06666666666666</v>
      </c>
      <c r="AB7">
        <f ca="1"/>
        <v>143.56666666666666</v>
      </c>
      <c r="AC7">
        <f ca="1"/>
        <v>150.86666666666667</v>
      </c>
      <c r="AD7">
        <f ca="1"/>
        <v>155.29999999999998</v>
      </c>
      <c r="AE7">
        <f ca="1"/>
        <v>143</v>
      </c>
      <c r="AF7">
        <f ca="1"/>
        <v>146.4</v>
      </c>
      <c r="AG7">
        <f ca="1"/>
        <v>152.55000000000001</v>
      </c>
      <c r="AH7">
        <f ca="1"/>
        <v>133.30000000000001</v>
      </c>
      <c r="AI7">
        <f ca="1"/>
        <v>146.76666666666668</v>
      </c>
      <c r="AJ7">
        <f ca="1"/>
        <v>156.30000000000001</v>
      </c>
      <c r="AK7">
        <f ca="1"/>
        <v>149.46666666666667</v>
      </c>
      <c r="AL7">
        <f ca="1"/>
        <v>145.93333333333334</v>
      </c>
      <c r="AM7" s="43">
        <f ca="1"/>
        <v>150.73333333333335</v>
      </c>
    </row>
    <row r="8" spans="3:39">
      <c r="C8" s="70">
        <v>43952</v>
      </c>
      <c r="D8" s="53">
        <f>((E8-E7)/E7)*100</f>
        <v>0.71269487750558447</v>
      </c>
      <c r="E8" s="43">
        <v>150.73333333333335</v>
      </c>
      <c r="F8" t="str">
        <f t="shared" si="0"/>
        <v>After COVID</v>
      </c>
      <c r="J8" t="str">
        <f ca="1"/>
        <v>Rural+Urban</v>
      </c>
      <c r="K8">
        <f ca="1"/>
        <v>2020</v>
      </c>
      <c r="L8" t="str">
        <f ca="1"/>
        <v>June</v>
      </c>
      <c r="M8">
        <f ca="1"/>
        <v>149.6</v>
      </c>
      <c r="N8">
        <f ca="1"/>
        <v>192.7</v>
      </c>
      <c r="O8">
        <f ca="1"/>
        <v>151.4</v>
      </c>
      <c r="P8">
        <f ca="1"/>
        <v>153.30000000000001</v>
      </c>
      <c r="Q8">
        <f ca="1"/>
        <v>136.30000000000001</v>
      </c>
      <c r="R8">
        <f ca="1"/>
        <v>147.19999999999999</v>
      </c>
      <c r="S8">
        <f ca="1"/>
        <v>156.5</v>
      </c>
      <c r="T8">
        <f ca="1"/>
        <v>150.9</v>
      </c>
      <c r="U8">
        <f ca="1"/>
        <v>114.2</v>
      </c>
      <c r="V8">
        <f ca="1"/>
        <v>159.5</v>
      </c>
      <c r="W8">
        <f ca="1"/>
        <v>139.4</v>
      </c>
      <c r="X8">
        <f ca="1"/>
        <v>161.80000000000001</v>
      </c>
      <c r="Y8">
        <f ca="1"/>
        <v>154</v>
      </c>
      <c r="Z8">
        <f ca="1"/>
        <v>183.5</v>
      </c>
      <c r="AA8">
        <f ca="1"/>
        <v>152.5</v>
      </c>
      <c r="AB8">
        <f ca="1"/>
        <v>144.4</v>
      </c>
      <c r="AC8">
        <f ca="1"/>
        <v>151.4</v>
      </c>
      <c r="AD8">
        <f ca="1"/>
        <v>154.69999999999999</v>
      </c>
      <c r="AE8">
        <f ca="1"/>
        <v>141.9</v>
      </c>
      <c r="AF8">
        <f ca="1"/>
        <v>146.4</v>
      </c>
      <c r="AG8">
        <f ca="1"/>
        <v>154.4</v>
      </c>
      <c r="AH8">
        <f ca="1"/>
        <v>135</v>
      </c>
      <c r="AI8">
        <f ca="1"/>
        <v>148.30000000000001</v>
      </c>
      <c r="AJ8">
        <f ca="1"/>
        <v>156.4</v>
      </c>
      <c r="AK8">
        <f ca="1"/>
        <v>151.6</v>
      </c>
      <c r="AL8">
        <f ca="1"/>
        <v>147</v>
      </c>
      <c r="AM8">
        <f ca="1"/>
        <v>151.80000000000001</v>
      </c>
    </row>
    <row r="9" spans="3:39">
      <c r="C9" s="70">
        <v>43983</v>
      </c>
      <c r="D9" s="53">
        <f>((E9-E8)/E8)*100</f>
        <v>0.70765148164528713</v>
      </c>
      <c r="E9">
        <v>151.80000000000001</v>
      </c>
      <c r="F9" t="str">
        <f t="shared" si="0"/>
        <v>After COVID</v>
      </c>
      <c r="J9" t="str">
        <f ca="1"/>
        <v>Rural+Urban</v>
      </c>
      <c r="K9">
        <f ca="1"/>
        <v>2020</v>
      </c>
      <c r="L9" t="str">
        <f ca="1"/>
        <v>July</v>
      </c>
      <c r="M9">
        <f ca="1"/>
        <v>149.6</v>
      </c>
      <c r="N9">
        <f ca="1"/>
        <v>192.7</v>
      </c>
      <c r="O9">
        <f ca="1"/>
        <v>151.4</v>
      </c>
      <c r="P9">
        <f ca="1"/>
        <v>153.30000000000001</v>
      </c>
      <c r="Q9">
        <f ca="1"/>
        <v>136.30000000000001</v>
      </c>
      <c r="R9">
        <f ca="1"/>
        <v>147.19999999999999</v>
      </c>
      <c r="S9">
        <f ca="1"/>
        <v>156.5</v>
      </c>
      <c r="T9">
        <f ca="1"/>
        <v>150.9</v>
      </c>
      <c r="U9">
        <f ca="1"/>
        <v>114.2</v>
      </c>
      <c r="V9">
        <f ca="1"/>
        <v>159.5</v>
      </c>
      <c r="W9">
        <f ca="1"/>
        <v>139.4</v>
      </c>
      <c r="X9">
        <f ca="1"/>
        <v>161.80000000000001</v>
      </c>
      <c r="Y9">
        <f ca="1"/>
        <v>154</v>
      </c>
      <c r="Z9">
        <f ca="1"/>
        <v>183.5</v>
      </c>
      <c r="AA9">
        <f ca="1"/>
        <v>152.5</v>
      </c>
      <c r="AB9">
        <f ca="1"/>
        <v>144.4</v>
      </c>
      <c r="AC9">
        <f ca="1"/>
        <v>151.4</v>
      </c>
      <c r="AD9">
        <f ca="1"/>
        <v>154.69999999999999</v>
      </c>
      <c r="AE9">
        <f ca="1"/>
        <v>141.9</v>
      </c>
      <c r="AF9">
        <f ca="1"/>
        <v>146.4</v>
      </c>
      <c r="AG9">
        <f ca="1"/>
        <v>154.4</v>
      </c>
      <c r="AH9">
        <f ca="1"/>
        <v>135</v>
      </c>
      <c r="AI9">
        <f ca="1"/>
        <v>148.30000000000001</v>
      </c>
      <c r="AJ9">
        <f ca="1"/>
        <v>156.4</v>
      </c>
      <c r="AK9">
        <f ca="1"/>
        <v>151.6</v>
      </c>
      <c r="AL9">
        <f ca="1"/>
        <v>147</v>
      </c>
      <c r="AM9">
        <f ca="1"/>
        <v>151.80000000000001</v>
      </c>
    </row>
    <row r="10" spans="3:39">
      <c r="C10" s="70">
        <v>44013</v>
      </c>
      <c r="D10" s="53">
        <f>((E10-E9)/E9)*100</f>
        <v>0</v>
      </c>
      <c r="E10">
        <v>151.80000000000001</v>
      </c>
      <c r="F10" t="str">
        <f t="shared" si="0"/>
        <v>After COVID</v>
      </c>
      <c r="J10" t="str">
        <f ca="1"/>
        <v>Rural+Urban</v>
      </c>
      <c r="K10">
        <f ca="1"/>
        <v>2020</v>
      </c>
      <c r="L10" t="str">
        <f ca="1"/>
        <v>August</v>
      </c>
      <c r="M10">
        <f ca="1"/>
        <v>148.9</v>
      </c>
      <c r="N10">
        <f ca="1"/>
        <v>190.9</v>
      </c>
      <c r="O10">
        <f ca="1"/>
        <v>150.80000000000001</v>
      </c>
      <c r="P10">
        <f ca="1"/>
        <v>153.30000000000001</v>
      </c>
      <c r="Q10">
        <f ca="1"/>
        <v>137.4</v>
      </c>
      <c r="R10">
        <f ca="1"/>
        <v>150.4</v>
      </c>
      <c r="S10">
        <f ca="1"/>
        <v>178.1</v>
      </c>
      <c r="T10">
        <f ca="1"/>
        <v>150.4</v>
      </c>
      <c r="U10">
        <f ca="1"/>
        <v>115.1</v>
      </c>
      <c r="V10">
        <f ca="1"/>
        <v>160</v>
      </c>
      <c r="W10">
        <f ca="1"/>
        <v>140.6</v>
      </c>
      <c r="X10">
        <f ca="1"/>
        <v>162.30000000000001</v>
      </c>
      <c r="Y10">
        <f ca="1"/>
        <v>157</v>
      </c>
      <c r="Z10">
        <f ca="1"/>
        <v>182.6</v>
      </c>
      <c r="AA10">
        <f ca="1"/>
        <v>153.1</v>
      </c>
      <c r="AB10">
        <f ca="1"/>
        <v>143.4</v>
      </c>
      <c r="AC10">
        <f ca="1"/>
        <v>151.69999999999999</v>
      </c>
      <c r="AD10">
        <f ca="1"/>
        <v>155.5</v>
      </c>
      <c r="AE10">
        <f ca="1"/>
        <v>143</v>
      </c>
      <c r="AF10">
        <f ca="1"/>
        <v>148.4</v>
      </c>
      <c r="AG10">
        <f ca="1"/>
        <v>155</v>
      </c>
      <c r="AH10">
        <f ca="1"/>
        <v>138.5</v>
      </c>
      <c r="AI10">
        <f ca="1"/>
        <v>146</v>
      </c>
      <c r="AJ10">
        <f ca="1"/>
        <v>158.5</v>
      </c>
      <c r="AK10">
        <f ca="1"/>
        <v>154.30000000000001</v>
      </c>
      <c r="AL10">
        <f ca="1"/>
        <v>149</v>
      </c>
      <c r="AM10">
        <f ca="1"/>
        <v>153.9</v>
      </c>
    </row>
    <row r="11" spans="3:39">
      <c r="C11" s="70">
        <v>44044</v>
      </c>
      <c r="D11" s="53">
        <f>((E11-E10)/E10)*100</f>
        <v>1.3833992094861622</v>
      </c>
      <c r="E11">
        <v>153.9</v>
      </c>
      <c r="F11" t="str">
        <f t="shared" si="0"/>
        <v>After COVID</v>
      </c>
      <c r="J11" t="str">
        <f ca="1"/>
        <v>Rural+Urban</v>
      </c>
      <c r="K11">
        <f ca="1"/>
        <v>2020</v>
      </c>
      <c r="L11" t="str">
        <f ca="1"/>
        <v>September</v>
      </c>
      <c r="M11">
        <f ca="1"/>
        <v>148.4</v>
      </c>
      <c r="N11">
        <f ca="1"/>
        <v>187.1</v>
      </c>
      <c r="O11">
        <f ca="1"/>
        <v>152.5</v>
      </c>
      <c r="P11">
        <f ca="1"/>
        <v>153.6</v>
      </c>
      <c r="Q11">
        <f ca="1"/>
        <v>138.19999999999999</v>
      </c>
      <c r="R11">
        <f ca="1"/>
        <v>150.9</v>
      </c>
      <c r="S11">
        <f ca="1"/>
        <v>186.7</v>
      </c>
      <c r="T11">
        <f ca="1"/>
        <v>149.80000000000001</v>
      </c>
      <c r="U11">
        <f ca="1"/>
        <v>116.4</v>
      </c>
      <c r="V11">
        <f ca="1"/>
        <v>160.30000000000001</v>
      </c>
      <c r="W11">
        <f ca="1"/>
        <v>142.19999999999999</v>
      </c>
      <c r="X11">
        <f ca="1"/>
        <v>162.9</v>
      </c>
      <c r="Y11">
        <f ca="1"/>
        <v>158</v>
      </c>
      <c r="Z11">
        <f ca="1"/>
        <v>184.4</v>
      </c>
      <c r="AA11">
        <f ca="1"/>
        <v>153.4</v>
      </c>
      <c r="AB11">
        <f ca="1"/>
        <v>144.30000000000001</v>
      </c>
      <c r="AC11">
        <f ca="1"/>
        <v>152</v>
      </c>
      <c r="AD11">
        <f ca="1"/>
        <v>156.30000000000001</v>
      </c>
      <c r="AE11">
        <f ca="1"/>
        <v>142.9</v>
      </c>
      <c r="AF11">
        <f ca="1"/>
        <v>148.69999999999999</v>
      </c>
      <c r="AG11">
        <f ca="1"/>
        <v>155.6</v>
      </c>
      <c r="AH11">
        <f ca="1"/>
        <v>139.6</v>
      </c>
      <c r="AI11">
        <f ca="1"/>
        <v>146.6</v>
      </c>
      <c r="AJ11">
        <f ca="1"/>
        <v>157.5</v>
      </c>
      <c r="AK11">
        <f ca="1"/>
        <v>158.4</v>
      </c>
      <c r="AL11">
        <f ca="1"/>
        <v>150</v>
      </c>
      <c r="AM11">
        <f ca="1"/>
        <v>154.69999999999999</v>
      </c>
    </row>
    <row r="12" spans="3:39">
      <c r="C12" s="70">
        <v>44075</v>
      </c>
      <c r="D12" s="53">
        <f>((E12-E11)/E11)*100</f>
        <v>0.51981806367770167</v>
      </c>
      <c r="E12">
        <v>154.69999999999999</v>
      </c>
      <c r="F12" t="str">
        <f t="shared" si="0"/>
        <v>After COVID</v>
      </c>
      <c r="J12" t="str">
        <f ca="1"/>
        <v>Rural+Urban</v>
      </c>
      <c r="K12">
        <f ca="1"/>
        <v>2020</v>
      </c>
      <c r="L12" t="str">
        <f ca="1"/>
        <v>October</v>
      </c>
      <c r="M12">
        <f ca="1"/>
        <v>147.5</v>
      </c>
      <c r="N12">
        <f ca="1"/>
        <v>188.9</v>
      </c>
      <c r="O12">
        <f ca="1"/>
        <v>161.4</v>
      </c>
      <c r="P12">
        <f ca="1"/>
        <v>153.6</v>
      </c>
      <c r="Q12">
        <f ca="1"/>
        <v>140.1</v>
      </c>
      <c r="R12">
        <f ca="1"/>
        <v>151.19999999999999</v>
      </c>
      <c r="S12">
        <f ca="1"/>
        <v>209.2</v>
      </c>
      <c r="T12">
        <f ca="1"/>
        <v>150.9</v>
      </c>
      <c r="U12">
        <f ca="1"/>
        <v>116.2</v>
      </c>
      <c r="V12">
        <f ca="1"/>
        <v>161</v>
      </c>
      <c r="W12">
        <f ca="1"/>
        <v>144</v>
      </c>
      <c r="X12">
        <f ca="1"/>
        <v>163.19999999999999</v>
      </c>
      <c r="Y12">
        <f ca="1"/>
        <v>161.4</v>
      </c>
      <c r="Z12">
        <f ca="1"/>
        <v>184.3</v>
      </c>
      <c r="AA12">
        <f ca="1"/>
        <v>153.69999999999999</v>
      </c>
      <c r="AB12">
        <f ca="1"/>
        <v>144.6</v>
      </c>
      <c r="AC12">
        <f ca="1"/>
        <v>152.30000000000001</v>
      </c>
      <c r="AD12">
        <f ca="1"/>
        <v>156.5</v>
      </c>
      <c r="AE12">
        <f ca="1"/>
        <v>143.1</v>
      </c>
      <c r="AF12">
        <f ca="1"/>
        <v>148.69999999999999</v>
      </c>
      <c r="AG12">
        <f ca="1"/>
        <v>156.30000000000001</v>
      </c>
      <c r="AH12">
        <f ca="1"/>
        <v>140.6</v>
      </c>
      <c r="AI12">
        <f ca="1"/>
        <v>146.5</v>
      </c>
      <c r="AJ12">
        <f ca="1"/>
        <v>158.5</v>
      </c>
      <c r="AK12">
        <f ca="1"/>
        <v>157</v>
      </c>
      <c r="AL12">
        <f ca="1"/>
        <v>150.4</v>
      </c>
      <c r="AM12">
        <f ca="1"/>
        <v>156.4</v>
      </c>
    </row>
    <row r="13" spans="3:39">
      <c r="C13" s="70">
        <v>44105</v>
      </c>
      <c r="D13" s="53">
        <f>((E13-E12)/E12)*100</f>
        <v>1.0989010989011101</v>
      </c>
      <c r="E13">
        <v>156.4</v>
      </c>
      <c r="F13" t="str">
        <f t="shared" si="0"/>
        <v>After COVID</v>
      </c>
      <c r="J13" t="str">
        <f ca="1"/>
        <v>Rural+Urban</v>
      </c>
      <c r="K13">
        <f ca="1"/>
        <v>2020</v>
      </c>
      <c r="L13" t="str">
        <f ca="1"/>
        <v>November</v>
      </c>
      <c r="M13">
        <f ca="1"/>
        <v>146.80000000000001</v>
      </c>
      <c r="N13">
        <f ca="1"/>
        <v>191</v>
      </c>
      <c r="O13">
        <f ca="1"/>
        <v>173.6</v>
      </c>
      <c r="P13">
        <f ca="1"/>
        <v>153.80000000000001</v>
      </c>
      <c r="Q13">
        <f ca="1"/>
        <v>142.69999999999999</v>
      </c>
      <c r="R13">
        <f ca="1"/>
        <v>148.4</v>
      </c>
      <c r="S13">
        <f ca="1"/>
        <v>230</v>
      </c>
      <c r="T13">
        <f ca="1"/>
        <v>156.80000000000001</v>
      </c>
      <c r="U13">
        <f ca="1"/>
        <v>115.7</v>
      </c>
      <c r="V13">
        <f ca="1"/>
        <v>161.80000000000001</v>
      </c>
      <c r="W13">
        <f ca="1"/>
        <v>146.5</v>
      </c>
      <c r="X13">
        <f ca="1"/>
        <v>163.80000000000001</v>
      </c>
      <c r="Y13">
        <f ca="1"/>
        <v>164.7</v>
      </c>
      <c r="Z13">
        <f ca="1"/>
        <v>184.8</v>
      </c>
      <c r="AA13">
        <f ca="1"/>
        <v>154.30000000000001</v>
      </c>
      <c r="AB13">
        <f ca="1"/>
        <v>144.9</v>
      </c>
      <c r="AC13">
        <f ca="1"/>
        <v>152.80000000000001</v>
      </c>
      <c r="AD13">
        <f ca="1"/>
        <v>158</v>
      </c>
      <c r="AE13">
        <f ca="1"/>
        <v>143.6</v>
      </c>
      <c r="AF13">
        <f ca="1"/>
        <v>149.19999999999999</v>
      </c>
      <c r="AG13">
        <f ca="1"/>
        <v>157.19999999999999</v>
      </c>
      <c r="AH13">
        <f ca="1"/>
        <v>140.4</v>
      </c>
      <c r="AI13">
        <f ca="1"/>
        <v>148.4</v>
      </c>
      <c r="AJ13">
        <f ca="1"/>
        <v>158.6</v>
      </c>
      <c r="AK13">
        <f ca="1"/>
        <v>156.9</v>
      </c>
      <c r="AL13">
        <f ca="1"/>
        <v>150.69999999999999</v>
      </c>
      <c r="AM13">
        <f ca="1"/>
        <v>158.4</v>
      </c>
    </row>
    <row r="14" spans="3:39">
      <c r="C14" s="70">
        <v>44136</v>
      </c>
      <c r="D14" s="53">
        <f>((E14-E13)/E13)*100</f>
        <v>1.2787723785166241</v>
      </c>
      <c r="E14">
        <v>158.4</v>
      </c>
      <c r="F14" t="str">
        <f t="shared" si="0"/>
        <v>After COVID</v>
      </c>
      <c r="J14" t="str">
        <f ca="1"/>
        <v>Rural+Urban</v>
      </c>
      <c r="K14">
        <f ca="1"/>
        <v>2020</v>
      </c>
      <c r="L14" t="str">
        <f ca="1"/>
        <v>December</v>
      </c>
      <c r="M14">
        <f ca="1"/>
        <v>146</v>
      </c>
      <c r="N14">
        <f ca="1"/>
        <v>191</v>
      </c>
      <c r="O14">
        <f ca="1"/>
        <v>175.3</v>
      </c>
      <c r="P14">
        <f ca="1"/>
        <v>154.1</v>
      </c>
      <c r="Q14">
        <f ca="1"/>
        <v>146.6</v>
      </c>
      <c r="R14">
        <f ca="1"/>
        <v>147.69999999999999</v>
      </c>
      <c r="S14">
        <f ca="1"/>
        <v>230.5</v>
      </c>
      <c r="T14">
        <f ca="1"/>
        <v>160.19999999999999</v>
      </c>
      <c r="U14">
        <f ca="1"/>
        <v>115.3</v>
      </c>
      <c r="V14">
        <f ca="1"/>
        <v>163</v>
      </c>
      <c r="W14">
        <f ca="1"/>
        <v>149.19999999999999</v>
      </c>
      <c r="X14">
        <f ca="1"/>
        <v>164.8</v>
      </c>
      <c r="Y14">
        <f ca="1"/>
        <v>165.4</v>
      </c>
      <c r="Z14">
        <f ca="1"/>
        <v>185.4</v>
      </c>
      <c r="AA14">
        <f ca="1"/>
        <v>155</v>
      </c>
      <c r="AB14">
        <f ca="1"/>
        <v>145.4</v>
      </c>
      <c r="AC14">
        <f ca="1"/>
        <v>153.6</v>
      </c>
      <c r="AD14">
        <f ca="1"/>
        <v>158.4</v>
      </c>
      <c r="AE14">
        <f ca="1"/>
        <v>144.6</v>
      </c>
      <c r="AF14">
        <f ca="1"/>
        <v>149.69999999999999</v>
      </c>
      <c r="AG14">
        <f ca="1"/>
        <v>158.30000000000001</v>
      </c>
      <c r="AH14">
        <f ca="1"/>
        <v>140.69999999999999</v>
      </c>
      <c r="AI14">
        <f ca="1"/>
        <v>148.5</v>
      </c>
      <c r="AJ14">
        <f ca="1"/>
        <v>159.4</v>
      </c>
      <c r="AK14">
        <f ca="1"/>
        <v>157.1</v>
      </c>
      <c r="AL14">
        <f ca="1"/>
        <v>151.19999999999999</v>
      </c>
      <c r="AM14">
        <f ca="1"/>
        <v>158.9</v>
      </c>
    </row>
    <row r="15" spans="3:39">
      <c r="C15" s="70">
        <v>44166</v>
      </c>
      <c r="D15" s="53">
        <f>((E15-E14)/E14)*100</f>
        <v>0.31565656565656564</v>
      </c>
      <c r="E15">
        <v>158.9</v>
      </c>
      <c r="F15" t="str">
        <f t="shared" si="0"/>
        <v>After COVID</v>
      </c>
    </row>
    <row r="17" spans="18:32">
      <c r="R17" s="23" t="s">
        <v>59</v>
      </c>
      <c r="S17" t="s">
        <v>69</v>
      </c>
    </row>
    <row r="19" spans="18:32">
      <c r="R19" s="23" t="s">
        <v>60</v>
      </c>
      <c r="S19" s="23" t="s">
        <v>61</v>
      </c>
      <c r="T19" t="s">
        <v>130</v>
      </c>
      <c r="U19" t="s">
        <v>129</v>
      </c>
      <c r="V19" t="s">
        <v>132</v>
      </c>
      <c r="W19" t="s">
        <v>133</v>
      </c>
      <c r="X19" t="s">
        <v>131</v>
      </c>
      <c r="Y19" t="s">
        <v>134</v>
      </c>
      <c r="Z19" t="s">
        <v>139</v>
      </c>
      <c r="AA19" t="s">
        <v>135</v>
      </c>
      <c r="AB19" t="s">
        <v>136</v>
      </c>
      <c r="AC19" t="s">
        <v>137</v>
      </c>
      <c r="AD19" t="s">
        <v>138</v>
      </c>
      <c r="AE19" t="s">
        <v>140</v>
      </c>
      <c r="AF19" t="s">
        <v>155</v>
      </c>
    </row>
    <row r="20" spans="18:32">
      <c r="R20">
        <v>2019</v>
      </c>
      <c r="S20" t="s">
        <v>66</v>
      </c>
      <c r="T20" s="24">
        <v>137.1</v>
      </c>
      <c r="U20" s="24">
        <v>151.4</v>
      </c>
      <c r="V20" s="24">
        <v>140.19999999999999</v>
      </c>
      <c r="W20" s="24">
        <v>142.1</v>
      </c>
      <c r="X20" s="24">
        <v>121.8</v>
      </c>
      <c r="Y20" s="24">
        <v>135.4</v>
      </c>
      <c r="Z20" s="24">
        <v>131.30000000000001</v>
      </c>
      <c r="AA20" s="24">
        <v>120.3</v>
      </c>
      <c r="AB20" s="24">
        <v>109.1</v>
      </c>
      <c r="AC20" s="24">
        <v>139.4</v>
      </c>
      <c r="AD20" s="24">
        <v>133.30000000000001</v>
      </c>
      <c r="AE20" s="24">
        <v>154.6</v>
      </c>
      <c r="AF20" s="57">
        <f>AVERAGE(T20:AE20)</f>
        <v>134.66666666666666</v>
      </c>
    </row>
    <row r="21" spans="18:32">
      <c r="S21" t="s">
        <v>70</v>
      </c>
      <c r="T21" s="24">
        <v>137.6</v>
      </c>
      <c r="U21" s="24">
        <v>152</v>
      </c>
      <c r="V21" s="24">
        <v>141.5</v>
      </c>
      <c r="W21" s="24">
        <v>142.19999999999999</v>
      </c>
      <c r="X21" s="24">
        <v>122</v>
      </c>
      <c r="Y21" s="24">
        <v>136.4</v>
      </c>
      <c r="Z21" s="24">
        <v>129.69999999999999</v>
      </c>
      <c r="AA21" s="24">
        <v>121</v>
      </c>
      <c r="AB21" s="24">
        <v>109</v>
      </c>
      <c r="AC21" s="24">
        <v>139.69999999999999</v>
      </c>
      <c r="AD21" s="24">
        <v>133.6</v>
      </c>
      <c r="AE21" s="24">
        <v>154.9</v>
      </c>
      <c r="AF21" s="57">
        <f t="shared" ref="AF21:AF30" si="1">AVERAGE(T21:AE21)</f>
        <v>134.96666666666667</v>
      </c>
    </row>
    <row r="22" spans="18:32">
      <c r="S22" t="s">
        <v>71</v>
      </c>
      <c r="T22" s="24">
        <v>137.80000000000001</v>
      </c>
      <c r="U22" s="24">
        <v>153</v>
      </c>
      <c r="V22" s="24">
        <v>140.30000000000001</v>
      </c>
      <c r="W22" s="24">
        <v>142.30000000000001</v>
      </c>
      <c r="X22" s="24">
        <v>122</v>
      </c>
      <c r="Y22" s="24">
        <v>137.6</v>
      </c>
      <c r="Z22" s="24">
        <v>132.6</v>
      </c>
      <c r="AA22" s="24">
        <v>121.8</v>
      </c>
      <c r="AB22" s="24">
        <v>109</v>
      </c>
      <c r="AC22" s="24">
        <v>139.5</v>
      </c>
      <c r="AD22" s="24">
        <v>133.69999999999999</v>
      </c>
      <c r="AE22" s="24">
        <v>155.19999999999999</v>
      </c>
      <c r="AF22" s="57">
        <f t="shared" si="1"/>
        <v>135.4</v>
      </c>
    </row>
    <row r="23" spans="18:32">
      <c r="S23" t="s">
        <v>73</v>
      </c>
      <c r="T23" s="24">
        <v>138.30000000000001</v>
      </c>
      <c r="U23" s="24">
        <v>158.5</v>
      </c>
      <c r="V23" s="24">
        <v>136</v>
      </c>
      <c r="W23" s="24">
        <v>142.5</v>
      </c>
      <c r="X23" s="24">
        <v>122</v>
      </c>
      <c r="Y23" s="24">
        <v>146.5</v>
      </c>
      <c r="Z23" s="24">
        <v>143</v>
      </c>
      <c r="AA23" s="24">
        <v>124.9</v>
      </c>
      <c r="AB23" s="24">
        <v>109.9</v>
      </c>
      <c r="AC23" s="24">
        <v>139.9</v>
      </c>
      <c r="AD23" s="24">
        <v>134</v>
      </c>
      <c r="AE23" s="24">
        <v>155.5</v>
      </c>
      <c r="AF23" s="57">
        <f t="shared" si="1"/>
        <v>137.58333333333334</v>
      </c>
    </row>
    <row r="24" spans="18:32">
      <c r="S24" t="s">
        <v>74</v>
      </c>
      <c r="T24" s="24">
        <v>138.69999999999999</v>
      </c>
      <c r="U24" s="24">
        <v>162.1</v>
      </c>
      <c r="V24" s="24">
        <v>137.80000000000001</v>
      </c>
      <c r="W24" s="24">
        <v>143.30000000000001</v>
      </c>
      <c r="X24" s="24">
        <v>122.2</v>
      </c>
      <c r="Y24" s="24">
        <v>146.80000000000001</v>
      </c>
      <c r="Z24" s="24">
        <v>150.5</v>
      </c>
      <c r="AA24" s="24">
        <v>128.30000000000001</v>
      </c>
      <c r="AB24" s="24">
        <v>111</v>
      </c>
      <c r="AC24" s="24">
        <v>140.6</v>
      </c>
      <c r="AD24" s="24">
        <v>134.19999999999999</v>
      </c>
      <c r="AE24" s="24">
        <v>155.9</v>
      </c>
      <c r="AF24" s="57">
        <f t="shared" si="1"/>
        <v>139.28333333333333</v>
      </c>
    </row>
    <row r="25" spans="18:32">
      <c r="S25" t="s">
        <v>75</v>
      </c>
      <c r="T25" s="24">
        <v>139.30000000000001</v>
      </c>
      <c r="U25" s="24">
        <v>162.69999999999999</v>
      </c>
      <c r="V25" s="24">
        <v>140</v>
      </c>
      <c r="W25" s="24">
        <v>144</v>
      </c>
      <c r="X25" s="24">
        <v>122.5</v>
      </c>
      <c r="Y25" s="24">
        <v>150.30000000000001</v>
      </c>
      <c r="Z25" s="24">
        <v>160.30000000000001</v>
      </c>
      <c r="AA25" s="24">
        <v>130</v>
      </c>
      <c r="AB25" s="24">
        <v>111.1</v>
      </c>
      <c r="AC25" s="24">
        <v>141.69999999999999</v>
      </c>
      <c r="AD25" s="24">
        <v>134.69999999999999</v>
      </c>
      <c r="AE25" s="24">
        <v>156.19999999999999</v>
      </c>
      <c r="AF25" s="57">
        <f t="shared" si="1"/>
        <v>141.06666666666666</v>
      </c>
    </row>
    <row r="26" spans="18:32">
      <c r="S26" t="s">
        <v>76</v>
      </c>
      <c r="T26" s="24">
        <v>140.1</v>
      </c>
      <c r="U26" s="24">
        <v>160.6</v>
      </c>
      <c r="V26" s="24">
        <v>138.5</v>
      </c>
      <c r="W26" s="24">
        <v>144.69999999999999</v>
      </c>
      <c r="X26" s="24">
        <v>122.9</v>
      </c>
      <c r="Y26" s="24">
        <v>149.4</v>
      </c>
      <c r="Z26" s="24">
        <v>167.4</v>
      </c>
      <c r="AA26" s="24">
        <v>130.9</v>
      </c>
      <c r="AB26" s="24">
        <v>112</v>
      </c>
      <c r="AC26" s="24">
        <v>142.6</v>
      </c>
      <c r="AD26" s="24">
        <v>134.9</v>
      </c>
      <c r="AE26" s="24">
        <v>156.6</v>
      </c>
      <c r="AF26" s="57">
        <f t="shared" si="1"/>
        <v>141.71666666666667</v>
      </c>
    </row>
    <row r="27" spans="18:32">
      <c r="S27" t="s">
        <v>77</v>
      </c>
      <c r="T27" s="24">
        <v>140.9</v>
      </c>
      <c r="U27" s="24">
        <v>160.80000000000001</v>
      </c>
      <c r="V27" s="24">
        <v>139.6</v>
      </c>
      <c r="W27" s="24">
        <v>145.4</v>
      </c>
      <c r="X27" s="24">
        <v>123.5</v>
      </c>
      <c r="Y27" s="24">
        <v>146.6</v>
      </c>
      <c r="Z27" s="24">
        <v>173.2</v>
      </c>
      <c r="AA27" s="24">
        <v>131.6</v>
      </c>
      <c r="AB27" s="24">
        <v>113.2</v>
      </c>
      <c r="AC27" s="24">
        <v>144.1</v>
      </c>
      <c r="AD27" s="24">
        <v>135</v>
      </c>
      <c r="AE27" s="24">
        <v>156.80000000000001</v>
      </c>
      <c r="AF27" s="57">
        <f t="shared" si="1"/>
        <v>142.55833333333331</v>
      </c>
    </row>
    <row r="28" spans="18:32">
      <c r="S28" t="s">
        <v>78</v>
      </c>
      <c r="T28" s="24">
        <v>141.80000000000001</v>
      </c>
      <c r="U28" s="24">
        <v>161</v>
      </c>
      <c r="V28" s="24">
        <v>142.6</v>
      </c>
      <c r="W28" s="24">
        <v>146.19999999999999</v>
      </c>
      <c r="X28" s="24">
        <v>123.9</v>
      </c>
      <c r="Y28" s="24">
        <v>148</v>
      </c>
      <c r="Z28" s="24">
        <v>188.4</v>
      </c>
      <c r="AA28" s="24">
        <v>132.5</v>
      </c>
      <c r="AB28" s="24">
        <v>114</v>
      </c>
      <c r="AC28" s="24">
        <v>145.4</v>
      </c>
      <c r="AD28" s="24">
        <v>135.1</v>
      </c>
      <c r="AE28" s="24">
        <v>157.1</v>
      </c>
      <c r="AF28" s="57">
        <f t="shared" si="1"/>
        <v>144.66666666666666</v>
      </c>
    </row>
    <row r="29" spans="18:32">
      <c r="S29" t="s">
        <v>79</v>
      </c>
      <c r="T29" s="24">
        <v>142.5</v>
      </c>
      <c r="U29" s="24">
        <v>163.19999999999999</v>
      </c>
      <c r="V29" s="24">
        <v>145.6</v>
      </c>
      <c r="W29" s="24">
        <v>146.69999999999999</v>
      </c>
      <c r="X29" s="24">
        <v>124.3</v>
      </c>
      <c r="Y29" s="24">
        <v>147.4</v>
      </c>
      <c r="Z29" s="24">
        <v>199.6</v>
      </c>
      <c r="AA29" s="24">
        <v>135.69999999999999</v>
      </c>
      <c r="AB29" s="24">
        <v>114.2</v>
      </c>
      <c r="AC29" s="24">
        <v>147</v>
      </c>
      <c r="AD29" s="24">
        <v>135.30000000000001</v>
      </c>
      <c r="AE29" s="24">
        <v>157.5</v>
      </c>
      <c r="AF29" s="57">
        <f t="shared" si="1"/>
        <v>146.58333333333334</v>
      </c>
    </row>
    <row r="30" spans="18:32">
      <c r="S30" t="s">
        <v>80</v>
      </c>
      <c r="T30" s="24">
        <v>143.5</v>
      </c>
      <c r="U30" s="24">
        <v>165</v>
      </c>
      <c r="V30" s="24">
        <v>151.1</v>
      </c>
      <c r="W30" s="24">
        <v>148.30000000000001</v>
      </c>
      <c r="X30" s="24">
        <v>125.7</v>
      </c>
      <c r="Y30" s="24">
        <v>145.69999999999999</v>
      </c>
      <c r="Z30" s="24">
        <v>217</v>
      </c>
      <c r="AA30" s="24">
        <v>138.30000000000001</v>
      </c>
      <c r="AB30" s="24">
        <v>114</v>
      </c>
      <c r="AC30" s="24">
        <v>148.69999999999999</v>
      </c>
      <c r="AD30" s="24">
        <v>135.80000000000001</v>
      </c>
      <c r="AE30" s="24">
        <v>158</v>
      </c>
      <c r="AF30" s="57">
        <f t="shared" si="1"/>
        <v>149.25833333333335</v>
      </c>
    </row>
    <row r="31" spans="18:32">
      <c r="R31" t="s">
        <v>156</v>
      </c>
      <c r="T31" s="24">
        <v>139.78181818181818</v>
      </c>
      <c r="U31" s="24">
        <v>159.11818181818182</v>
      </c>
      <c r="V31" s="24">
        <v>141.19999999999996</v>
      </c>
      <c r="W31" s="24">
        <v>144.33636363636364</v>
      </c>
      <c r="X31" s="24">
        <v>122.98181818181818</v>
      </c>
      <c r="Y31" s="24">
        <v>144.55454545454546</v>
      </c>
      <c r="Z31" s="24">
        <v>163</v>
      </c>
      <c r="AA31" s="24">
        <v>128.66363636363636</v>
      </c>
      <c r="AB31" s="24">
        <v>111.5</v>
      </c>
      <c r="AC31" s="24">
        <v>142.60000000000002</v>
      </c>
      <c r="AD31" s="24">
        <v>134.5090909090909</v>
      </c>
      <c r="AE31" s="24">
        <v>156.20909090909089</v>
      </c>
    </row>
    <row r="32" spans="18:32">
      <c r="R32">
        <v>2020</v>
      </c>
      <c r="S32" t="s">
        <v>66</v>
      </c>
      <c r="T32" s="24">
        <v>144.30000000000001</v>
      </c>
      <c r="U32" s="24">
        <v>167.4</v>
      </c>
      <c r="V32" s="24">
        <v>154.9</v>
      </c>
      <c r="W32" s="24">
        <v>150.1</v>
      </c>
      <c r="X32" s="24">
        <v>129.9</v>
      </c>
      <c r="Y32" s="24">
        <v>143.19999999999999</v>
      </c>
      <c r="Z32" s="24">
        <v>197</v>
      </c>
      <c r="AA32" s="24">
        <v>140.4</v>
      </c>
      <c r="AB32" s="24">
        <v>114.1</v>
      </c>
      <c r="AC32" s="24">
        <v>150.9</v>
      </c>
      <c r="AD32" s="24">
        <v>136.1</v>
      </c>
      <c r="AE32" s="24">
        <v>158.6</v>
      </c>
      <c r="AF32" s="57">
        <f>AVERAGE(T32:AE32)</f>
        <v>148.90833333333333</v>
      </c>
    </row>
    <row r="33" spans="7:32">
      <c r="S33" t="s">
        <v>70</v>
      </c>
      <c r="T33" s="24">
        <v>144.80000000000001</v>
      </c>
      <c r="U33" s="24">
        <v>167.5</v>
      </c>
      <c r="V33" s="24">
        <v>151.80000000000001</v>
      </c>
      <c r="W33" s="24">
        <v>150.80000000000001</v>
      </c>
      <c r="X33" s="24">
        <v>131.4</v>
      </c>
      <c r="Y33" s="24">
        <v>141.80000000000001</v>
      </c>
      <c r="Z33" s="24">
        <v>170.7</v>
      </c>
      <c r="AA33" s="24">
        <v>141.1</v>
      </c>
      <c r="AB33" s="24">
        <v>113.6</v>
      </c>
      <c r="AC33" s="24">
        <v>152</v>
      </c>
      <c r="AD33" s="24">
        <v>136.5</v>
      </c>
      <c r="AE33" s="24">
        <v>159.1</v>
      </c>
      <c r="AF33" s="57">
        <f t="shared" ref="AF33:AF43" si="2">AVERAGE(T33:AE33)</f>
        <v>146.75833333333333</v>
      </c>
    </row>
    <row r="34" spans="7:32">
      <c r="S34" t="s">
        <v>71</v>
      </c>
      <c r="T34" s="24">
        <v>145.1</v>
      </c>
      <c r="U34" s="24">
        <v>167</v>
      </c>
      <c r="V34" s="24">
        <v>148.1</v>
      </c>
      <c r="W34" s="24">
        <v>151.5</v>
      </c>
      <c r="X34" s="24">
        <v>131.19999999999999</v>
      </c>
      <c r="Y34" s="24">
        <v>142.5</v>
      </c>
      <c r="Z34" s="24">
        <v>157.30000000000001</v>
      </c>
      <c r="AA34" s="24">
        <v>141.1</v>
      </c>
      <c r="AB34" s="24">
        <v>113.2</v>
      </c>
      <c r="AC34" s="24">
        <v>153.19999999999999</v>
      </c>
      <c r="AD34" s="24">
        <v>136.69999999999999</v>
      </c>
      <c r="AE34" s="24">
        <v>159.6</v>
      </c>
      <c r="AF34" s="57">
        <f t="shared" si="2"/>
        <v>145.54166666666666</v>
      </c>
    </row>
    <row r="35" spans="7:32">
      <c r="S35" t="s">
        <v>72</v>
      </c>
      <c r="T35" s="24">
        <v>148.69999999999999</v>
      </c>
      <c r="U35" s="24">
        <v>175.56666666666666</v>
      </c>
      <c r="V35" s="24">
        <v>148.80000000000001</v>
      </c>
      <c r="W35" s="24">
        <v>155.6</v>
      </c>
      <c r="X35" s="24">
        <v>135.1</v>
      </c>
      <c r="Y35" s="24">
        <v>149.9</v>
      </c>
      <c r="Z35" s="24">
        <v>168.6</v>
      </c>
      <c r="AA35" s="24">
        <v>150.4</v>
      </c>
      <c r="AB35" s="24">
        <v>120.3</v>
      </c>
      <c r="AC35" s="24">
        <v>157.1</v>
      </c>
      <c r="AD35" s="24">
        <v>136.80000000000001</v>
      </c>
      <c r="AE35" s="24">
        <v>160.33333333333334</v>
      </c>
      <c r="AF35" s="57">
        <f t="shared" si="2"/>
        <v>150.6</v>
      </c>
    </row>
    <row r="36" spans="7:32">
      <c r="S36" t="s">
        <v>73</v>
      </c>
      <c r="T36" s="24">
        <v>149.14999999999998</v>
      </c>
      <c r="U36" s="24">
        <v>184.13333333333333</v>
      </c>
      <c r="V36" s="24">
        <v>150.10000000000002</v>
      </c>
      <c r="W36" s="24">
        <v>154.44999999999999</v>
      </c>
      <c r="X36" s="24">
        <v>135.69999999999999</v>
      </c>
      <c r="Y36" s="24">
        <v>148.55000000000001</v>
      </c>
      <c r="Z36" s="24">
        <v>162.55000000000001</v>
      </c>
      <c r="AA36" s="24">
        <v>150.65</v>
      </c>
      <c r="AB36" s="24">
        <v>117.25</v>
      </c>
      <c r="AC36" s="24">
        <v>158.30000000000001</v>
      </c>
      <c r="AD36" s="24">
        <v>138.10000000000002</v>
      </c>
      <c r="AE36" s="24">
        <v>161.06666666666666</v>
      </c>
      <c r="AF36" s="57">
        <f t="shared" si="2"/>
        <v>150.83333333333334</v>
      </c>
    </row>
    <row r="37" spans="7:32">
      <c r="S37" t="s">
        <v>74</v>
      </c>
      <c r="T37" s="24">
        <v>149.6</v>
      </c>
      <c r="U37" s="24">
        <v>192.7</v>
      </c>
      <c r="V37" s="24">
        <v>151.4</v>
      </c>
      <c r="W37" s="24">
        <v>153.30000000000001</v>
      </c>
      <c r="X37" s="24">
        <v>136.30000000000001</v>
      </c>
      <c r="Y37" s="24">
        <v>147.19999999999999</v>
      </c>
      <c r="Z37" s="24">
        <v>156.5</v>
      </c>
      <c r="AA37" s="24">
        <v>150.9</v>
      </c>
      <c r="AB37" s="24">
        <v>114.2</v>
      </c>
      <c r="AC37" s="24">
        <v>159.5</v>
      </c>
      <c r="AD37" s="24">
        <v>139.4</v>
      </c>
      <c r="AE37" s="24">
        <v>161.80000000000001</v>
      </c>
      <c r="AF37" s="57">
        <f t="shared" si="2"/>
        <v>151.06666666666669</v>
      </c>
    </row>
    <row r="38" spans="7:32">
      <c r="S38" t="s">
        <v>75</v>
      </c>
      <c r="T38" s="24">
        <v>149.6</v>
      </c>
      <c r="U38" s="24">
        <v>192.7</v>
      </c>
      <c r="V38" s="24">
        <v>151.4</v>
      </c>
      <c r="W38" s="24">
        <v>153.30000000000001</v>
      </c>
      <c r="X38" s="24">
        <v>136.30000000000001</v>
      </c>
      <c r="Y38" s="24">
        <v>147.19999999999999</v>
      </c>
      <c r="Z38" s="24">
        <v>156.5</v>
      </c>
      <c r="AA38" s="24">
        <v>150.9</v>
      </c>
      <c r="AB38" s="24">
        <v>114.2</v>
      </c>
      <c r="AC38" s="24">
        <v>159.5</v>
      </c>
      <c r="AD38" s="24">
        <v>139.4</v>
      </c>
      <c r="AE38" s="24">
        <v>161.80000000000001</v>
      </c>
      <c r="AF38" s="57">
        <f t="shared" si="2"/>
        <v>151.06666666666669</v>
      </c>
    </row>
    <row r="39" spans="7:32">
      <c r="S39" t="s">
        <v>76</v>
      </c>
      <c r="T39" s="24">
        <v>148.9</v>
      </c>
      <c r="U39" s="24">
        <v>190.9</v>
      </c>
      <c r="V39" s="24">
        <v>150.80000000000001</v>
      </c>
      <c r="W39" s="24">
        <v>153.30000000000001</v>
      </c>
      <c r="X39" s="24">
        <v>137.4</v>
      </c>
      <c r="Y39" s="24">
        <v>150.4</v>
      </c>
      <c r="Z39" s="24">
        <v>178.1</v>
      </c>
      <c r="AA39" s="24">
        <v>150.4</v>
      </c>
      <c r="AB39" s="24">
        <v>115.1</v>
      </c>
      <c r="AC39" s="24">
        <v>160</v>
      </c>
      <c r="AD39" s="24">
        <v>140.6</v>
      </c>
      <c r="AE39" s="24">
        <v>162.30000000000001</v>
      </c>
      <c r="AF39" s="57">
        <f t="shared" si="2"/>
        <v>153.18333333333331</v>
      </c>
    </row>
    <row r="40" spans="7:32">
      <c r="S40" t="s">
        <v>77</v>
      </c>
      <c r="T40" s="24">
        <v>148.4</v>
      </c>
      <c r="U40" s="24">
        <v>187.1</v>
      </c>
      <c r="V40" s="24">
        <v>152.5</v>
      </c>
      <c r="W40" s="24">
        <v>153.6</v>
      </c>
      <c r="X40" s="24">
        <v>138.19999999999999</v>
      </c>
      <c r="Y40" s="24">
        <v>150.9</v>
      </c>
      <c r="Z40" s="24">
        <v>186.7</v>
      </c>
      <c r="AA40" s="24">
        <v>149.80000000000001</v>
      </c>
      <c r="AB40" s="24">
        <v>116.4</v>
      </c>
      <c r="AC40" s="24">
        <v>160.30000000000001</v>
      </c>
      <c r="AD40" s="24">
        <v>142.19999999999999</v>
      </c>
      <c r="AE40" s="24">
        <v>162.9</v>
      </c>
      <c r="AF40" s="57">
        <f t="shared" si="2"/>
        <v>154.08333333333334</v>
      </c>
    </row>
    <row r="41" spans="7:32">
      <c r="S41" t="s">
        <v>78</v>
      </c>
      <c r="T41" s="24">
        <v>147.5</v>
      </c>
      <c r="U41" s="24">
        <v>188.9</v>
      </c>
      <c r="V41" s="24">
        <v>161.4</v>
      </c>
      <c r="W41" s="24">
        <v>153.6</v>
      </c>
      <c r="X41" s="24">
        <v>140.1</v>
      </c>
      <c r="Y41" s="24">
        <v>151.19999999999999</v>
      </c>
      <c r="Z41" s="24">
        <v>209.2</v>
      </c>
      <c r="AA41" s="24">
        <v>150.9</v>
      </c>
      <c r="AB41" s="24">
        <v>116.2</v>
      </c>
      <c r="AC41" s="24">
        <v>161</v>
      </c>
      <c r="AD41" s="24">
        <v>144</v>
      </c>
      <c r="AE41" s="24">
        <v>163.19999999999999</v>
      </c>
      <c r="AF41" s="57">
        <f t="shared" si="2"/>
        <v>157.26666666666668</v>
      </c>
    </row>
    <row r="42" spans="7:32">
      <c r="S42" t="s">
        <v>79</v>
      </c>
      <c r="T42" s="24">
        <v>146.80000000000001</v>
      </c>
      <c r="U42" s="24">
        <v>191</v>
      </c>
      <c r="V42" s="24">
        <v>173.6</v>
      </c>
      <c r="W42" s="24">
        <v>153.80000000000001</v>
      </c>
      <c r="X42" s="24">
        <v>142.69999999999999</v>
      </c>
      <c r="Y42" s="24">
        <v>148.4</v>
      </c>
      <c r="Z42" s="24">
        <v>230</v>
      </c>
      <c r="AA42" s="24">
        <v>156.80000000000001</v>
      </c>
      <c r="AB42" s="24">
        <v>115.7</v>
      </c>
      <c r="AC42" s="24">
        <v>161.80000000000001</v>
      </c>
      <c r="AD42" s="24">
        <v>146.5</v>
      </c>
      <c r="AE42" s="24">
        <v>163.80000000000001</v>
      </c>
      <c r="AF42" s="57">
        <f t="shared" si="2"/>
        <v>160.90833333333333</v>
      </c>
    </row>
    <row r="43" spans="7:32">
      <c r="S43" t="s">
        <v>80</v>
      </c>
      <c r="T43" s="24">
        <v>146</v>
      </c>
      <c r="U43" s="24">
        <v>191</v>
      </c>
      <c r="V43" s="24">
        <v>175.3</v>
      </c>
      <c r="W43" s="24">
        <v>154.1</v>
      </c>
      <c r="X43" s="24">
        <v>146.6</v>
      </c>
      <c r="Y43" s="24">
        <v>147.69999999999999</v>
      </c>
      <c r="Z43" s="24">
        <v>230.5</v>
      </c>
      <c r="AA43" s="24">
        <v>160.19999999999999</v>
      </c>
      <c r="AB43" s="24">
        <v>115.3</v>
      </c>
      <c r="AC43" s="24">
        <v>163</v>
      </c>
      <c r="AD43" s="24">
        <v>149.19999999999999</v>
      </c>
      <c r="AE43" s="24">
        <v>164.8</v>
      </c>
      <c r="AF43" s="57">
        <f t="shared" si="2"/>
        <v>161.97499999999999</v>
      </c>
    </row>
    <row r="44" spans="7:32">
      <c r="R44" t="s">
        <v>93</v>
      </c>
      <c r="T44" s="24">
        <v>147.40416666666667</v>
      </c>
      <c r="U44" s="24">
        <v>182.99166666666667</v>
      </c>
      <c r="V44" s="24">
        <v>155.84166666666667</v>
      </c>
      <c r="W44" s="24">
        <v>153.12083333333331</v>
      </c>
      <c r="X44" s="24">
        <v>136.74166666666665</v>
      </c>
      <c r="Y44" s="24">
        <v>147.41250000000005</v>
      </c>
      <c r="Z44" s="24">
        <v>183.63750000000002</v>
      </c>
      <c r="AA44" s="24">
        <v>149.46250000000001</v>
      </c>
      <c r="AB44" s="24">
        <v>115.46250000000002</v>
      </c>
      <c r="AC44" s="24">
        <v>158.04999999999998</v>
      </c>
      <c r="AD44" s="24">
        <v>140.45833333333334</v>
      </c>
      <c r="AE44" s="24">
        <v>161.60833333333332</v>
      </c>
    </row>
    <row r="45" spans="7:32">
      <c r="G45" s="19" t="s">
        <v>157</v>
      </c>
      <c r="H45" s="19" t="s">
        <v>158</v>
      </c>
      <c r="R45" t="s">
        <v>99</v>
      </c>
      <c r="T45" s="24">
        <v>143.75869565217391</v>
      </c>
      <c r="U45" s="24">
        <v>171.57391304347823</v>
      </c>
      <c r="V45" s="24">
        <v>148.83913043478262</v>
      </c>
      <c r="W45" s="24">
        <v>148.91956521739129</v>
      </c>
      <c r="X45" s="24">
        <v>130.16086956521738</v>
      </c>
      <c r="Y45" s="24">
        <v>146.04565217391303</v>
      </c>
      <c r="Z45" s="24">
        <v>173.7673913043478</v>
      </c>
      <c r="AA45" s="24">
        <v>139.51521739130436</v>
      </c>
      <c r="AB45" s="24">
        <v>113.56739130434781</v>
      </c>
      <c r="AC45" s="24">
        <v>150.66086956521741</v>
      </c>
      <c r="AD45" s="24">
        <v>137.61304347826083</v>
      </c>
      <c r="AE45" s="24">
        <v>159.02608695652177</v>
      </c>
    </row>
    <row r="46" spans="7:32">
      <c r="G46" t="s">
        <v>159</v>
      </c>
      <c r="H46">
        <f>AVERAGEIF(F3:F15,"before covid",D3:D15)</f>
        <v>-0.43266779046378256</v>
      </c>
    </row>
    <row r="47" spans="7:32">
      <c r="G47" t="s">
        <v>160</v>
      </c>
      <c r="H47">
        <f>AVERAGEIF(F3:F15,"covid onset",D3:D15)</f>
        <v>-0.33534540576794097</v>
      </c>
      <c r="R47" s="23" t="s">
        <v>59</v>
      </c>
      <c r="S47" t="s">
        <v>69</v>
      </c>
      <c r="V47" s="23" t="s">
        <v>59</v>
      </c>
      <c r="W47" t="s">
        <v>161</v>
      </c>
    </row>
    <row r="48" spans="7:32">
      <c r="G48" t="s">
        <v>162</v>
      </c>
      <c r="H48">
        <f>AVERAGEIF(F3:F15,"after covid",D3:D15)</f>
        <v>0.74830048364698454</v>
      </c>
    </row>
    <row r="49" spans="3:30">
      <c r="G49" s="19"/>
      <c r="H49" s="19"/>
      <c r="R49" s="23" t="s">
        <v>60</v>
      </c>
      <c r="S49" s="23" t="s">
        <v>61</v>
      </c>
      <c r="T49" t="s">
        <v>163</v>
      </c>
      <c r="V49" s="23" t="s">
        <v>60</v>
      </c>
      <c r="W49" s="23" t="s">
        <v>61</v>
      </c>
      <c r="X49" t="s">
        <v>164</v>
      </c>
      <c r="Y49" t="s">
        <v>165</v>
      </c>
      <c r="Z49" t="s">
        <v>166</v>
      </c>
      <c r="AA49" t="s">
        <v>167</v>
      </c>
      <c r="AB49" t="s">
        <v>168</v>
      </c>
      <c r="AC49" t="s">
        <v>169</v>
      </c>
      <c r="AD49" t="s">
        <v>170</v>
      </c>
    </row>
    <row r="50" spans="3:30">
      <c r="R50">
        <v>2019</v>
      </c>
      <c r="S50" t="s">
        <v>66</v>
      </c>
      <c r="T50" s="24">
        <v>145.1</v>
      </c>
      <c r="V50">
        <v>2019</v>
      </c>
      <c r="W50" t="s">
        <v>66</v>
      </c>
      <c r="X50" s="57">
        <v>147.06666666666669</v>
      </c>
      <c r="Y50" s="57">
        <v>138.16666666666666</v>
      </c>
      <c r="Z50" s="57">
        <v>138.1</v>
      </c>
      <c r="AA50" s="57">
        <v>143.33333333333334</v>
      </c>
      <c r="AB50" s="24">
        <v>123.5</v>
      </c>
      <c r="AC50" s="57">
        <v>150.66666666666666</v>
      </c>
      <c r="AD50" s="57">
        <f>AVERAGE(X50:AC50)</f>
        <v>140.13888888888889</v>
      </c>
    </row>
    <row r="51" spans="3:30">
      <c r="S51" t="s">
        <v>70</v>
      </c>
      <c r="T51" s="24">
        <v>145.6</v>
      </c>
      <c r="W51" t="s">
        <v>70</v>
      </c>
      <c r="X51" s="57">
        <v>147.16666666666666</v>
      </c>
      <c r="Y51" s="57">
        <v>138.86666666666667</v>
      </c>
      <c r="Z51" s="57">
        <v>136.93333333333334</v>
      </c>
      <c r="AA51" s="57">
        <v>143.46666666666667</v>
      </c>
      <c r="AB51" s="24">
        <v>124.10000000000001</v>
      </c>
      <c r="AC51" s="57">
        <v>150.79999999999998</v>
      </c>
      <c r="AD51" s="57">
        <f t="shared" ref="AD51:AD60" si="3">AVERAGE(X51:AC51)</f>
        <v>140.2222222222222</v>
      </c>
    </row>
    <row r="52" spans="3:30">
      <c r="S52" t="s">
        <v>71</v>
      </c>
      <c r="T52" s="24">
        <v>146.19999999999999</v>
      </c>
      <c r="W52" t="s">
        <v>71</v>
      </c>
      <c r="X52" s="57">
        <v>147.4</v>
      </c>
      <c r="Y52" s="57">
        <v>139.06666666666669</v>
      </c>
      <c r="Z52" s="57">
        <v>138.29999999999998</v>
      </c>
      <c r="AA52" s="57">
        <v>143.53333333333333</v>
      </c>
      <c r="AB52" s="24">
        <v>124.8</v>
      </c>
      <c r="AC52" s="57">
        <v>150.83333333333334</v>
      </c>
      <c r="AD52" s="57">
        <f t="shared" si="3"/>
        <v>140.65555555555554</v>
      </c>
    </row>
    <row r="53" spans="3:30">
      <c r="G53" s="19"/>
      <c r="H53" s="19"/>
      <c r="S53" t="s">
        <v>73</v>
      </c>
      <c r="T53" s="24">
        <v>146.9</v>
      </c>
      <c r="W53" t="s">
        <v>73</v>
      </c>
      <c r="X53" s="57">
        <v>147.9</v>
      </c>
      <c r="Y53" s="57">
        <v>139.56666666666669</v>
      </c>
      <c r="Z53" s="57">
        <v>138.86666666666667</v>
      </c>
      <c r="AA53" s="57">
        <v>143.46666666666667</v>
      </c>
      <c r="AB53" s="57">
        <v>125.06666666666666</v>
      </c>
      <c r="AC53" s="57">
        <v>152.1</v>
      </c>
      <c r="AD53" s="57">
        <f t="shared" si="3"/>
        <v>141.16111111111113</v>
      </c>
    </row>
    <row r="54" spans="3:30">
      <c r="C54" s="21" t="s">
        <v>126</v>
      </c>
      <c r="D54" s="50" t="s">
        <v>171</v>
      </c>
      <c r="E54" s="21" t="s">
        <v>172</v>
      </c>
      <c r="G54" s="19" t="s">
        <v>61</v>
      </c>
      <c r="H54" s="19" t="s">
        <v>173</v>
      </c>
      <c r="I54" s="19" t="s">
        <v>174</v>
      </c>
      <c r="K54" s="19" t="s">
        <v>61</v>
      </c>
      <c r="L54" s="19" t="s">
        <v>175</v>
      </c>
      <c r="M54" s="19" t="s">
        <v>176</v>
      </c>
      <c r="S54" t="s">
        <v>74</v>
      </c>
      <c r="T54" s="24">
        <v>147.4</v>
      </c>
      <c r="W54" t="s">
        <v>74</v>
      </c>
      <c r="X54" s="57">
        <v>148.1</v>
      </c>
      <c r="Y54" s="57">
        <v>139.53333333333333</v>
      </c>
      <c r="Z54" s="57">
        <v>139.83333333333334</v>
      </c>
      <c r="AA54" s="57">
        <v>143.60000000000002</v>
      </c>
      <c r="AB54" s="24">
        <v>124.8</v>
      </c>
      <c r="AC54" s="57">
        <v>153.03333333333333</v>
      </c>
      <c r="AD54" s="57">
        <f t="shared" si="3"/>
        <v>141.48333333333332</v>
      </c>
    </row>
    <row r="55" spans="3:30">
      <c r="C55" s="71">
        <v>43800</v>
      </c>
      <c r="D55" s="54">
        <v>144.1</v>
      </c>
      <c r="G55" s="71">
        <v>43800</v>
      </c>
      <c r="H55">
        <v>149.26</v>
      </c>
      <c r="K55" s="71">
        <v>43800</v>
      </c>
      <c r="L55">
        <v>150.4</v>
      </c>
      <c r="S55" t="s">
        <v>75</v>
      </c>
      <c r="T55" s="24">
        <v>147.9</v>
      </c>
      <c r="W55" t="s">
        <v>75</v>
      </c>
      <c r="X55" s="57">
        <v>148.4</v>
      </c>
      <c r="Y55" s="57">
        <v>139.66666666666666</v>
      </c>
      <c r="Z55" s="57">
        <v>137.70000000000002</v>
      </c>
      <c r="AA55" s="57">
        <v>143.96666666666667</v>
      </c>
      <c r="AB55" s="24">
        <v>125.8</v>
      </c>
      <c r="AC55" s="57">
        <v>154.5</v>
      </c>
      <c r="AD55" s="57">
        <f t="shared" si="3"/>
        <v>141.67222222222222</v>
      </c>
    </row>
    <row r="56" spans="3:30">
      <c r="C56" s="72">
        <v>43831</v>
      </c>
      <c r="D56" s="53">
        <v>144.65</v>
      </c>
      <c r="E56">
        <f>((D56-D55)/D55)*100</f>
        <v>0.38167938931298501</v>
      </c>
      <c r="G56" s="72">
        <v>43831</v>
      </c>
      <c r="H56" s="57">
        <v>148.90833333333333</v>
      </c>
      <c r="I56">
        <f>((H56-H55)/H55)*100</f>
        <v>-0.23560677118227222</v>
      </c>
      <c r="K56" s="72">
        <v>43831</v>
      </c>
      <c r="L56" s="48">
        <v>151.19999999999999</v>
      </c>
      <c r="M56">
        <f>((L56-L55)/L55)*100</f>
        <v>0.53191489361700994</v>
      </c>
      <c r="S56" t="s">
        <v>76</v>
      </c>
      <c r="T56" s="24">
        <v>148.5</v>
      </c>
      <c r="W56" t="s">
        <v>76</v>
      </c>
      <c r="X56" s="57">
        <v>148.63333333333335</v>
      </c>
      <c r="Y56" s="57">
        <v>139.79999999999998</v>
      </c>
      <c r="Z56" s="57">
        <v>136.79999999999998</v>
      </c>
      <c r="AA56" s="57">
        <v>144.26666666666668</v>
      </c>
      <c r="AB56" s="24">
        <v>126</v>
      </c>
      <c r="AC56" s="57">
        <v>155.36666666666665</v>
      </c>
      <c r="AD56" s="57">
        <f t="shared" si="3"/>
        <v>141.8111111111111</v>
      </c>
    </row>
    <row r="57" spans="3:30">
      <c r="C57" s="71">
        <v>43862</v>
      </c>
      <c r="D57" s="53">
        <v>145.14444444444445</v>
      </c>
      <c r="E57">
        <f t="shared" ref="E57:E67" si="4">((D57-D56)/D56)*100</f>
        <v>0.3418212543687798</v>
      </c>
      <c r="G57" s="71">
        <v>43862</v>
      </c>
      <c r="H57" s="57">
        <v>146.75833333333333</v>
      </c>
      <c r="I57">
        <f t="shared" ref="I57:I67" si="5">((H57-H56)/H56)*100</f>
        <v>-1.443841289383853</v>
      </c>
      <c r="K57" s="71">
        <v>43862</v>
      </c>
      <c r="L57" s="48">
        <v>151.69999999999999</v>
      </c>
      <c r="M57">
        <f t="shared" ref="M57:M67" si="6">((L57-L56)/L56)*100</f>
        <v>0.3306878306878307</v>
      </c>
      <c r="S57" t="s">
        <v>77</v>
      </c>
      <c r="T57" s="24">
        <v>149</v>
      </c>
      <c r="W57" t="s">
        <v>77</v>
      </c>
      <c r="X57" s="57">
        <v>148.73333333333332</v>
      </c>
      <c r="Y57" s="57">
        <v>139.79999999999998</v>
      </c>
      <c r="Z57" s="57">
        <v>137.56666666666663</v>
      </c>
      <c r="AA57" s="57">
        <v>144.4</v>
      </c>
      <c r="AB57" s="24">
        <v>126.3</v>
      </c>
      <c r="AC57" s="57">
        <v>155.66666666666666</v>
      </c>
      <c r="AD57" s="57">
        <f t="shared" si="3"/>
        <v>142.07777777777775</v>
      </c>
    </row>
    <row r="58" spans="3:30">
      <c r="C58" s="72">
        <v>43891</v>
      </c>
      <c r="D58" s="53">
        <v>145.45000000000002</v>
      </c>
      <c r="E58">
        <f t="shared" si="4"/>
        <v>0.21051825767435828</v>
      </c>
      <c r="G58" s="72">
        <v>43891</v>
      </c>
      <c r="H58" s="57">
        <v>145.54166666666666</v>
      </c>
      <c r="I58">
        <f t="shared" si="5"/>
        <v>-0.82902731247515882</v>
      </c>
      <c r="K58" s="72">
        <v>43891</v>
      </c>
      <c r="L58" s="48">
        <v>152.30000000000001</v>
      </c>
      <c r="M58">
        <f t="shared" si="6"/>
        <v>0.39551746868821541</v>
      </c>
      <c r="S58" t="s">
        <v>78</v>
      </c>
      <c r="T58" s="24">
        <v>149.4</v>
      </c>
      <c r="W58" t="s">
        <v>78</v>
      </c>
      <c r="X58" s="57">
        <v>149</v>
      </c>
      <c r="Y58" s="57">
        <v>139.96666666666667</v>
      </c>
      <c r="Z58" s="57">
        <v>139.06666666666666</v>
      </c>
      <c r="AA58" s="57">
        <v>144.76666666666665</v>
      </c>
      <c r="AB58" s="24">
        <v>126.5</v>
      </c>
      <c r="AC58" s="57">
        <v>155.93333333333334</v>
      </c>
      <c r="AD58" s="57">
        <f t="shared" si="3"/>
        <v>142.53888888888889</v>
      </c>
    </row>
    <row r="59" spans="3:30">
      <c r="C59" s="71">
        <v>43922</v>
      </c>
      <c r="D59" s="53">
        <v>145.18148148148148</v>
      </c>
      <c r="E59">
        <f t="shared" si="4"/>
        <v>-0.18461225061432329</v>
      </c>
      <c r="G59" s="71">
        <v>43922</v>
      </c>
      <c r="H59" s="57">
        <v>150.6</v>
      </c>
      <c r="I59">
        <f t="shared" si="5"/>
        <v>3.4755224735184687</v>
      </c>
      <c r="K59" s="71">
        <v>43922</v>
      </c>
      <c r="L59" s="48">
        <v>150.69999999999999</v>
      </c>
      <c r="M59">
        <f t="shared" si="6"/>
        <v>-1.0505581089954186</v>
      </c>
      <c r="S59" t="s">
        <v>79</v>
      </c>
      <c r="T59" s="24">
        <v>149.9</v>
      </c>
      <c r="W59" t="s">
        <v>79</v>
      </c>
      <c r="X59" s="57">
        <v>149.50000000000003</v>
      </c>
      <c r="Y59" s="57">
        <v>140.20000000000002</v>
      </c>
      <c r="Z59" s="57">
        <v>140.96666666666667</v>
      </c>
      <c r="AA59" s="57">
        <v>145.1</v>
      </c>
      <c r="AB59" s="24">
        <v>126.8</v>
      </c>
      <c r="AC59" s="57">
        <v>156.03333333333333</v>
      </c>
      <c r="AD59" s="57">
        <f t="shared" si="3"/>
        <v>143.1</v>
      </c>
    </row>
    <row r="60" spans="3:30">
      <c r="C60" s="72">
        <v>43952</v>
      </c>
      <c r="D60" s="53">
        <v>145.53796296296295</v>
      </c>
      <c r="E60">
        <f t="shared" si="4"/>
        <v>0.24554197811167636</v>
      </c>
      <c r="G60" s="72">
        <v>43952</v>
      </c>
      <c r="H60" s="57">
        <v>150.83333333333334</v>
      </c>
      <c r="I60">
        <f t="shared" si="5"/>
        <v>0.15493581230634029</v>
      </c>
      <c r="K60" s="72">
        <v>43952</v>
      </c>
      <c r="L60" s="48">
        <v>152.55000000000001</v>
      </c>
      <c r="M60">
        <f t="shared" si="6"/>
        <v>1.2276045122760604</v>
      </c>
      <c r="S60" t="s">
        <v>80</v>
      </c>
      <c r="T60" s="24">
        <v>150.4</v>
      </c>
      <c r="W60" t="s">
        <v>80</v>
      </c>
      <c r="X60" s="57">
        <v>149.9</v>
      </c>
      <c r="Y60" s="57">
        <v>140.46666666666667</v>
      </c>
      <c r="Z60" s="57">
        <v>142.39999999999998</v>
      </c>
      <c r="AA60" s="57">
        <v>145.6</v>
      </c>
      <c r="AB60" s="24">
        <v>130</v>
      </c>
      <c r="AC60" s="57">
        <v>156.23333333333335</v>
      </c>
      <c r="AD60" s="57">
        <f t="shared" si="3"/>
        <v>144.1</v>
      </c>
    </row>
    <row r="61" spans="3:30">
      <c r="C61" s="71">
        <v>43983</v>
      </c>
      <c r="D61" s="53">
        <v>145.89444444444442</v>
      </c>
      <c r="E61">
        <f t="shared" si="4"/>
        <v>0.24494054624921846</v>
      </c>
      <c r="G61" s="71">
        <v>43983</v>
      </c>
      <c r="H61" s="57">
        <v>151.06666666666669</v>
      </c>
      <c r="I61">
        <f t="shared" si="5"/>
        <v>0.15469613259669512</v>
      </c>
      <c r="K61" s="71">
        <v>43983</v>
      </c>
      <c r="L61" s="48">
        <v>154.4</v>
      </c>
      <c r="M61">
        <f t="shared" si="6"/>
        <v>1.2127171419206779</v>
      </c>
      <c r="R61" t="s">
        <v>156</v>
      </c>
      <c r="T61" s="24">
        <v>147.84545454545457</v>
      </c>
      <c r="V61" t="s">
        <v>156</v>
      </c>
      <c r="X61" s="24">
        <v>148.34545454545457</v>
      </c>
      <c r="Y61" s="24">
        <v>139.55454545454546</v>
      </c>
      <c r="Z61" s="24">
        <v>138.77575757575758</v>
      </c>
      <c r="AA61" s="24">
        <v>144.13636363636363</v>
      </c>
      <c r="AB61" s="24">
        <v>125.78787878787878</v>
      </c>
      <c r="AC61" s="24">
        <v>153.74242424242422</v>
      </c>
    </row>
    <row r="62" spans="3:30">
      <c r="C62" s="72">
        <v>44013</v>
      </c>
      <c r="D62" s="53">
        <v>145.89444444444442</v>
      </c>
      <c r="E62">
        <f t="shared" si="4"/>
        <v>0</v>
      </c>
      <c r="G62" s="72">
        <v>44013</v>
      </c>
      <c r="H62" s="57">
        <v>151.06666666666669</v>
      </c>
      <c r="I62">
        <f t="shared" si="5"/>
        <v>0</v>
      </c>
      <c r="K62" s="72">
        <v>44013</v>
      </c>
      <c r="L62" s="48">
        <v>154.4</v>
      </c>
      <c r="M62">
        <f t="shared" si="6"/>
        <v>0</v>
      </c>
      <c r="R62">
        <v>2020</v>
      </c>
      <c r="S62" t="s">
        <v>66</v>
      </c>
      <c r="T62" s="24">
        <v>151.19999999999999</v>
      </c>
      <c r="V62">
        <v>2020</v>
      </c>
      <c r="W62" t="s">
        <v>66</v>
      </c>
      <c r="X62" s="57">
        <v>150.1</v>
      </c>
      <c r="Y62" s="57">
        <v>140.70000000000002</v>
      </c>
      <c r="Z62" s="57">
        <v>143.36666666666667</v>
      </c>
      <c r="AA62" s="57">
        <v>145.99999999999997</v>
      </c>
      <c r="AB62" s="57">
        <v>131.1</v>
      </c>
      <c r="AC62" s="57">
        <v>156.63333333333333</v>
      </c>
      <c r="AD62" s="57">
        <f>AVERAGE(X62:AC62)</f>
        <v>144.65</v>
      </c>
    </row>
    <row r="63" spans="3:30">
      <c r="C63" s="71">
        <v>44044</v>
      </c>
      <c r="D63" s="53">
        <v>147.26111111111109</v>
      </c>
      <c r="E63">
        <f t="shared" si="4"/>
        <v>0.93675031415407417</v>
      </c>
      <c r="G63" s="71">
        <v>44044</v>
      </c>
      <c r="H63" s="57">
        <v>153.18333333333331</v>
      </c>
      <c r="I63">
        <f t="shared" si="5"/>
        <v>1.4011473962929946</v>
      </c>
      <c r="K63" s="71">
        <v>44044</v>
      </c>
      <c r="L63" s="48">
        <v>155</v>
      </c>
      <c r="M63">
        <f t="shared" si="6"/>
        <v>0.38860103626942638</v>
      </c>
      <c r="S63" t="s">
        <v>70</v>
      </c>
      <c r="T63" s="24">
        <v>151.69999999999999</v>
      </c>
      <c r="W63" t="s">
        <v>70</v>
      </c>
      <c r="X63" s="57">
        <v>150.36666666666667</v>
      </c>
      <c r="Y63" s="57">
        <v>140.9</v>
      </c>
      <c r="Z63" s="57">
        <v>146.13333333333335</v>
      </c>
      <c r="AA63" s="57">
        <v>146.20000000000002</v>
      </c>
      <c r="AB63" s="57">
        <v>130.5</v>
      </c>
      <c r="AC63" s="57">
        <v>156.76666666666665</v>
      </c>
      <c r="AD63" s="57">
        <f t="shared" ref="AD63:AD73" si="7">AVERAGE(X63:AC63)</f>
        <v>145.14444444444445</v>
      </c>
    </row>
    <row r="64" spans="3:30">
      <c r="C64" s="72">
        <v>44075</v>
      </c>
      <c r="D64" s="53">
        <v>147.47222222222223</v>
      </c>
      <c r="E64">
        <f t="shared" si="4"/>
        <v>0.14335835816955772</v>
      </c>
      <c r="G64" s="72">
        <v>44075</v>
      </c>
      <c r="H64" s="57">
        <v>154.08333333333334</v>
      </c>
      <c r="I64">
        <f t="shared" si="5"/>
        <v>0.58753128060060988</v>
      </c>
      <c r="K64" s="72">
        <v>44075</v>
      </c>
      <c r="L64" s="48">
        <v>155.6</v>
      </c>
      <c r="M64">
        <f t="shared" si="6"/>
        <v>0.38709677419354471</v>
      </c>
      <c r="S64" t="s">
        <v>71</v>
      </c>
      <c r="T64" s="24">
        <v>152.30000000000001</v>
      </c>
      <c r="W64" t="s">
        <v>71</v>
      </c>
      <c r="X64" s="57">
        <v>150.76666666666665</v>
      </c>
      <c r="Y64" s="57">
        <v>141.10000000000002</v>
      </c>
      <c r="Z64" s="57">
        <v>147.9</v>
      </c>
      <c r="AA64" s="57">
        <v>146.23333333333335</v>
      </c>
      <c r="AB64" s="57">
        <v>130.1</v>
      </c>
      <c r="AC64" s="57">
        <v>156.6</v>
      </c>
      <c r="AD64" s="57">
        <f t="shared" si="7"/>
        <v>145.45000000000002</v>
      </c>
    </row>
    <row r="65" spans="3:30">
      <c r="C65" s="71">
        <v>44105</v>
      </c>
      <c r="D65" s="53">
        <v>147.94999999999999</v>
      </c>
      <c r="E65">
        <f t="shared" si="4"/>
        <v>0.32397815031078098</v>
      </c>
      <c r="G65" s="71">
        <v>44105</v>
      </c>
      <c r="H65" s="57">
        <v>157.26666666666668</v>
      </c>
      <c r="I65">
        <f t="shared" si="5"/>
        <v>2.0659816116819925</v>
      </c>
      <c r="K65" s="71">
        <v>44105</v>
      </c>
      <c r="L65" s="48">
        <v>156.30000000000001</v>
      </c>
      <c r="M65">
        <f t="shared" si="6"/>
        <v>0.44987146529564076</v>
      </c>
      <c r="S65" t="s">
        <v>72</v>
      </c>
      <c r="T65" s="24">
        <v>150.69999999999999</v>
      </c>
      <c r="W65" t="s">
        <v>72</v>
      </c>
      <c r="X65" s="57">
        <v>151.21111111111111</v>
      </c>
      <c r="Y65" s="57">
        <v>141.95555555555555</v>
      </c>
      <c r="Z65" s="57">
        <v>143.20000000000002</v>
      </c>
      <c r="AA65" s="57">
        <v>146.21111111111114</v>
      </c>
      <c r="AB65" s="57">
        <v>131.8111111111111</v>
      </c>
      <c r="AC65" s="57">
        <v>156.70000000000002</v>
      </c>
      <c r="AD65" s="57">
        <f t="shared" si="7"/>
        <v>145.18148148148148</v>
      </c>
    </row>
    <row r="66" spans="3:30">
      <c r="C66" s="72">
        <v>44136</v>
      </c>
      <c r="D66" s="53">
        <v>148.21111111111111</v>
      </c>
      <c r="E66">
        <f t="shared" si="4"/>
        <v>0.17648605009200402</v>
      </c>
      <c r="G66" s="72">
        <v>44136</v>
      </c>
      <c r="H66" s="57">
        <v>160.90833333333333</v>
      </c>
      <c r="I66">
        <f t="shared" si="5"/>
        <v>2.3155998304366157</v>
      </c>
      <c r="K66" s="72">
        <v>44136</v>
      </c>
      <c r="L66" s="48">
        <v>157.19999999999999</v>
      </c>
      <c r="M66">
        <f t="shared" si="6"/>
        <v>0.57581573896351712</v>
      </c>
      <c r="S66" t="s">
        <v>73</v>
      </c>
      <c r="T66" s="24">
        <v>152.55000000000001</v>
      </c>
      <c r="W66" t="s">
        <v>73</v>
      </c>
      <c r="X66" s="57">
        <v>151.65555555555554</v>
      </c>
      <c r="Y66" s="57">
        <v>142.8111111111111</v>
      </c>
      <c r="Z66" s="57">
        <v>142.25</v>
      </c>
      <c r="AA66" s="57">
        <v>146.1888888888889</v>
      </c>
      <c r="AB66" s="57">
        <v>133.52222222222224</v>
      </c>
      <c r="AC66" s="57">
        <v>156.79999999999998</v>
      </c>
      <c r="AD66" s="57">
        <f t="shared" si="7"/>
        <v>145.53796296296295</v>
      </c>
    </row>
    <row r="67" spans="3:30">
      <c r="C67" s="71">
        <v>44166</v>
      </c>
      <c r="D67" s="53">
        <v>148.84444444444446</v>
      </c>
      <c r="E67">
        <f t="shared" si="4"/>
        <v>0.42731838968439817</v>
      </c>
      <c r="G67" s="71">
        <v>44166</v>
      </c>
      <c r="H67" s="57">
        <v>161.97499999999999</v>
      </c>
      <c r="I67">
        <f t="shared" si="5"/>
        <v>0.66290330933761221</v>
      </c>
      <c r="K67" s="71">
        <v>44166</v>
      </c>
      <c r="L67" s="48">
        <v>158.30000000000001</v>
      </c>
      <c r="M67">
        <f t="shared" si="6"/>
        <v>0.69974554707380587</v>
      </c>
      <c r="S67" t="s">
        <v>74</v>
      </c>
      <c r="T67" s="24">
        <v>154.4</v>
      </c>
      <c r="W67" t="s">
        <v>74</v>
      </c>
      <c r="X67" s="57">
        <v>152.1</v>
      </c>
      <c r="Y67" s="57">
        <v>143.66666666666666</v>
      </c>
      <c r="Z67" s="57">
        <v>141.29999999999998</v>
      </c>
      <c r="AA67" s="57">
        <v>146.16666666666666</v>
      </c>
      <c r="AB67" s="57">
        <v>135.23333333333335</v>
      </c>
      <c r="AC67" s="57">
        <v>156.9</v>
      </c>
      <c r="AD67" s="57">
        <f t="shared" si="7"/>
        <v>145.89444444444442</v>
      </c>
    </row>
    <row r="68" spans="3:30">
      <c r="D68" s="57"/>
      <c r="S68" t="s">
        <v>75</v>
      </c>
      <c r="T68" s="24">
        <v>154.4</v>
      </c>
      <c r="W68" t="s">
        <v>75</v>
      </c>
      <c r="X68" s="57">
        <v>152.1</v>
      </c>
      <c r="Y68" s="57">
        <v>143.66666666666666</v>
      </c>
      <c r="Z68" s="57">
        <v>141.29999999999998</v>
      </c>
      <c r="AA68" s="57">
        <v>146.16666666666666</v>
      </c>
      <c r="AB68" s="57">
        <v>135.23333333333335</v>
      </c>
      <c r="AC68" s="57">
        <v>156.9</v>
      </c>
      <c r="AD68" s="57">
        <f t="shared" si="7"/>
        <v>145.89444444444442</v>
      </c>
    </row>
    <row r="69" spans="3:30">
      <c r="S69" t="s">
        <v>76</v>
      </c>
      <c r="T69" s="24">
        <v>155</v>
      </c>
      <c r="W69" t="s">
        <v>76</v>
      </c>
      <c r="X69" s="57">
        <v>152.73333333333335</v>
      </c>
      <c r="Y69" s="57">
        <v>142.63333333333335</v>
      </c>
      <c r="Z69" s="57">
        <v>142.36666666666667</v>
      </c>
      <c r="AA69" s="57">
        <v>148.26666666666665</v>
      </c>
      <c r="AB69" s="57">
        <v>138.66666666666666</v>
      </c>
      <c r="AC69" s="57">
        <v>158.9</v>
      </c>
      <c r="AD69" s="57">
        <f t="shared" si="7"/>
        <v>147.26111111111109</v>
      </c>
    </row>
    <row r="70" spans="3:30">
      <c r="S70" t="s">
        <v>77</v>
      </c>
      <c r="T70" s="24">
        <v>155.6</v>
      </c>
      <c r="W70" t="s">
        <v>77</v>
      </c>
      <c r="X70" s="57">
        <v>153</v>
      </c>
      <c r="Y70" s="57">
        <v>143.5</v>
      </c>
      <c r="Z70" s="57">
        <v>142.16666666666666</v>
      </c>
      <c r="AA70" s="57">
        <v>148.56666666666669</v>
      </c>
      <c r="AB70" s="57">
        <v>139.76666666666665</v>
      </c>
      <c r="AC70" s="57">
        <v>157.83333333333334</v>
      </c>
      <c r="AD70" s="57">
        <f t="shared" si="7"/>
        <v>147.47222222222223</v>
      </c>
    </row>
    <row r="71" spans="3:30">
      <c r="S71" t="s">
        <v>78</v>
      </c>
      <c r="T71" s="24">
        <v>156.30000000000001</v>
      </c>
      <c r="W71" t="s">
        <v>78</v>
      </c>
      <c r="X71" s="57">
        <v>153.29999999999998</v>
      </c>
      <c r="Y71" s="57">
        <v>143.76666666666665</v>
      </c>
      <c r="Z71" s="57">
        <v>142.33333333333334</v>
      </c>
      <c r="AA71" s="57">
        <v>148.6</v>
      </c>
      <c r="AB71" s="57">
        <v>140.79999999999998</v>
      </c>
      <c r="AC71" s="57">
        <v>158.9</v>
      </c>
      <c r="AD71" s="57">
        <f t="shared" si="7"/>
        <v>147.94999999999999</v>
      </c>
    </row>
    <row r="72" spans="3:30">
      <c r="S72" t="s">
        <v>79</v>
      </c>
      <c r="T72" s="24">
        <v>157.19999999999999</v>
      </c>
      <c r="W72" t="s">
        <v>79</v>
      </c>
      <c r="X72" s="57">
        <v>153.9</v>
      </c>
      <c r="Y72" s="57">
        <v>144.1</v>
      </c>
      <c r="Z72" s="57">
        <v>142.79999999999998</v>
      </c>
      <c r="AA72" s="57">
        <v>149.03333333333333</v>
      </c>
      <c r="AB72" s="57">
        <v>140.56666666666669</v>
      </c>
      <c r="AC72" s="57">
        <v>158.86666666666667</v>
      </c>
      <c r="AD72" s="57">
        <f t="shared" si="7"/>
        <v>148.21111111111111</v>
      </c>
    </row>
    <row r="73" spans="3:30">
      <c r="F73" s="21" t="s">
        <v>126</v>
      </c>
      <c r="G73" s="19" t="s">
        <v>174</v>
      </c>
      <c r="H73" s="19" t="s">
        <v>176</v>
      </c>
      <c r="I73" s="19" t="s">
        <v>177</v>
      </c>
      <c r="S73" t="s">
        <v>80</v>
      </c>
      <c r="T73" s="24">
        <v>158.30000000000001</v>
      </c>
      <c r="W73" t="s">
        <v>80</v>
      </c>
      <c r="X73" s="57">
        <v>154.63333333333333</v>
      </c>
      <c r="Y73" s="57">
        <v>144.56666666666669</v>
      </c>
      <c r="Z73" s="57">
        <v>143.73333333333332</v>
      </c>
      <c r="AA73" s="57">
        <v>149.53333333333333</v>
      </c>
      <c r="AB73" s="57">
        <v>140.86666666666667</v>
      </c>
      <c r="AC73" s="57">
        <v>159.73333333333335</v>
      </c>
      <c r="AD73" s="57">
        <f t="shared" si="7"/>
        <v>148.84444444444446</v>
      </c>
    </row>
    <row r="74" spans="3:30">
      <c r="F74" s="72">
        <v>43831</v>
      </c>
      <c r="G74">
        <v>-0.23560677118227222</v>
      </c>
      <c r="H74">
        <v>0.53191489361700994</v>
      </c>
      <c r="I74">
        <v>0.38167938931298501</v>
      </c>
      <c r="R74" t="s">
        <v>93</v>
      </c>
      <c r="T74" s="24">
        <v>154.13749999999999</v>
      </c>
      <c r="V74" t="s">
        <v>93</v>
      </c>
      <c r="X74" s="57">
        <v>152.15555555555554</v>
      </c>
      <c r="Y74" s="57">
        <v>142.78055555555557</v>
      </c>
      <c r="Z74" s="57">
        <v>143.23750000000004</v>
      </c>
      <c r="AA74" s="57">
        <v>147.26388888888889</v>
      </c>
      <c r="AB74" s="57">
        <v>135.68055555555554</v>
      </c>
      <c r="AC74" s="57">
        <v>157.62777777777777</v>
      </c>
      <c r="AD74" s="57"/>
    </row>
    <row r="75" spans="3:30">
      <c r="F75" s="71">
        <v>43862</v>
      </c>
      <c r="G75">
        <v>-1.443841289383853</v>
      </c>
      <c r="H75">
        <v>0.3306878306878307</v>
      </c>
      <c r="I75">
        <v>0.3418212543687798</v>
      </c>
      <c r="R75" t="s">
        <v>99</v>
      </c>
      <c r="T75" s="24">
        <v>151.12826086956525</v>
      </c>
      <c r="V75" t="s">
        <v>99</v>
      </c>
      <c r="X75" s="24">
        <v>150.33333333333334</v>
      </c>
      <c r="Y75" s="24">
        <v>141.23768115942028</v>
      </c>
      <c r="Z75" s="24">
        <v>141.10362318840581</v>
      </c>
      <c r="AA75" s="24">
        <v>145.768115942029</v>
      </c>
      <c r="AB75" s="24">
        <v>130.9492753623189</v>
      </c>
      <c r="AC75" s="24">
        <v>155.76956521739129</v>
      </c>
      <c r="AD75" s="57"/>
    </row>
    <row r="76" spans="3:30">
      <c r="F76" s="72">
        <v>43891</v>
      </c>
      <c r="G76">
        <v>-0.82902731247515882</v>
      </c>
      <c r="H76">
        <v>0.39551746868821541</v>
      </c>
      <c r="I76">
        <v>0.21051825767435828</v>
      </c>
    </row>
    <row r="77" spans="3:30">
      <c r="F77" s="71">
        <v>43922</v>
      </c>
      <c r="G77">
        <v>3.4755224735184687</v>
      </c>
      <c r="H77">
        <v>-1.0505581089954186</v>
      </c>
      <c r="I77">
        <v>-0.18461225061432329</v>
      </c>
    </row>
    <row r="78" spans="3:30">
      <c r="F78" s="72">
        <v>43952</v>
      </c>
      <c r="G78">
        <v>0.15493581230634029</v>
      </c>
      <c r="H78">
        <v>1.2276045122760604</v>
      </c>
      <c r="I78">
        <v>0.24554197811167636</v>
      </c>
    </row>
    <row r="79" spans="3:30">
      <c r="F79" s="71">
        <v>43983</v>
      </c>
      <c r="G79">
        <v>0.15469613259669512</v>
      </c>
      <c r="H79">
        <v>1.2127171419206779</v>
      </c>
      <c r="I79">
        <v>0.24494054624921846</v>
      </c>
    </row>
    <row r="80" spans="3:30">
      <c r="F80" s="72">
        <v>44013</v>
      </c>
      <c r="G80">
        <v>0</v>
      </c>
      <c r="H80">
        <v>0</v>
      </c>
      <c r="I80">
        <v>0</v>
      </c>
    </row>
    <row r="81" spans="6:9">
      <c r="F81" s="71">
        <v>44044</v>
      </c>
      <c r="G81">
        <v>1.4011473962929946</v>
      </c>
      <c r="H81">
        <v>0.38860103626942638</v>
      </c>
      <c r="I81">
        <v>0.93675031415407417</v>
      </c>
    </row>
    <row r="82" spans="6:9">
      <c r="F82" s="72">
        <v>44075</v>
      </c>
      <c r="G82">
        <v>0.58753128060060988</v>
      </c>
      <c r="H82">
        <v>0.38709677419354471</v>
      </c>
      <c r="I82">
        <v>0.14335835816955772</v>
      </c>
    </row>
    <row r="83" spans="6:9">
      <c r="F83" s="71">
        <v>44105</v>
      </c>
      <c r="G83">
        <v>2.0659816116819925</v>
      </c>
      <c r="H83">
        <v>0.44987146529564076</v>
      </c>
      <c r="I83">
        <v>0.32397815031078098</v>
      </c>
    </row>
    <row r="84" spans="6:9">
      <c r="F84" s="72">
        <v>44136</v>
      </c>
      <c r="G84">
        <v>2.3155998304366157</v>
      </c>
      <c r="H84">
        <v>0.57581573896351712</v>
      </c>
      <c r="I84">
        <v>0.17648605009200402</v>
      </c>
    </row>
    <row r="85" spans="6:9">
      <c r="F85" s="71">
        <v>44166</v>
      </c>
      <c r="G85">
        <v>0.66290330933761221</v>
      </c>
      <c r="H85">
        <v>0.69974554707380587</v>
      </c>
      <c r="I85">
        <v>0.42731838968439817</v>
      </c>
    </row>
    <row r="86" spans="6:9">
      <c r="F86" s="58"/>
    </row>
  </sheetData>
  <pageMargins left="0.7" right="0.7" top="0.75" bottom="0.75" header="0.3" footer="0.3"/>
  <drawing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8216-BF41-4260-930D-1C3682E8E0B3}">
  <dimension ref="C1:BT90"/>
  <sheetViews>
    <sheetView tabSelected="1" topLeftCell="H27" workbookViewId="0">
      <selection activeCell="O54" sqref="O54"/>
    </sheetView>
  </sheetViews>
  <sheetFormatPr defaultRowHeight="15"/>
  <cols>
    <col min="3" max="3" width="12.42578125" style="24" bestFit="1" customWidth="1"/>
    <col min="4" max="4" width="17.140625" bestFit="1" customWidth="1"/>
    <col min="5" max="5" width="27.5703125" style="66" customWidth="1"/>
    <col min="6" max="7" width="20.7109375" style="66" customWidth="1"/>
    <col min="8" max="8" width="30.7109375" customWidth="1"/>
    <col min="9" max="9" width="28.28515625" style="66" bestFit="1" customWidth="1"/>
    <col min="10" max="10" width="36.85546875" customWidth="1"/>
    <col min="11" max="11" width="21.7109375" style="66" bestFit="1" customWidth="1"/>
    <col min="12" max="12" width="35.7109375" customWidth="1"/>
    <col min="13" max="13" width="30.42578125" style="66" bestFit="1" customWidth="1"/>
    <col min="14" max="14" width="23.7109375" bestFit="1" customWidth="1"/>
    <col min="15" max="15" width="38.5703125" style="66" customWidth="1"/>
    <col min="16" max="16" width="38.7109375" customWidth="1"/>
    <col min="17" max="17" width="40.5703125" style="66" customWidth="1"/>
    <col min="18" max="18" width="37.5703125" customWidth="1"/>
    <col min="19" max="19" width="27" style="66" customWidth="1"/>
    <col min="20" max="20" width="24.42578125" customWidth="1"/>
    <col min="21" max="21" width="21.5703125" style="66" customWidth="1"/>
    <col min="22" max="22" width="36.7109375" bestFit="1" customWidth="1"/>
    <col min="23" max="23" width="40.140625" style="66" customWidth="1"/>
    <col min="24" max="24" width="35.7109375" customWidth="1"/>
    <col min="25" max="25" width="35.7109375" style="66" customWidth="1"/>
    <col min="26" max="26" width="34.42578125" bestFit="1" customWidth="1"/>
    <col min="27" max="27" width="21.42578125" style="66" customWidth="1"/>
    <col min="28" max="28" width="33.7109375" bestFit="1" customWidth="1"/>
    <col min="29" max="29" width="21" style="66" customWidth="1"/>
    <col min="30" max="30" width="24.42578125" bestFit="1" customWidth="1"/>
    <col min="31" max="31" width="24.42578125" style="66" customWidth="1"/>
    <col min="32" max="32" width="24.42578125" customWidth="1"/>
    <col min="33" max="33" width="11.7109375" bestFit="1" customWidth="1"/>
    <col min="34" max="34" width="15.28515625" bestFit="1" customWidth="1"/>
    <col min="35" max="35" width="25.140625" bestFit="1" customWidth="1"/>
    <col min="36" max="36" width="24.42578125" customWidth="1"/>
    <col min="37" max="45" width="24.42578125" bestFit="1" customWidth="1"/>
    <col min="46" max="46" width="38.42578125" bestFit="1" customWidth="1"/>
    <col min="47" max="47" width="36" bestFit="1" customWidth="1"/>
    <col min="48" max="48" width="20" bestFit="1" customWidth="1"/>
    <col min="49" max="49" width="33.7109375" bestFit="1" customWidth="1"/>
    <col min="50" max="50" width="23.85546875" bestFit="1" customWidth="1"/>
    <col min="51" max="51" width="4.42578125" bestFit="1" customWidth="1"/>
    <col min="52" max="57" width="6.140625" bestFit="1" customWidth="1"/>
    <col min="58" max="58" width="7.85546875" bestFit="1" customWidth="1"/>
    <col min="59" max="91" width="6.140625" bestFit="1" customWidth="1"/>
    <col min="92" max="92" width="4.42578125" bestFit="1" customWidth="1"/>
    <col min="93" max="100" width="6.140625" bestFit="1" customWidth="1"/>
    <col min="101" max="101" width="4.42578125" bestFit="1" customWidth="1"/>
    <col min="102" max="130" width="6.140625" bestFit="1" customWidth="1"/>
    <col min="131" max="131" width="4.42578125" bestFit="1" customWidth="1"/>
    <col min="132" max="137" width="6.140625" bestFit="1" customWidth="1"/>
    <col min="138" max="138" width="4.42578125" bestFit="1" customWidth="1"/>
    <col min="139" max="144" width="6.140625" bestFit="1" customWidth="1"/>
    <col min="145" max="145" width="4.42578125" bestFit="1" customWidth="1"/>
    <col min="146" max="150" width="6.140625" bestFit="1" customWidth="1"/>
    <col min="151" max="151" width="4.42578125" bestFit="1" customWidth="1"/>
    <col min="152" max="157" width="6.140625" bestFit="1" customWidth="1"/>
    <col min="158" max="158" width="4.42578125" bestFit="1" customWidth="1"/>
    <col min="159" max="165" width="6.140625" bestFit="1" customWidth="1"/>
    <col min="166" max="166" width="4.42578125" bestFit="1" customWidth="1"/>
    <col min="167" max="185" width="6.140625" bestFit="1" customWidth="1"/>
    <col min="186" max="186" width="4.42578125" bestFit="1" customWidth="1"/>
    <col min="187" max="205" width="6.140625" bestFit="1" customWidth="1"/>
    <col min="206" max="206" width="4.42578125" bestFit="1" customWidth="1"/>
    <col min="207" max="219" width="6.140625" bestFit="1" customWidth="1"/>
    <col min="220" max="220" width="4.42578125" bestFit="1" customWidth="1"/>
    <col min="221" max="226" width="6.140625" bestFit="1" customWidth="1"/>
    <col min="227" max="227" width="4.42578125" bestFit="1" customWidth="1"/>
    <col min="228" max="233" width="6.140625" bestFit="1" customWidth="1"/>
    <col min="234" max="234" width="4.42578125" bestFit="1" customWidth="1"/>
    <col min="235" max="237" width="6.140625" bestFit="1" customWidth="1"/>
    <col min="238" max="238" width="4.42578125" bestFit="1" customWidth="1"/>
    <col min="239" max="249" width="6.140625" bestFit="1" customWidth="1"/>
    <col min="250" max="250" width="4.42578125" bestFit="1" customWidth="1"/>
    <col min="251" max="275" width="6.140625" bestFit="1" customWidth="1"/>
    <col min="276" max="276" width="4.42578125" bestFit="1" customWidth="1"/>
    <col min="277" max="281" width="6.140625" bestFit="1" customWidth="1"/>
    <col min="282" max="282" width="3.85546875" bestFit="1" customWidth="1"/>
    <col min="283" max="283" width="11.7109375" bestFit="1" customWidth="1"/>
  </cols>
  <sheetData>
    <row r="1" spans="3:72">
      <c r="D1" s="65" t="s">
        <v>178</v>
      </c>
      <c r="AG1" s="23" t="s">
        <v>59</v>
      </c>
      <c r="AH1" t="s">
        <v>69</v>
      </c>
    </row>
    <row r="2" spans="3:72">
      <c r="C2" s="63" t="s">
        <v>61</v>
      </c>
      <c r="D2" t="s">
        <v>179</v>
      </c>
      <c r="E2" s="66" t="s">
        <v>180</v>
      </c>
      <c r="F2" s="21" t="s">
        <v>181</v>
      </c>
      <c r="G2" s="21" t="s">
        <v>182</v>
      </c>
      <c r="H2" t="s">
        <v>183</v>
      </c>
      <c r="I2" s="66" t="s">
        <v>184</v>
      </c>
      <c r="J2" t="s">
        <v>185</v>
      </c>
      <c r="K2" s="66" t="s">
        <v>186</v>
      </c>
      <c r="L2" t="s">
        <v>187</v>
      </c>
      <c r="M2" s="66" t="s">
        <v>188</v>
      </c>
      <c r="N2" t="s">
        <v>189</v>
      </c>
      <c r="O2" s="66" t="s">
        <v>190</v>
      </c>
      <c r="P2" t="s">
        <v>191</v>
      </c>
      <c r="Q2" s="66" t="s">
        <v>192</v>
      </c>
      <c r="R2" t="s">
        <v>193</v>
      </c>
      <c r="S2" s="66" t="s">
        <v>194</v>
      </c>
      <c r="T2" t="s">
        <v>195</v>
      </c>
      <c r="U2" s="66" t="s">
        <v>196</v>
      </c>
      <c r="V2" t="s">
        <v>197</v>
      </c>
      <c r="W2" s="66" t="s">
        <v>198</v>
      </c>
      <c r="X2" t="s">
        <v>199</v>
      </c>
      <c r="Y2" s="66" t="s">
        <v>200</v>
      </c>
      <c r="Z2" t="s">
        <v>201</v>
      </c>
      <c r="AA2" s="66" t="s">
        <v>202</v>
      </c>
      <c r="AB2" t="s">
        <v>203</v>
      </c>
      <c r="AC2" s="66" t="s">
        <v>204</v>
      </c>
      <c r="AD2" t="s">
        <v>205</v>
      </c>
      <c r="AE2" s="66" t="s">
        <v>206</v>
      </c>
      <c r="BF2" s="47" t="s">
        <v>61</v>
      </c>
      <c r="BG2" s="19" t="s">
        <v>179</v>
      </c>
      <c r="BH2" s="19" t="s">
        <v>180</v>
      </c>
      <c r="BI2" t="s">
        <v>183</v>
      </c>
      <c r="BJ2" t="s">
        <v>185</v>
      </c>
      <c r="BK2" t="s">
        <v>187</v>
      </c>
      <c r="BL2" t="s">
        <v>189</v>
      </c>
      <c r="BM2" t="s">
        <v>191</v>
      </c>
      <c r="BN2" t="s">
        <v>193</v>
      </c>
      <c r="BO2" t="s">
        <v>195</v>
      </c>
      <c r="BP2" t="s">
        <v>197</v>
      </c>
      <c r="BQ2" t="s">
        <v>199</v>
      </c>
      <c r="BR2" t="s">
        <v>201</v>
      </c>
      <c r="BS2" t="s">
        <v>203</v>
      </c>
      <c r="BT2" t="s">
        <v>205</v>
      </c>
    </row>
    <row r="3" spans="3:72">
      <c r="C3" s="42">
        <v>44166</v>
      </c>
      <c r="D3">
        <v>49.84</v>
      </c>
      <c r="F3" s="67">
        <v>158.9</v>
      </c>
      <c r="H3">
        <v>165.4</v>
      </c>
      <c r="J3">
        <v>185.4</v>
      </c>
      <c r="L3">
        <v>153.6</v>
      </c>
      <c r="N3">
        <v>158.4</v>
      </c>
      <c r="P3">
        <v>144.6</v>
      </c>
      <c r="R3">
        <v>149.69999999999999</v>
      </c>
      <c r="T3">
        <v>158.30000000000001</v>
      </c>
      <c r="V3">
        <v>140.69999999999999</v>
      </c>
      <c r="X3">
        <v>148.5</v>
      </c>
      <c r="Z3">
        <v>159.4</v>
      </c>
      <c r="AB3">
        <v>157.1</v>
      </c>
      <c r="AD3">
        <v>151.19999999999999</v>
      </c>
      <c r="AG3" s="23" t="s">
        <v>60</v>
      </c>
      <c r="AH3" s="23" t="s">
        <v>61</v>
      </c>
      <c r="AI3" t="s">
        <v>207</v>
      </c>
      <c r="BF3" s="42">
        <v>44166</v>
      </c>
      <c r="BG3">
        <v>49.84</v>
      </c>
      <c r="BI3" s="48">
        <v>165.4</v>
      </c>
      <c r="BJ3" s="48">
        <v>185.4</v>
      </c>
      <c r="BK3" s="48">
        <v>153.6</v>
      </c>
      <c r="BL3" s="48">
        <v>158.4</v>
      </c>
      <c r="BM3" s="48">
        <v>144.6</v>
      </c>
      <c r="BN3" s="48">
        <v>149.69999999999999</v>
      </c>
      <c r="BO3" s="48">
        <v>158.30000000000001</v>
      </c>
      <c r="BP3" s="48">
        <v>140.69999999999999</v>
      </c>
      <c r="BQ3" s="48">
        <v>148.5</v>
      </c>
      <c r="BR3" s="48">
        <v>159.4</v>
      </c>
      <c r="BS3" s="48">
        <v>157.1</v>
      </c>
      <c r="BT3" s="48">
        <v>151.19999999999999</v>
      </c>
    </row>
    <row r="4" spans="3:72">
      <c r="C4" s="42">
        <v>44197</v>
      </c>
      <c r="D4">
        <v>54.79</v>
      </c>
      <c r="E4" s="66">
        <v>9.9317817014446135</v>
      </c>
      <c r="F4" s="67">
        <v>157.30000000000001</v>
      </c>
      <c r="G4" s="67">
        <f>((F4-F3)/F3)*100</f>
        <v>-1.0069225928256729</v>
      </c>
      <c r="H4">
        <v>161</v>
      </c>
      <c r="I4" s="67">
        <f>((H4-H3)/H3)*100</f>
        <v>-2.6602176541717082</v>
      </c>
      <c r="J4">
        <v>186.5</v>
      </c>
      <c r="K4" s="67">
        <f>((J4-J3)/J3)*100</f>
        <v>0.59331175836029892</v>
      </c>
      <c r="L4">
        <v>154.19999999999999</v>
      </c>
      <c r="M4" s="67">
        <f>((L4-L3)/L3)*100</f>
        <v>0.39062499999999634</v>
      </c>
      <c r="N4">
        <v>157.69999999999999</v>
      </c>
      <c r="O4" s="67">
        <f>((N4-N3)/N3)*100</f>
        <v>-0.44191919191920265</v>
      </c>
      <c r="P4">
        <v>147.9</v>
      </c>
      <c r="Q4" s="68">
        <f>((P4-P3)/P3)*100</f>
        <v>2.2821576763485556</v>
      </c>
      <c r="R4">
        <v>150</v>
      </c>
      <c r="S4" s="68">
        <f>((R4-R3)/R3)*100</f>
        <v>0.20040080160321402</v>
      </c>
      <c r="T4">
        <v>159.30000000000001</v>
      </c>
      <c r="U4" s="67">
        <f>((T4-T3)/T3)*100</f>
        <v>0.63171193935565373</v>
      </c>
      <c r="V4">
        <v>141.9</v>
      </c>
      <c r="W4" s="67">
        <f>((V4-V3)/V3)*100</f>
        <v>0.85287846481877549</v>
      </c>
      <c r="X4">
        <v>149.6</v>
      </c>
      <c r="Y4" s="67">
        <f>((X4-X3)/X3)*100</f>
        <v>0.74074074074073692</v>
      </c>
      <c r="Z4">
        <v>159.19999999999999</v>
      </c>
      <c r="AA4" s="67">
        <f>((Z4-Z3)/Z3)*100</f>
        <v>-0.12547051442911986</v>
      </c>
      <c r="AB4">
        <v>156.80000000000001</v>
      </c>
      <c r="AC4" s="67">
        <f>((AB4-AB3)/AB3)*100</f>
        <v>-0.19096117122850603</v>
      </c>
      <c r="AD4">
        <v>151.9</v>
      </c>
      <c r="AE4" s="67">
        <f>((AD4-AD3)/AD3)*100</f>
        <v>0.46296296296297429</v>
      </c>
      <c r="AG4">
        <v>2020</v>
      </c>
      <c r="AH4" t="s">
        <v>66</v>
      </c>
      <c r="AI4" s="64">
        <v>150.19999999999999</v>
      </c>
      <c r="BF4" s="42">
        <v>44197</v>
      </c>
      <c r="BG4">
        <v>54.79</v>
      </c>
      <c r="BH4">
        <f>((BG4-BG3)/BG3)*100</f>
        <v>9.9317817014446135</v>
      </c>
      <c r="BI4" s="48">
        <v>161</v>
      </c>
      <c r="BJ4" s="48">
        <v>186.5</v>
      </c>
      <c r="BK4" s="48">
        <v>154.19999999999999</v>
      </c>
      <c r="BL4" s="48">
        <v>157.69999999999999</v>
      </c>
      <c r="BM4" s="48">
        <v>147.9</v>
      </c>
      <c r="BN4" s="48">
        <v>150</v>
      </c>
      <c r="BO4" s="48">
        <v>159.30000000000001</v>
      </c>
      <c r="BP4" s="48">
        <v>141.9</v>
      </c>
      <c r="BQ4" s="48">
        <v>149.6</v>
      </c>
      <c r="BR4" s="48">
        <v>159.19999999999999</v>
      </c>
      <c r="BS4" s="48">
        <v>156.80000000000001</v>
      </c>
      <c r="BT4" s="48">
        <v>151.9</v>
      </c>
    </row>
    <row r="5" spans="3:72">
      <c r="C5" s="42">
        <v>44228</v>
      </c>
      <c r="D5">
        <v>61.22</v>
      </c>
      <c r="E5" s="66">
        <v>11.735718196751231</v>
      </c>
      <c r="F5" s="67">
        <v>156.6</v>
      </c>
      <c r="G5" s="67">
        <f t="shared" ref="G5:G32" si="0">((F5-F4)/F4)*100</f>
        <v>-0.44500953591863762</v>
      </c>
      <c r="H5">
        <v>156.9</v>
      </c>
      <c r="I5" s="67">
        <f t="shared" ref="I5:I32" si="1">((H5-H4)/H4)*100</f>
        <v>-2.5465838509316736</v>
      </c>
      <c r="J5">
        <v>188.3</v>
      </c>
      <c r="K5" s="67">
        <f t="shared" ref="K5:K32" si="2">((J5-J4)/J4)*100</f>
        <v>0.965147453083116</v>
      </c>
      <c r="L5">
        <v>155.80000000000001</v>
      </c>
      <c r="M5" s="67">
        <f t="shared" ref="M5:M32" si="3">((L5-L4)/L4)*100</f>
        <v>1.0376134889753716</v>
      </c>
      <c r="N5">
        <v>159.80000000000001</v>
      </c>
      <c r="O5" s="67">
        <f t="shared" ref="O5:O32" si="4">((N5-N4)/N4)*100</f>
        <v>1.331642358909336</v>
      </c>
      <c r="P5">
        <v>152.4</v>
      </c>
      <c r="Q5" s="68">
        <f t="shared" ref="Q5:Q32" si="5">((P5-P4)/P4)*100</f>
        <v>3.0425963488843815</v>
      </c>
      <c r="R5">
        <v>150.9</v>
      </c>
      <c r="S5" s="68">
        <f t="shared" ref="S5:S32" si="6">((R5-R4)/R4)*100</f>
        <v>0.60000000000000386</v>
      </c>
      <c r="T5">
        <v>161.30000000000001</v>
      </c>
      <c r="U5" s="67">
        <f t="shared" ref="U5:U32" si="7">((T5-T4)/T4)*100</f>
        <v>1.2554927809165097</v>
      </c>
      <c r="V5">
        <v>145.1</v>
      </c>
      <c r="W5" s="67">
        <f t="shared" ref="W5:W32" si="8">((V5-V4)/V4)*100</f>
        <v>2.2551092318534098</v>
      </c>
      <c r="X5">
        <v>151.5</v>
      </c>
      <c r="Y5" s="67">
        <f t="shared" ref="Y5:Y32" si="9">((X5-X4)/X4)*100</f>
        <v>1.2700534759358328</v>
      </c>
      <c r="Z5">
        <v>159.5</v>
      </c>
      <c r="AA5" s="67">
        <f t="shared" ref="AA5:AA32" si="10">((Z5-Z4)/Z4)*100</f>
        <v>0.18844221105528353</v>
      </c>
      <c r="AB5">
        <v>155.80000000000001</v>
      </c>
      <c r="AC5" s="67">
        <f t="shared" ref="AC5:AC32" si="11">((AB5-AB4)/AB4)*100</f>
        <v>-0.6377551020408162</v>
      </c>
      <c r="AD5">
        <v>153.4</v>
      </c>
      <c r="AE5" s="67">
        <f t="shared" ref="AE5:AE32" si="12">((AD5-AD4)/AD4)*100</f>
        <v>0.98749177090190909</v>
      </c>
      <c r="AH5" t="s">
        <v>70</v>
      </c>
      <c r="AI5" s="64">
        <v>149.1</v>
      </c>
      <c r="BF5" s="42">
        <v>44228</v>
      </c>
      <c r="BG5">
        <v>61.22</v>
      </c>
      <c r="BH5">
        <f t="shared" ref="BH5:BH15" si="13">((BG5-BG4)/BG4)*100</f>
        <v>11.735718196751231</v>
      </c>
      <c r="BI5" s="48">
        <v>156.9</v>
      </c>
      <c r="BJ5" s="48">
        <v>188.3</v>
      </c>
      <c r="BK5" s="48">
        <v>155.80000000000001</v>
      </c>
      <c r="BL5" s="48">
        <v>159.80000000000001</v>
      </c>
      <c r="BM5" s="48">
        <v>152.4</v>
      </c>
      <c r="BN5" s="48">
        <v>150.9</v>
      </c>
      <c r="BO5" s="48">
        <v>161.30000000000001</v>
      </c>
      <c r="BP5" s="48">
        <v>145.1</v>
      </c>
      <c r="BQ5" s="48">
        <v>151.5</v>
      </c>
      <c r="BR5" s="48">
        <v>159.5</v>
      </c>
      <c r="BS5" s="48">
        <v>155.80000000000001</v>
      </c>
      <c r="BT5" s="48">
        <v>153.4</v>
      </c>
    </row>
    <row r="6" spans="3:72">
      <c r="C6" s="42">
        <v>44256</v>
      </c>
      <c r="D6">
        <v>64.73</v>
      </c>
      <c r="E6" s="66">
        <v>5.7334204508330693</v>
      </c>
      <c r="F6" s="67">
        <v>156.80000000000001</v>
      </c>
      <c r="G6" s="67">
        <f t="shared" si="0"/>
        <v>0.12771392081737998</v>
      </c>
      <c r="H6">
        <v>156.69999999999999</v>
      </c>
      <c r="I6" s="67">
        <f t="shared" si="1"/>
        <v>-0.12746972594010009</v>
      </c>
      <c r="J6">
        <v>188.1</v>
      </c>
      <c r="K6" s="67">
        <f t="shared" si="2"/>
        <v>-0.10621348911312642</v>
      </c>
      <c r="L6">
        <v>156.4</v>
      </c>
      <c r="M6" s="67">
        <f t="shared" si="3"/>
        <v>0.38510911424903355</v>
      </c>
      <c r="N6">
        <v>159.9</v>
      </c>
      <c r="O6" s="67">
        <f t="shared" si="4"/>
        <v>6.2578222778469528E-2</v>
      </c>
      <c r="P6">
        <v>155.5</v>
      </c>
      <c r="Q6" s="68">
        <f t="shared" si="5"/>
        <v>2.0341207349081327</v>
      </c>
      <c r="R6">
        <v>151.19999999999999</v>
      </c>
      <c r="S6" s="68">
        <f t="shared" si="6"/>
        <v>0.19880715705764279</v>
      </c>
      <c r="T6">
        <v>161.69999999999999</v>
      </c>
      <c r="U6" s="67">
        <f t="shared" si="7"/>
        <v>0.24798512089273234</v>
      </c>
      <c r="V6">
        <v>146.19999999999999</v>
      </c>
      <c r="W6" s="67">
        <f t="shared" si="8"/>
        <v>0.75809786354238073</v>
      </c>
      <c r="X6">
        <v>152.6</v>
      </c>
      <c r="Y6" s="67">
        <f t="shared" si="9"/>
        <v>0.72607260726072231</v>
      </c>
      <c r="Z6">
        <v>160.19999999999999</v>
      </c>
      <c r="AA6" s="67">
        <f t="shared" si="10"/>
        <v>0.43887147335422488</v>
      </c>
      <c r="AB6">
        <v>153.80000000000001</v>
      </c>
      <c r="AC6" s="67">
        <f t="shared" si="11"/>
        <v>-1.2836970474967906</v>
      </c>
      <c r="AD6">
        <v>153.80000000000001</v>
      </c>
      <c r="AE6" s="67">
        <f t="shared" si="12"/>
        <v>0.26075619295958646</v>
      </c>
      <c r="AH6" t="s">
        <v>71</v>
      </c>
      <c r="AI6" s="64">
        <v>148.6</v>
      </c>
      <c r="BF6" s="42">
        <v>44256</v>
      </c>
      <c r="BG6">
        <v>64.73</v>
      </c>
      <c r="BH6">
        <f t="shared" si="13"/>
        <v>5.7334204508330693</v>
      </c>
      <c r="BI6" s="48">
        <v>156.69999999999999</v>
      </c>
      <c r="BJ6" s="48">
        <v>188.1</v>
      </c>
      <c r="BK6" s="48">
        <v>156.4</v>
      </c>
      <c r="BL6" s="48">
        <v>159.9</v>
      </c>
      <c r="BM6" s="48">
        <v>155.5</v>
      </c>
      <c r="BN6" s="48">
        <v>151.19999999999999</v>
      </c>
      <c r="BO6" s="48">
        <v>161.69999999999999</v>
      </c>
      <c r="BP6" s="48">
        <v>146.19999999999999</v>
      </c>
      <c r="BQ6" s="48">
        <v>152.6</v>
      </c>
      <c r="BR6" s="48">
        <v>160.19999999999999</v>
      </c>
      <c r="BS6" s="48">
        <v>153.80000000000001</v>
      </c>
      <c r="BT6" s="48">
        <v>153.80000000000001</v>
      </c>
    </row>
    <row r="7" spans="3:72">
      <c r="C7" s="42">
        <v>44287</v>
      </c>
      <c r="D7">
        <v>63.4</v>
      </c>
      <c r="E7" s="66">
        <v>-2.0546887069365138</v>
      </c>
      <c r="F7" s="67">
        <v>157.80000000000001</v>
      </c>
      <c r="G7" s="67">
        <f t="shared" si="0"/>
        <v>0.6377551020408162</v>
      </c>
      <c r="H7">
        <v>158</v>
      </c>
      <c r="I7" s="67">
        <f t="shared" si="1"/>
        <v>0.82961072112317258</v>
      </c>
      <c r="J7">
        <v>188.8</v>
      </c>
      <c r="K7" s="67">
        <f t="shared" si="2"/>
        <v>0.37214247740564438</v>
      </c>
      <c r="L7">
        <v>157.30000000000001</v>
      </c>
      <c r="M7" s="67">
        <f t="shared" si="3"/>
        <v>0.57544757033248439</v>
      </c>
      <c r="N7">
        <v>161.4</v>
      </c>
      <c r="O7" s="67">
        <f t="shared" si="4"/>
        <v>0.9380863039399624</v>
      </c>
      <c r="P7">
        <v>155.6</v>
      </c>
      <c r="Q7" s="68">
        <f t="shared" si="5"/>
        <v>6.4308681672022069E-2</v>
      </c>
      <c r="R7">
        <v>151.80000000000001</v>
      </c>
      <c r="S7" s="68">
        <f t="shared" si="6"/>
        <v>0.3968253968254119</v>
      </c>
      <c r="T7">
        <v>162.30000000000001</v>
      </c>
      <c r="U7" s="67">
        <f t="shared" si="7"/>
        <v>0.3710575139146709</v>
      </c>
      <c r="V7">
        <v>146.6</v>
      </c>
      <c r="W7" s="67">
        <f t="shared" si="8"/>
        <v>0.27359781121751414</v>
      </c>
      <c r="X7">
        <v>153.19999999999999</v>
      </c>
      <c r="Y7" s="67">
        <f t="shared" si="9"/>
        <v>0.39318479685451796</v>
      </c>
      <c r="Z7">
        <v>160.30000000000001</v>
      </c>
      <c r="AA7" s="67">
        <f t="shared" si="10"/>
        <v>6.2421972534346275E-2</v>
      </c>
      <c r="AB7">
        <v>155.4</v>
      </c>
      <c r="AC7" s="67">
        <f t="shared" si="11"/>
        <v>1.0403120936280845</v>
      </c>
      <c r="AD7">
        <v>154.4</v>
      </c>
      <c r="AE7" s="67">
        <f t="shared" si="12"/>
        <v>0.39011703511052942</v>
      </c>
      <c r="AH7" t="s">
        <v>72</v>
      </c>
      <c r="AI7" s="64">
        <v>149.66666666666666</v>
      </c>
      <c r="BF7" s="42">
        <v>44287</v>
      </c>
      <c r="BG7">
        <v>63.4</v>
      </c>
      <c r="BH7">
        <f t="shared" si="13"/>
        <v>-2.0546887069365138</v>
      </c>
      <c r="BI7" s="48">
        <v>158</v>
      </c>
      <c r="BJ7" s="48">
        <v>188.8</v>
      </c>
      <c r="BK7" s="48">
        <v>157.30000000000001</v>
      </c>
      <c r="BL7" s="48">
        <v>161.4</v>
      </c>
      <c r="BM7" s="48">
        <v>155.6</v>
      </c>
      <c r="BN7" s="48">
        <v>151.80000000000001</v>
      </c>
      <c r="BO7" s="48">
        <v>162.30000000000001</v>
      </c>
      <c r="BP7" s="48">
        <v>146.6</v>
      </c>
      <c r="BQ7" s="48">
        <v>153.19999999999999</v>
      </c>
      <c r="BR7" s="48">
        <v>160.30000000000001</v>
      </c>
      <c r="BS7" s="48">
        <v>155.4</v>
      </c>
      <c r="BT7" s="48">
        <v>154.4</v>
      </c>
    </row>
    <row r="8" spans="3:72">
      <c r="C8" s="42">
        <v>44317</v>
      </c>
      <c r="D8">
        <v>66.95</v>
      </c>
      <c r="E8" s="66">
        <v>5.5993690851735085</v>
      </c>
      <c r="F8" s="67">
        <v>160.4</v>
      </c>
      <c r="G8" s="67">
        <f t="shared" si="0"/>
        <v>1.6476552598225565</v>
      </c>
      <c r="H8">
        <v>160.69999999999999</v>
      </c>
      <c r="I8" s="67">
        <f t="shared" si="1"/>
        <v>1.7088607594936638</v>
      </c>
      <c r="J8">
        <v>191.9</v>
      </c>
      <c r="K8" s="67">
        <f t="shared" si="2"/>
        <v>1.6419491525423699</v>
      </c>
      <c r="L8">
        <v>160.4</v>
      </c>
      <c r="M8" s="67">
        <f t="shared" si="3"/>
        <v>1.9707565162110579</v>
      </c>
      <c r="N8">
        <v>161.6</v>
      </c>
      <c r="O8" s="67">
        <f t="shared" si="4"/>
        <v>0.12391573729862988</v>
      </c>
      <c r="P8">
        <v>159.4</v>
      </c>
      <c r="Q8" s="68">
        <f t="shared" si="5"/>
        <v>2.4421593830334265</v>
      </c>
      <c r="R8">
        <v>154.69999999999999</v>
      </c>
      <c r="S8" s="68">
        <f t="shared" si="6"/>
        <v>1.9104084321475474</v>
      </c>
      <c r="T8">
        <v>165.8</v>
      </c>
      <c r="U8" s="67">
        <f t="shared" si="7"/>
        <v>2.1565003080714726</v>
      </c>
      <c r="V8">
        <v>148.9</v>
      </c>
      <c r="W8" s="67">
        <f t="shared" si="8"/>
        <v>1.5688949522510309</v>
      </c>
      <c r="X8">
        <v>155.80000000000001</v>
      </c>
      <c r="Y8" s="67">
        <f t="shared" si="9"/>
        <v>1.6971279373368298</v>
      </c>
      <c r="Z8">
        <v>161.19999999999999</v>
      </c>
      <c r="AA8" s="67">
        <f t="shared" si="10"/>
        <v>0.56144728633810181</v>
      </c>
      <c r="AB8">
        <v>158.6</v>
      </c>
      <c r="AC8" s="67">
        <f t="shared" si="11"/>
        <v>2.0592020592020517</v>
      </c>
      <c r="AD8">
        <v>156.80000000000001</v>
      </c>
      <c r="AE8" s="67">
        <f t="shared" si="12"/>
        <v>1.5544041450777237</v>
      </c>
      <c r="AH8" t="s">
        <v>73</v>
      </c>
      <c r="AI8" s="64">
        <v>150.73333333333335</v>
      </c>
      <c r="BF8" s="42">
        <v>44317</v>
      </c>
      <c r="BG8">
        <v>66.95</v>
      </c>
      <c r="BH8">
        <f t="shared" si="13"/>
        <v>5.5993690851735085</v>
      </c>
      <c r="BI8" s="48">
        <v>160.69999999999999</v>
      </c>
      <c r="BJ8" s="48">
        <v>191.9</v>
      </c>
      <c r="BK8" s="48">
        <v>160.4</v>
      </c>
      <c r="BL8" s="48">
        <v>161.6</v>
      </c>
      <c r="BM8" s="48">
        <v>159.4</v>
      </c>
      <c r="BN8" s="48">
        <v>154.69999999999999</v>
      </c>
      <c r="BO8" s="48">
        <v>165.8</v>
      </c>
      <c r="BP8" s="48">
        <v>148.9</v>
      </c>
      <c r="BQ8" s="48">
        <v>155.80000000000001</v>
      </c>
      <c r="BR8" s="48">
        <v>161.19999999999999</v>
      </c>
      <c r="BS8" s="48">
        <v>158.6</v>
      </c>
      <c r="BT8" s="48">
        <v>156.80000000000001</v>
      </c>
    </row>
    <row r="9" spans="3:72">
      <c r="C9" s="42">
        <v>44348</v>
      </c>
      <c r="D9">
        <v>71.98</v>
      </c>
      <c r="E9" s="66">
        <v>7.5130694548170283</v>
      </c>
      <c r="F9" s="67">
        <v>161.30000000000001</v>
      </c>
      <c r="G9" s="67">
        <f t="shared" si="0"/>
        <v>0.56109725685785894</v>
      </c>
      <c r="H9">
        <v>162.6</v>
      </c>
      <c r="I9" s="67">
        <f t="shared" si="1"/>
        <v>1.1823273179838243</v>
      </c>
      <c r="J9">
        <v>190.8</v>
      </c>
      <c r="K9" s="67">
        <f t="shared" si="2"/>
        <v>-0.57321521625846494</v>
      </c>
      <c r="L9">
        <v>160.69999999999999</v>
      </c>
      <c r="M9" s="67">
        <f t="shared" si="3"/>
        <v>0.18703241895260783</v>
      </c>
      <c r="N9">
        <v>160.5</v>
      </c>
      <c r="O9" s="67">
        <f t="shared" si="4"/>
        <v>-0.68069306930692719</v>
      </c>
      <c r="P9">
        <v>159.80000000000001</v>
      </c>
      <c r="Q9" s="68">
        <f t="shared" si="5"/>
        <v>0.25094102885822184</v>
      </c>
      <c r="R9">
        <v>154.80000000000001</v>
      </c>
      <c r="S9" s="68">
        <f t="shared" si="6"/>
        <v>6.464124111184405E-2</v>
      </c>
      <c r="T9">
        <v>166.3</v>
      </c>
      <c r="U9" s="67">
        <f t="shared" si="7"/>
        <v>0.30156815440289503</v>
      </c>
      <c r="V9">
        <v>150.69999999999999</v>
      </c>
      <c r="W9" s="67">
        <f t="shared" si="8"/>
        <v>1.2088650100738636</v>
      </c>
      <c r="X9">
        <v>154.9</v>
      </c>
      <c r="Y9" s="67">
        <f t="shared" si="9"/>
        <v>-0.57766367137355945</v>
      </c>
      <c r="Z9">
        <v>161.69999999999999</v>
      </c>
      <c r="AA9" s="67">
        <f t="shared" si="10"/>
        <v>0.3101736972704715</v>
      </c>
      <c r="AB9">
        <v>158.80000000000001</v>
      </c>
      <c r="AC9" s="67">
        <f t="shared" si="11"/>
        <v>0.12610340479194013</v>
      </c>
      <c r="AD9">
        <v>157.6</v>
      </c>
      <c r="AE9" s="67">
        <f t="shared" si="12"/>
        <v>0.51020408163264219</v>
      </c>
      <c r="AH9" t="s">
        <v>74</v>
      </c>
      <c r="AI9" s="64">
        <v>151.80000000000001</v>
      </c>
      <c r="BF9" s="42">
        <v>44348</v>
      </c>
      <c r="BG9">
        <v>71.98</v>
      </c>
      <c r="BH9">
        <f t="shared" si="13"/>
        <v>7.5130694548170283</v>
      </c>
      <c r="BI9" s="48">
        <v>162.6</v>
      </c>
      <c r="BJ9" s="48">
        <v>190.8</v>
      </c>
      <c r="BK9" s="48">
        <v>160.69999999999999</v>
      </c>
      <c r="BL9" s="48">
        <v>160.5</v>
      </c>
      <c r="BM9" s="48">
        <v>159.80000000000001</v>
      </c>
      <c r="BN9" s="48">
        <v>154.80000000000001</v>
      </c>
      <c r="BO9" s="48">
        <v>166.3</v>
      </c>
      <c r="BP9" s="48">
        <v>150.69999999999999</v>
      </c>
      <c r="BQ9" s="48">
        <v>154.9</v>
      </c>
      <c r="BR9" s="48">
        <v>161.69999999999999</v>
      </c>
      <c r="BS9" s="48">
        <v>158.80000000000001</v>
      </c>
      <c r="BT9" s="48">
        <v>157.6</v>
      </c>
    </row>
    <row r="10" spans="3:72">
      <c r="C10" s="42">
        <v>44378</v>
      </c>
      <c r="D10">
        <v>73.540000000000006</v>
      </c>
      <c r="E10" s="66">
        <v>2.1672686857460435</v>
      </c>
      <c r="F10" s="67">
        <v>162.5</v>
      </c>
      <c r="G10" s="67">
        <f t="shared" si="0"/>
        <v>0.74395536267823226</v>
      </c>
      <c r="H10">
        <v>164</v>
      </c>
      <c r="I10" s="67">
        <f t="shared" si="1"/>
        <v>0.86100861008610452</v>
      </c>
      <c r="J10">
        <v>191.2</v>
      </c>
      <c r="K10" s="67">
        <f t="shared" si="2"/>
        <v>0.20964360587000905</v>
      </c>
      <c r="L10">
        <v>161.4</v>
      </c>
      <c r="M10" s="67">
        <f t="shared" si="3"/>
        <v>0.43559427504668141</v>
      </c>
      <c r="N10">
        <v>161.5</v>
      </c>
      <c r="O10" s="67">
        <f t="shared" si="4"/>
        <v>0.62305295950155759</v>
      </c>
      <c r="P10">
        <v>160.69999999999999</v>
      </c>
      <c r="Q10" s="68">
        <f t="shared" si="5"/>
        <v>0.56320400500624357</v>
      </c>
      <c r="R10">
        <v>155.80000000000001</v>
      </c>
      <c r="S10" s="68">
        <f t="shared" si="6"/>
        <v>0.64599483204134367</v>
      </c>
      <c r="T10">
        <v>167</v>
      </c>
      <c r="U10" s="67">
        <f t="shared" si="7"/>
        <v>0.42092603728201361</v>
      </c>
      <c r="V10">
        <v>153.1</v>
      </c>
      <c r="W10" s="67">
        <f t="shared" si="8"/>
        <v>1.5925680159256841</v>
      </c>
      <c r="X10">
        <v>155.30000000000001</v>
      </c>
      <c r="Y10" s="67">
        <f t="shared" si="9"/>
        <v>0.25823111684958405</v>
      </c>
      <c r="Z10">
        <v>163.19999999999999</v>
      </c>
      <c r="AA10" s="67">
        <f t="shared" si="10"/>
        <v>0.927643784786642</v>
      </c>
      <c r="AB10">
        <v>160.1</v>
      </c>
      <c r="AC10" s="67">
        <f t="shared" si="11"/>
        <v>0.8186397984886542</v>
      </c>
      <c r="AD10">
        <v>159</v>
      </c>
      <c r="AE10" s="67">
        <f t="shared" si="12"/>
        <v>0.88832487309645036</v>
      </c>
      <c r="AH10" t="s">
        <v>75</v>
      </c>
      <c r="AI10" s="64">
        <v>151.80000000000001</v>
      </c>
      <c r="BF10" s="42">
        <v>44378</v>
      </c>
      <c r="BG10">
        <v>73.540000000000006</v>
      </c>
      <c r="BH10">
        <f t="shared" si="13"/>
        <v>2.1672686857460435</v>
      </c>
      <c r="BI10" s="48">
        <v>164</v>
      </c>
      <c r="BJ10" s="48">
        <v>191.2</v>
      </c>
      <c r="BK10" s="48">
        <v>161.4</v>
      </c>
      <c r="BL10" s="48">
        <v>161.5</v>
      </c>
      <c r="BM10" s="48">
        <v>160.69999999999999</v>
      </c>
      <c r="BN10" s="48">
        <v>155.80000000000001</v>
      </c>
      <c r="BO10" s="48">
        <v>167</v>
      </c>
      <c r="BP10" s="48">
        <v>153.1</v>
      </c>
      <c r="BQ10" s="48">
        <v>155.30000000000001</v>
      </c>
      <c r="BR10" s="48">
        <v>163.19999999999999</v>
      </c>
      <c r="BS10" s="48">
        <v>160.1</v>
      </c>
      <c r="BT10" s="48">
        <v>159</v>
      </c>
    </row>
    <row r="11" spans="3:72">
      <c r="C11" s="42">
        <v>44409</v>
      </c>
      <c r="D11">
        <v>69.8</v>
      </c>
      <c r="E11" s="66">
        <v>-5.085667663856416</v>
      </c>
      <c r="F11" s="67">
        <v>163.19999999999999</v>
      </c>
      <c r="G11" s="67">
        <f t="shared" si="0"/>
        <v>0.4307692307692238</v>
      </c>
      <c r="H11">
        <v>164</v>
      </c>
      <c r="I11" s="67">
        <f t="shared" si="1"/>
        <v>0</v>
      </c>
      <c r="J11">
        <v>192.1</v>
      </c>
      <c r="K11" s="67">
        <f t="shared" si="2"/>
        <v>0.47071129707113268</v>
      </c>
      <c r="L11">
        <v>163.19999999999999</v>
      </c>
      <c r="M11" s="67">
        <f t="shared" si="3"/>
        <v>1.1152416356877217</v>
      </c>
      <c r="N11">
        <v>162.1</v>
      </c>
      <c r="O11" s="67">
        <f t="shared" si="4"/>
        <v>0.37151702786377355</v>
      </c>
      <c r="P11">
        <v>162.6</v>
      </c>
      <c r="Q11" s="68">
        <f t="shared" si="5"/>
        <v>1.1823273179838243</v>
      </c>
      <c r="R11">
        <v>157.5</v>
      </c>
      <c r="S11" s="68">
        <f t="shared" si="6"/>
        <v>1.0911424903722649</v>
      </c>
      <c r="T11">
        <v>168.4</v>
      </c>
      <c r="U11" s="67">
        <f t="shared" si="7"/>
        <v>0.83832335329341656</v>
      </c>
      <c r="V11">
        <v>154</v>
      </c>
      <c r="W11" s="67">
        <f t="shared" si="8"/>
        <v>0.58785107772697953</v>
      </c>
      <c r="X11">
        <v>157.6</v>
      </c>
      <c r="Y11" s="67">
        <f t="shared" si="9"/>
        <v>1.4810045074050113</v>
      </c>
      <c r="Z11">
        <v>163.80000000000001</v>
      </c>
      <c r="AA11" s="67">
        <f t="shared" si="10"/>
        <v>0.36764705882354337</v>
      </c>
      <c r="AB11">
        <v>160</v>
      </c>
      <c r="AC11" s="67">
        <f t="shared" si="11"/>
        <v>-6.2460961898809696E-2</v>
      </c>
      <c r="AD11">
        <v>160</v>
      </c>
      <c r="AE11" s="67">
        <f t="shared" si="12"/>
        <v>0.62893081761006298</v>
      </c>
      <c r="AH11" t="s">
        <v>76</v>
      </c>
      <c r="AI11" s="64">
        <v>153.9</v>
      </c>
      <c r="BF11" s="42">
        <v>44409</v>
      </c>
      <c r="BG11">
        <v>69.8</v>
      </c>
      <c r="BH11">
        <f t="shared" si="13"/>
        <v>-5.085667663856416</v>
      </c>
      <c r="BI11" s="48">
        <v>164</v>
      </c>
      <c r="BJ11" s="48">
        <v>192.1</v>
      </c>
      <c r="BK11" s="48">
        <v>163.19999999999999</v>
      </c>
      <c r="BL11" s="48">
        <v>162.1</v>
      </c>
      <c r="BM11" s="48">
        <v>162.6</v>
      </c>
      <c r="BN11" s="48">
        <v>157.5</v>
      </c>
      <c r="BO11" s="48">
        <v>168.4</v>
      </c>
      <c r="BP11" s="48">
        <v>154</v>
      </c>
      <c r="BQ11" s="48">
        <v>157.6</v>
      </c>
      <c r="BR11" s="48">
        <v>163.80000000000001</v>
      </c>
      <c r="BS11" s="48">
        <v>160</v>
      </c>
      <c r="BT11" s="48">
        <v>160</v>
      </c>
    </row>
    <row r="12" spans="3:72">
      <c r="C12" s="42">
        <v>44440</v>
      </c>
      <c r="D12">
        <v>73.13</v>
      </c>
      <c r="E12" s="66">
        <v>4.7707736389684792</v>
      </c>
      <c r="F12" s="67">
        <v>163.19999999999999</v>
      </c>
      <c r="G12" s="67">
        <f t="shared" si="0"/>
        <v>0</v>
      </c>
      <c r="H12">
        <v>164</v>
      </c>
      <c r="I12" s="67">
        <f t="shared" si="1"/>
        <v>0</v>
      </c>
      <c r="J12">
        <v>192.1</v>
      </c>
      <c r="K12" s="67">
        <f t="shared" si="2"/>
        <v>0</v>
      </c>
      <c r="L12">
        <v>163.30000000000001</v>
      </c>
      <c r="M12" s="67">
        <f t="shared" si="3"/>
        <v>6.1274509803935499E-2</v>
      </c>
      <c r="N12">
        <v>162.1</v>
      </c>
      <c r="O12" s="67">
        <f t="shared" si="4"/>
        <v>0</v>
      </c>
      <c r="P12">
        <v>162.6</v>
      </c>
      <c r="Q12" s="68">
        <f t="shared" si="5"/>
        <v>0</v>
      </c>
      <c r="R12">
        <v>157.5</v>
      </c>
      <c r="S12" s="68">
        <f t="shared" si="6"/>
        <v>0</v>
      </c>
      <c r="T12">
        <v>168.4</v>
      </c>
      <c r="U12" s="67">
        <f t="shared" si="7"/>
        <v>0</v>
      </c>
      <c r="V12">
        <v>154</v>
      </c>
      <c r="W12" s="67">
        <f t="shared" si="8"/>
        <v>0</v>
      </c>
      <c r="X12">
        <v>157.69999999999999</v>
      </c>
      <c r="Y12" s="67">
        <f t="shared" si="9"/>
        <v>6.3451776649742594E-2</v>
      </c>
      <c r="Z12">
        <v>163.69999999999999</v>
      </c>
      <c r="AA12" s="67">
        <f t="shared" si="10"/>
        <v>-6.1050061050074926E-2</v>
      </c>
      <c r="AB12">
        <v>160</v>
      </c>
      <c r="AC12" s="67">
        <f t="shared" si="11"/>
        <v>0</v>
      </c>
      <c r="AD12">
        <v>160</v>
      </c>
      <c r="AE12" s="67">
        <f t="shared" si="12"/>
        <v>0</v>
      </c>
      <c r="AH12" t="s">
        <v>77</v>
      </c>
      <c r="AI12" s="64">
        <v>154.69999999999999</v>
      </c>
      <c r="BF12" s="42">
        <v>44440</v>
      </c>
      <c r="BG12">
        <v>73.13</v>
      </c>
      <c r="BH12">
        <f t="shared" si="13"/>
        <v>4.7707736389684792</v>
      </c>
      <c r="BI12" s="48">
        <v>164</v>
      </c>
      <c r="BJ12" s="48">
        <v>192.1</v>
      </c>
      <c r="BK12" s="48">
        <v>163.30000000000001</v>
      </c>
      <c r="BL12" s="48">
        <v>162.1</v>
      </c>
      <c r="BM12" s="48">
        <v>162.6</v>
      </c>
      <c r="BN12" s="48">
        <v>157.5</v>
      </c>
      <c r="BO12" s="48">
        <v>168.4</v>
      </c>
      <c r="BP12" s="48">
        <v>154</v>
      </c>
      <c r="BQ12" s="48">
        <v>157.69999999999999</v>
      </c>
      <c r="BR12" s="48">
        <v>163.69999999999999</v>
      </c>
      <c r="BS12" s="48">
        <v>160</v>
      </c>
      <c r="BT12" s="48">
        <v>160</v>
      </c>
    </row>
    <row r="13" spans="3:72">
      <c r="C13" s="42">
        <v>44470</v>
      </c>
      <c r="D13">
        <v>82.11</v>
      </c>
      <c r="E13" s="66">
        <v>12.27950225625599</v>
      </c>
      <c r="F13" s="67">
        <v>165.5</v>
      </c>
      <c r="G13" s="67">
        <f t="shared" si="0"/>
        <v>1.4093137254902033</v>
      </c>
      <c r="H13">
        <v>167.7</v>
      </c>
      <c r="I13" s="67">
        <f t="shared" si="1"/>
        <v>2.2560975609756029</v>
      </c>
      <c r="J13">
        <v>192.7</v>
      </c>
      <c r="K13" s="67">
        <f t="shared" si="2"/>
        <v>0.31233732431025213</v>
      </c>
      <c r="L13">
        <v>164.3</v>
      </c>
      <c r="M13" s="67">
        <f t="shared" si="3"/>
        <v>0.61236987140232702</v>
      </c>
      <c r="N13">
        <v>163.6</v>
      </c>
      <c r="O13" s="67">
        <f t="shared" si="4"/>
        <v>0.92535471930906854</v>
      </c>
      <c r="P13">
        <v>164.2</v>
      </c>
      <c r="Q13" s="68">
        <f t="shared" si="5"/>
        <v>0.98400984009839754</v>
      </c>
      <c r="R13">
        <v>158.4</v>
      </c>
      <c r="S13" s="68">
        <f t="shared" si="6"/>
        <v>0.57142857142857506</v>
      </c>
      <c r="T13">
        <v>169.1</v>
      </c>
      <c r="U13" s="67">
        <f t="shared" si="7"/>
        <v>0.41567695961994572</v>
      </c>
      <c r="V13">
        <v>155.69999999999999</v>
      </c>
      <c r="W13" s="67">
        <f t="shared" si="8"/>
        <v>1.1038961038960964</v>
      </c>
      <c r="X13">
        <v>158.6</v>
      </c>
      <c r="Y13" s="67">
        <f t="shared" si="9"/>
        <v>0.57070386810399865</v>
      </c>
      <c r="Z13">
        <v>163.9</v>
      </c>
      <c r="AA13" s="67">
        <f t="shared" si="10"/>
        <v>0.12217470983507457</v>
      </c>
      <c r="AB13">
        <v>160.80000000000001</v>
      </c>
      <c r="AC13" s="67">
        <f t="shared" si="11"/>
        <v>0.50000000000000711</v>
      </c>
      <c r="AD13">
        <v>161</v>
      </c>
      <c r="AE13" s="67">
        <f t="shared" si="12"/>
        <v>0.625</v>
      </c>
      <c r="AH13" t="s">
        <v>78</v>
      </c>
      <c r="AI13" s="64">
        <v>156.4</v>
      </c>
      <c r="BF13" s="42">
        <v>44470</v>
      </c>
      <c r="BG13">
        <v>82.11</v>
      </c>
      <c r="BH13">
        <f t="shared" si="13"/>
        <v>12.27950225625599</v>
      </c>
      <c r="BI13" s="48">
        <v>167.7</v>
      </c>
      <c r="BJ13" s="48">
        <v>192.7</v>
      </c>
      <c r="BK13" s="48">
        <v>164.3</v>
      </c>
      <c r="BL13" s="48">
        <v>163.6</v>
      </c>
      <c r="BM13" s="48">
        <v>164.2</v>
      </c>
      <c r="BN13" s="48">
        <v>158.4</v>
      </c>
      <c r="BO13" s="48">
        <v>169.1</v>
      </c>
      <c r="BP13" s="48">
        <v>155.69999999999999</v>
      </c>
      <c r="BQ13" s="48">
        <v>158.6</v>
      </c>
      <c r="BR13" s="48">
        <v>163.9</v>
      </c>
      <c r="BS13" s="48">
        <v>160.80000000000001</v>
      </c>
      <c r="BT13" s="48">
        <v>161</v>
      </c>
    </row>
    <row r="14" spans="3:72">
      <c r="C14" s="42">
        <v>44501</v>
      </c>
      <c r="D14">
        <v>80.64</v>
      </c>
      <c r="E14" s="66">
        <v>-1.7902813299232723</v>
      </c>
      <c r="F14" s="67">
        <v>166.7</v>
      </c>
      <c r="G14" s="67">
        <f t="shared" si="0"/>
        <v>0.72507552870089953</v>
      </c>
      <c r="H14">
        <v>169.7</v>
      </c>
      <c r="I14" s="67">
        <f t="shared" si="1"/>
        <v>1.1926058437686344</v>
      </c>
      <c r="J14">
        <v>192.9</v>
      </c>
      <c r="K14" s="67">
        <f t="shared" si="2"/>
        <v>0.10378827192528131</v>
      </c>
      <c r="L14">
        <v>165.8</v>
      </c>
      <c r="M14" s="67">
        <f t="shared" si="3"/>
        <v>0.91296409007912349</v>
      </c>
      <c r="N14">
        <v>164.2</v>
      </c>
      <c r="O14" s="67">
        <f t="shared" si="4"/>
        <v>0.36674816625916523</v>
      </c>
      <c r="P14">
        <v>163.9</v>
      </c>
      <c r="Q14" s="68">
        <f t="shared" si="5"/>
        <v>-0.18270401948841836</v>
      </c>
      <c r="R14">
        <v>159.30000000000001</v>
      </c>
      <c r="S14" s="68">
        <f t="shared" si="6"/>
        <v>0.56818181818182178</v>
      </c>
      <c r="T14">
        <v>169.9</v>
      </c>
      <c r="U14" s="67">
        <f t="shared" si="7"/>
        <v>0.47309284447073408</v>
      </c>
      <c r="V14">
        <v>154.80000000000001</v>
      </c>
      <c r="W14" s="67">
        <f t="shared" si="8"/>
        <v>-0.57803468208091024</v>
      </c>
      <c r="X14">
        <v>159.80000000000001</v>
      </c>
      <c r="Y14" s="67">
        <f t="shared" si="9"/>
        <v>0.75662042875158708</v>
      </c>
      <c r="Z14">
        <v>164.3</v>
      </c>
      <c r="AA14" s="67">
        <f t="shared" si="10"/>
        <v>0.24405125076266362</v>
      </c>
      <c r="AB14">
        <v>162.19999999999999</v>
      </c>
      <c r="AC14" s="67">
        <f t="shared" si="11"/>
        <v>0.87064676616914005</v>
      </c>
      <c r="AD14">
        <v>161.4</v>
      </c>
      <c r="AE14" s="67">
        <f t="shared" si="12"/>
        <v>0.24844720496894762</v>
      </c>
      <c r="AH14" t="s">
        <v>79</v>
      </c>
      <c r="AI14" s="64">
        <v>158.4</v>
      </c>
      <c r="BF14" s="42">
        <v>44501</v>
      </c>
      <c r="BG14">
        <v>80.64</v>
      </c>
      <c r="BH14">
        <f t="shared" si="13"/>
        <v>-1.7902813299232723</v>
      </c>
      <c r="BI14" s="48">
        <v>169.7</v>
      </c>
      <c r="BJ14" s="48">
        <v>192.9</v>
      </c>
      <c r="BK14" s="48">
        <v>165.8</v>
      </c>
      <c r="BL14" s="48">
        <v>164.2</v>
      </c>
      <c r="BM14" s="48">
        <v>163.9</v>
      </c>
      <c r="BN14" s="48">
        <v>159.30000000000001</v>
      </c>
      <c r="BO14" s="48">
        <v>169.9</v>
      </c>
      <c r="BP14" s="48">
        <v>154.80000000000001</v>
      </c>
      <c r="BQ14" s="48">
        <v>159.80000000000001</v>
      </c>
      <c r="BR14" s="48">
        <v>164.3</v>
      </c>
      <c r="BS14" s="48">
        <v>162.19999999999999</v>
      </c>
      <c r="BT14" s="48">
        <v>161.4</v>
      </c>
    </row>
    <row r="15" spans="3:72">
      <c r="C15" s="42">
        <v>44531</v>
      </c>
      <c r="D15">
        <v>73.3</v>
      </c>
      <c r="E15" s="66">
        <v>-9.1021825396825431</v>
      </c>
      <c r="F15" s="67">
        <v>166.2</v>
      </c>
      <c r="G15" s="67">
        <f t="shared" si="0"/>
        <v>-0.29994001199760051</v>
      </c>
      <c r="H15">
        <v>168.2</v>
      </c>
      <c r="I15" s="67">
        <f t="shared" si="1"/>
        <v>-0.8839127872716559</v>
      </c>
      <c r="J15">
        <v>192.4</v>
      </c>
      <c r="K15" s="67">
        <f t="shared" si="2"/>
        <v>-0.25920165889061691</v>
      </c>
      <c r="L15">
        <v>167</v>
      </c>
      <c r="M15" s="67">
        <f t="shared" si="3"/>
        <v>0.72376357056694118</v>
      </c>
      <c r="N15">
        <v>163.4</v>
      </c>
      <c r="O15" s="67">
        <f t="shared" si="4"/>
        <v>-0.48721071863579962</v>
      </c>
      <c r="P15">
        <v>164.1</v>
      </c>
      <c r="Q15" s="68">
        <f t="shared" si="5"/>
        <v>0.12202562538132314</v>
      </c>
      <c r="R15">
        <v>160.19999999999999</v>
      </c>
      <c r="S15" s="68">
        <f t="shared" si="6"/>
        <v>0.56497175141241507</v>
      </c>
      <c r="T15">
        <v>170.6</v>
      </c>
      <c r="U15" s="67">
        <f t="shared" si="7"/>
        <v>0.41200706297821577</v>
      </c>
      <c r="V15">
        <v>155.69999999999999</v>
      </c>
      <c r="W15" s="67">
        <f t="shared" si="8"/>
        <v>0.58139534883719457</v>
      </c>
      <c r="X15">
        <v>160.6</v>
      </c>
      <c r="Y15" s="67">
        <f t="shared" si="9"/>
        <v>0.50062578222777399</v>
      </c>
      <c r="Z15">
        <v>164.4</v>
      </c>
      <c r="AA15" s="67">
        <f t="shared" si="10"/>
        <v>6.0864272671938099E-2</v>
      </c>
      <c r="AB15">
        <v>162.6</v>
      </c>
      <c r="AC15" s="67">
        <f t="shared" si="11"/>
        <v>0.24660912453761141</v>
      </c>
      <c r="AD15">
        <v>162</v>
      </c>
      <c r="AE15" s="67">
        <f t="shared" si="12"/>
        <v>0.37174721189590726</v>
      </c>
      <c r="AH15" t="s">
        <v>80</v>
      </c>
      <c r="AI15" s="64">
        <v>158.9</v>
      </c>
      <c r="BF15" s="42">
        <v>44531</v>
      </c>
      <c r="BG15">
        <v>73.3</v>
      </c>
      <c r="BH15">
        <f t="shared" si="13"/>
        <v>-9.1021825396825431</v>
      </c>
      <c r="BI15" s="48">
        <v>168.2</v>
      </c>
      <c r="BJ15" s="48">
        <v>192.4</v>
      </c>
      <c r="BK15" s="48">
        <v>167</v>
      </c>
      <c r="BL15" s="48">
        <v>163.4</v>
      </c>
      <c r="BM15" s="48">
        <v>164.1</v>
      </c>
      <c r="BN15" s="48">
        <v>160.19999999999999</v>
      </c>
      <c r="BO15" s="48">
        <v>170.6</v>
      </c>
      <c r="BP15" s="48">
        <v>155.69999999999999</v>
      </c>
      <c r="BQ15" s="48">
        <v>160.6</v>
      </c>
      <c r="BR15" s="48">
        <v>164.4</v>
      </c>
      <c r="BS15" s="48">
        <v>162.6</v>
      </c>
      <c r="BT15" s="48">
        <v>162</v>
      </c>
    </row>
    <row r="16" spans="3:72">
      <c r="C16" s="70">
        <v>44562</v>
      </c>
      <c r="D16">
        <v>84.67</v>
      </c>
      <c r="E16" s="66">
        <v>15.511596180081863</v>
      </c>
      <c r="F16" s="67">
        <v>165.7</v>
      </c>
      <c r="G16" s="67">
        <f t="shared" si="0"/>
        <v>-0.30084235860409148</v>
      </c>
      <c r="H16">
        <v>166.4</v>
      </c>
      <c r="I16" s="67">
        <f t="shared" si="1"/>
        <v>-1.070154577883462</v>
      </c>
      <c r="J16">
        <v>192.2</v>
      </c>
      <c r="K16" s="67">
        <f t="shared" si="2"/>
        <v>-0.10395010395011281</v>
      </c>
      <c r="L16">
        <v>168.5</v>
      </c>
      <c r="M16" s="67">
        <f t="shared" si="3"/>
        <v>0.89820359281437123</v>
      </c>
      <c r="N16">
        <v>164.5</v>
      </c>
      <c r="O16" s="67">
        <f t="shared" si="4"/>
        <v>0.67319461444308093</v>
      </c>
      <c r="P16">
        <v>164.2</v>
      </c>
      <c r="Q16" s="68">
        <f t="shared" si="5"/>
        <v>6.0938452163311584E-2</v>
      </c>
      <c r="R16">
        <v>161.1</v>
      </c>
      <c r="S16" s="68">
        <f t="shared" si="6"/>
        <v>0.56179775280899236</v>
      </c>
      <c r="T16">
        <v>171.4</v>
      </c>
      <c r="U16" s="67">
        <f t="shared" si="7"/>
        <v>0.46893317702228099</v>
      </c>
      <c r="V16">
        <v>156.5</v>
      </c>
      <c r="W16" s="67">
        <f t="shared" si="8"/>
        <v>0.51380860629416281</v>
      </c>
      <c r="X16">
        <v>161.19999999999999</v>
      </c>
      <c r="Y16" s="67">
        <f t="shared" si="9"/>
        <v>0.37359900373598648</v>
      </c>
      <c r="Z16">
        <v>164.7</v>
      </c>
      <c r="AA16" s="67">
        <f t="shared" si="10"/>
        <v>0.18248175182480714</v>
      </c>
      <c r="AB16">
        <v>163</v>
      </c>
      <c r="AC16" s="67">
        <f t="shared" si="11"/>
        <v>0.24600246002460377</v>
      </c>
      <c r="AD16">
        <v>162.69999999999999</v>
      </c>
      <c r="AE16" s="67">
        <f t="shared" si="12"/>
        <v>0.4320987654320918</v>
      </c>
      <c r="AG16" t="s">
        <v>93</v>
      </c>
      <c r="AI16" s="24">
        <v>152.85000000000002</v>
      </c>
      <c r="BF16" s="70">
        <v>44562</v>
      </c>
      <c r="BG16" s="59">
        <v>84.67</v>
      </c>
      <c r="BH16">
        <f>((BG16-BG15)/BG15)*100</f>
        <v>15.511596180081863</v>
      </c>
      <c r="BI16" s="48">
        <v>166.4</v>
      </c>
      <c r="BJ16" s="48">
        <v>192.2</v>
      </c>
      <c r="BK16" s="48">
        <v>168.5</v>
      </c>
      <c r="BL16" s="48">
        <v>164.5</v>
      </c>
      <c r="BM16" s="48">
        <v>164.2</v>
      </c>
      <c r="BN16" s="48">
        <v>161.1</v>
      </c>
      <c r="BO16" s="48">
        <v>171.4</v>
      </c>
      <c r="BP16" s="48">
        <v>156.5</v>
      </c>
      <c r="BQ16" s="48">
        <v>161.19999999999999</v>
      </c>
      <c r="BR16" s="48">
        <v>164.7</v>
      </c>
      <c r="BS16" s="48">
        <v>163</v>
      </c>
      <c r="BT16" s="48">
        <v>162.69999999999999</v>
      </c>
    </row>
    <row r="17" spans="3:72">
      <c r="C17" s="70">
        <v>44593</v>
      </c>
      <c r="D17">
        <v>94.07</v>
      </c>
      <c r="E17" s="66">
        <v>11.101925121058215</v>
      </c>
      <c r="F17" s="67">
        <v>166.1</v>
      </c>
      <c r="G17" s="67">
        <f t="shared" si="0"/>
        <v>0.24140012070006378</v>
      </c>
      <c r="H17">
        <v>166.2</v>
      </c>
      <c r="I17" s="67">
        <f t="shared" si="1"/>
        <v>-0.12019230769231794</v>
      </c>
      <c r="J17">
        <v>192.8</v>
      </c>
      <c r="K17" s="67">
        <f t="shared" si="2"/>
        <v>0.31217481789803475</v>
      </c>
      <c r="L17">
        <v>169.6</v>
      </c>
      <c r="M17" s="67">
        <f t="shared" si="3"/>
        <v>0.65281899109791952</v>
      </c>
      <c r="N17">
        <v>165.5</v>
      </c>
      <c r="O17" s="67">
        <f t="shared" si="4"/>
        <v>0.60790273556231</v>
      </c>
      <c r="P17">
        <v>165.7</v>
      </c>
      <c r="Q17" s="68">
        <f t="shared" si="5"/>
        <v>0.91352009744214369</v>
      </c>
      <c r="R17">
        <v>161.80000000000001</v>
      </c>
      <c r="S17" s="68">
        <f t="shared" si="6"/>
        <v>0.43451272501552896</v>
      </c>
      <c r="T17">
        <v>172.2</v>
      </c>
      <c r="U17" s="67">
        <f t="shared" si="7"/>
        <v>0.46674445740955833</v>
      </c>
      <c r="V17">
        <v>156.9</v>
      </c>
      <c r="W17" s="67">
        <f t="shared" si="8"/>
        <v>0.25559105431310269</v>
      </c>
      <c r="X17">
        <v>162.1</v>
      </c>
      <c r="Y17" s="67">
        <f t="shared" si="9"/>
        <v>0.55831265508685213</v>
      </c>
      <c r="Z17">
        <v>165.4</v>
      </c>
      <c r="AA17" s="67">
        <f t="shared" si="10"/>
        <v>0.42501517911355013</v>
      </c>
      <c r="AB17">
        <v>164.4</v>
      </c>
      <c r="AC17" s="67">
        <f t="shared" si="11"/>
        <v>0.85889570552147598</v>
      </c>
      <c r="AD17">
        <v>163.5</v>
      </c>
      <c r="AE17" s="67">
        <f t="shared" si="12"/>
        <v>0.49170251997542186</v>
      </c>
      <c r="AG17">
        <v>2021</v>
      </c>
      <c r="AH17" t="s">
        <v>66</v>
      </c>
      <c r="AI17" s="64">
        <v>157.30000000000001</v>
      </c>
      <c r="BF17" s="70">
        <v>44593</v>
      </c>
      <c r="BG17" s="59">
        <v>94.07</v>
      </c>
      <c r="BH17">
        <f t="shared" ref="BH17:BH39" si="14">((BG17-BG16)/BG16)*100</f>
        <v>11.101925121058215</v>
      </c>
      <c r="BI17" s="48">
        <v>166.2</v>
      </c>
      <c r="BJ17" s="48">
        <v>192.8</v>
      </c>
      <c r="BK17" s="48">
        <v>169.6</v>
      </c>
      <c r="BL17" s="48">
        <v>165.5</v>
      </c>
      <c r="BM17" s="48">
        <v>165.7</v>
      </c>
      <c r="BN17" s="48">
        <v>161.80000000000001</v>
      </c>
      <c r="BO17" s="48">
        <v>172.2</v>
      </c>
      <c r="BP17" s="48">
        <v>156.9</v>
      </c>
      <c r="BQ17" s="48">
        <v>162.1</v>
      </c>
      <c r="BR17" s="48">
        <v>165.4</v>
      </c>
      <c r="BS17" s="48">
        <v>164.4</v>
      </c>
      <c r="BT17" s="48">
        <v>163.5</v>
      </c>
    </row>
    <row r="18" spans="3:72">
      <c r="C18" s="70">
        <v>44621</v>
      </c>
      <c r="D18">
        <v>112.87</v>
      </c>
      <c r="E18" s="66">
        <v>19.985117465717035</v>
      </c>
      <c r="F18" s="67">
        <v>167.7</v>
      </c>
      <c r="G18" s="67">
        <f t="shared" si="0"/>
        <v>0.96327513546056243</v>
      </c>
      <c r="H18">
        <v>168.4</v>
      </c>
      <c r="I18" s="67">
        <f t="shared" si="1"/>
        <v>1.3237063778580127</v>
      </c>
      <c r="J18">
        <v>193.7</v>
      </c>
      <c r="K18" s="67">
        <f t="shared" si="2"/>
        <v>0.46680497925310022</v>
      </c>
      <c r="L18">
        <v>171.1</v>
      </c>
      <c r="M18" s="67">
        <f t="shared" si="3"/>
        <v>0.88443396226415094</v>
      </c>
      <c r="N18">
        <v>165.3</v>
      </c>
      <c r="O18" s="67">
        <f t="shared" si="4"/>
        <v>-0.12084592145014418</v>
      </c>
      <c r="P18">
        <v>167.2</v>
      </c>
      <c r="Q18" s="68">
        <f t="shared" si="5"/>
        <v>0.9052504526252263</v>
      </c>
      <c r="R18">
        <v>162.80000000000001</v>
      </c>
      <c r="S18" s="68">
        <f t="shared" si="6"/>
        <v>0.61804697156983934</v>
      </c>
      <c r="T18">
        <v>173</v>
      </c>
      <c r="U18" s="67">
        <f t="shared" si="7"/>
        <v>0.46457607433217851</v>
      </c>
      <c r="V18">
        <v>157.9</v>
      </c>
      <c r="W18" s="67">
        <f t="shared" si="8"/>
        <v>0.63734862970044615</v>
      </c>
      <c r="X18">
        <v>163.30000000000001</v>
      </c>
      <c r="Y18" s="67">
        <f t="shared" si="9"/>
        <v>0.74028377544726531</v>
      </c>
      <c r="Z18">
        <v>166</v>
      </c>
      <c r="AA18" s="67">
        <f t="shared" si="10"/>
        <v>0.36275695284159265</v>
      </c>
      <c r="AB18">
        <v>167.2</v>
      </c>
      <c r="AC18" s="67">
        <f t="shared" si="11"/>
        <v>1.7031630170316197</v>
      </c>
      <c r="AD18">
        <v>164.6</v>
      </c>
      <c r="AE18" s="67">
        <f t="shared" si="12"/>
        <v>0.67278287461773356</v>
      </c>
      <c r="AH18" t="s">
        <v>70</v>
      </c>
      <c r="AI18" s="64">
        <v>156.6</v>
      </c>
      <c r="BF18" s="70">
        <v>44621</v>
      </c>
      <c r="BG18" s="59">
        <v>112.87</v>
      </c>
      <c r="BH18">
        <f t="shared" si="14"/>
        <v>19.985117465717035</v>
      </c>
      <c r="BI18" s="48">
        <v>168.4</v>
      </c>
      <c r="BJ18" s="48">
        <v>193.7</v>
      </c>
      <c r="BK18" s="48">
        <v>171.1</v>
      </c>
      <c r="BL18" s="48">
        <v>165.3</v>
      </c>
      <c r="BM18" s="48">
        <v>167.2</v>
      </c>
      <c r="BN18" s="48">
        <v>162.80000000000001</v>
      </c>
      <c r="BO18" s="48">
        <v>173</v>
      </c>
      <c r="BP18" s="48">
        <v>157.9</v>
      </c>
      <c r="BQ18" s="48">
        <v>163.30000000000001</v>
      </c>
      <c r="BR18" s="48">
        <v>166</v>
      </c>
      <c r="BS18" s="48">
        <v>167.2</v>
      </c>
      <c r="BT18" s="48">
        <v>164.6</v>
      </c>
    </row>
    <row r="19" spans="3:72">
      <c r="C19" s="70">
        <v>44652</v>
      </c>
      <c r="D19">
        <v>102.97</v>
      </c>
      <c r="E19" s="66">
        <v>-8.7711526534951769</v>
      </c>
      <c r="F19" s="67">
        <v>170.1</v>
      </c>
      <c r="G19" s="67">
        <f t="shared" si="0"/>
        <v>1.4311270125223647</v>
      </c>
      <c r="H19">
        <v>170.8</v>
      </c>
      <c r="I19" s="67">
        <f t="shared" si="1"/>
        <v>1.425178147268412</v>
      </c>
      <c r="J19">
        <v>193.9</v>
      </c>
      <c r="K19" s="67">
        <f t="shared" si="2"/>
        <v>0.10325245224574965</v>
      </c>
      <c r="L19">
        <v>172.8</v>
      </c>
      <c r="M19" s="67">
        <f t="shared" si="3"/>
        <v>0.9935710111046272</v>
      </c>
      <c r="N19">
        <v>167</v>
      </c>
      <c r="O19" s="67">
        <f t="shared" si="4"/>
        <v>1.0284331518451231</v>
      </c>
      <c r="P19">
        <v>172.2</v>
      </c>
      <c r="Q19" s="68">
        <f t="shared" si="5"/>
        <v>2.9904306220095696</v>
      </c>
      <c r="R19">
        <v>164</v>
      </c>
      <c r="S19" s="68">
        <f t="shared" si="6"/>
        <v>0.7371007371007301</v>
      </c>
      <c r="T19">
        <v>174</v>
      </c>
      <c r="U19" s="67">
        <f t="shared" si="7"/>
        <v>0.57803468208092479</v>
      </c>
      <c r="V19">
        <v>162.6</v>
      </c>
      <c r="W19" s="67">
        <f t="shared" si="8"/>
        <v>2.9765674477517345</v>
      </c>
      <c r="X19">
        <v>164.4</v>
      </c>
      <c r="Y19" s="67">
        <f t="shared" si="9"/>
        <v>0.6736068585425562</v>
      </c>
      <c r="Z19">
        <v>166.9</v>
      </c>
      <c r="AA19" s="67">
        <f t="shared" si="10"/>
        <v>0.54216867469879859</v>
      </c>
      <c r="AB19">
        <v>168.8</v>
      </c>
      <c r="AC19" s="67">
        <f t="shared" si="11"/>
        <v>0.95693779904307585</v>
      </c>
      <c r="AD19">
        <v>166.8</v>
      </c>
      <c r="AE19" s="67">
        <f t="shared" si="12"/>
        <v>1.3365735115431452</v>
      </c>
      <c r="AH19" t="s">
        <v>71</v>
      </c>
      <c r="AI19" s="64">
        <v>156.80000000000001</v>
      </c>
      <c r="BF19" s="70">
        <v>44652</v>
      </c>
      <c r="BG19" s="59">
        <v>102.97</v>
      </c>
      <c r="BH19">
        <f t="shared" si="14"/>
        <v>-8.7711526534951769</v>
      </c>
      <c r="BI19" s="48">
        <v>170.8</v>
      </c>
      <c r="BJ19" s="48">
        <v>193.9</v>
      </c>
      <c r="BK19" s="48">
        <v>172.8</v>
      </c>
      <c r="BL19" s="48">
        <v>167</v>
      </c>
      <c r="BM19" s="48">
        <v>172.2</v>
      </c>
      <c r="BN19" s="48">
        <v>164</v>
      </c>
      <c r="BO19" s="48">
        <v>174</v>
      </c>
      <c r="BP19" s="48">
        <v>162.6</v>
      </c>
      <c r="BQ19" s="48">
        <v>164.4</v>
      </c>
      <c r="BR19" s="48">
        <v>166.9</v>
      </c>
      <c r="BS19" s="48">
        <v>168.8</v>
      </c>
      <c r="BT19" s="48">
        <v>166.8</v>
      </c>
    </row>
    <row r="20" spans="3:72">
      <c r="C20" s="70">
        <v>44682</v>
      </c>
      <c r="D20">
        <v>109.51</v>
      </c>
      <c r="E20" s="66">
        <v>6.3513644750898379</v>
      </c>
      <c r="F20" s="67">
        <v>171.7</v>
      </c>
      <c r="G20" s="67">
        <f t="shared" si="0"/>
        <v>0.94062316284538183</v>
      </c>
      <c r="H20">
        <v>173.3</v>
      </c>
      <c r="I20" s="67">
        <f t="shared" si="1"/>
        <v>1.4637002341920373</v>
      </c>
      <c r="J20">
        <v>194.1</v>
      </c>
      <c r="K20" s="67">
        <f t="shared" si="2"/>
        <v>0.10314595152139691</v>
      </c>
      <c r="L20">
        <v>174.6</v>
      </c>
      <c r="M20" s="67">
        <f t="shared" si="3"/>
        <v>1.0416666666666567</v>
      </c>
      <c r="N20">
        <v>167.5</v>
      </c>
      <c r="O20" s="67">
        <f t="shared" si="4"/>
        <v>0.29940119760479045</v>
      </c>
      <c r="P20">
        <v>174.6</v>
      </c>
      <c r="Q20" s="68">
        <f t="shared" si="5"/>
        <v>1.3937282229965191</v>
      </c>
      <c r="R20">
        <v>165.2</v>
      </c>
      <c r="S20" s="68">
        <f t="shared" si="6"/>
        <v>0.73170731707316383</v>
      </c>
      <c r="T20">
        <v>174.8</v>
      </c>
      <c r="U20" s="67">
        <f t="shared" si="7"/>
        <v>0.45977011494253522</v>
      </c>
      <c r="V20">
        <v>163</v>
      </c>
      <c r="W20" s="67">
        <f t="shared" si="8"/>
        <v>0.24600246002460377</v>
      </c>
      <c r="X20">
        <v>165.1</v>
      </c>
      <c r="Y20" s="67">
        <f t="shared" si="9"/>
        <v>0.42579075425790058</v>
      </c>
      <c r="Z20">
        <v>167.9</v>
      </c>
      <c r="AA20" s="67">
        <f t="shared" si="10"/>
        <v>0.59916117435590177</v>
      </c>
      <c r="AB20">
        <v>168.4</v>
      </c>
      <c r="AC20" s="67">
        <f t="shared" si="11"/>
        <v>-0.23696682464455313</v>
      </c>
      <c r="AD20">
        <v>167.5</v>
      </c>
      <c r="AE20" s="67">
        <f t="shared" si="12"/>
        <v>0.41966426858512501</v>
      </c>
      <c r="AH20" t="s">
        <v>72</v>
      </c>
      <c r="AI20" s="64">
        <v>157.80000000000001</v>
      </c>
      <c r="BF20" s="70">
        <v>44682</v>
      </c>
      <c r="BG20" s="59">
        <v>109.51</v>
      </c>
      <c r="BH20">
        <f t="shared" si="14"/>
        <v>6.3513644750898379</v>
      </c>
      <c r="BI20" s="48">
        <v>173.3</v>
      </c>
      <c r="BJ20" s="48">
        <v>194.1</v>
      </c>
      <c r="BK20" s="48">
        <v>174.6</v>
      </c>
      <c r="BL20" s="48">
        <v>167.5</v>
      </c>
      <c r="BM20" s="48">
        <v>174.6</v>
      </c>
      <c r="BN20" s="48">
        <v>165.2</v>
      </c>
      <c r="BO20" s="48">
        <v>174.8</v>
      </c>
      <c r="BP20" s="48">
        <v>163</v>
      </c>
      <c r="BQ20" s="48">
        <v>165.1</v>
      </c>
      <c r="BR20" s="48">
        <v>167.9</v>
      </c>
      <c r="BS20" s="48">
        <v>168.4</v>
      </c>
      <c r="BT20" s="48">
        <v>167.5</v>
      </c>
    </row>
    <row r="21" spans="3:72">
      <c r="C21" s="70">
        <v>44713</v>
      </c>
      <c r="D21">
        <v>116.01</v>
      </c>
      <c r="E21" s="66">
        <v>5.9355310017350016</v>
      </c>
      <c r="F21" s="67">
        <v>172.6</v>
      </c>
      <c r="G21" s="67">
        <f t="shared" si="0"/>
        <v>0.52417006406523348</v>
      </c>
      <c r="H21">
        <v>174.9</v>
      </c>
      <c r="I21" s="67">
        <f t="shared" si="1"/>
        <v>0.92325447201384547</v>
      </c>
      <c r="J21">
        <v>194.3</v>
      </c>
      <c r="K21" s="67">
        <f t="shared" si="2"/>
        <v>0.10303967027306392</v>
      </c>
      <c r="L21">
        <v>176</v>
      </c>
      <c r="M21" s="67">
        <f t="shared" si="3"/>
        <v>0.80183276059565045</v>
      </c>
      <c r="N21">
        <v>166.8</v>
      </c>
      <c r="O21" s="67">
        <f t="shared" si="4"/>
        <v>-0.41791044776118724</v>
      </c>
      <c r="P21">
        <v>176</v>
      </c>
      <c r="Q21" s="68">
        <f t="shared" si="5"/>
        <v>0.80183276059565045</v>
      </c>
      <c r="R21">
        <v>166.4</v>
      </c>
      <c r="S21" s="68">
        <f t="shared" si="6"/>
        <v>0.72639225181599099</v>
      </c>
      <c r="T21">
        <v>175.4</v>
      </c>
      <c r="U21" s="67">
        <f t="shared" si="7"/>
        <v>0.34324942791761687</v>
      </c>
      <c r="V21">
        <v>161.1</v>
      </c>
      <c r="W21" s="67">
        <f t="shared" si="8"/>
        <v>-1.1656441717791446</v>
      </c>
      <c r="X21">
        <v>165.8</v>
      </c>
      <c r="Y21" s="67">
        <f t="shared" si="9"/>
        <v>0.42398546335555243</v>
      </c>
      <c r="Z21">
        <v>169</v>
      </c>
      <c r="AA21" s="67">
        <f t="shared" si="10"/>
        <v>0.65515187611673276</v>
      </c>
      <c r="AB21">
        <v>169.4</v>
      </c>
      <c r="AC21" s="67">
        <f t="shared" si="11"/>
        <v>0.59382422802850354</v>
      </c>
      <c r="AD21">
        <v>167.5</v>
      </c>
      <c r="AE21" s="67">
        <f t="shared" si="12"/>
        <v>0</v>
      </c>
      <c r="AH21" t="s">
        <v>73</v>
      </c>
      <c r="AI21" s="64">
        <v>160.4</v>
      </c>
      <c r="BF21" s="70">
        <v>44713</v>
      </c>
      <c r="BG21" s="59">
        <v>116.01</v>
      </c>
      <c r="BH21">
        <f t="shared" si="14"/>
        <v>5.9355310017350016</v>
      </c>
      <c r="BI21" s="48">
        <v>174.9</v>
      </c>
      <c r="BJ21" s="48">
        <v>194.3</v>
      </c>
      <c r="BK21" s="48">
        <v>176</v>
      </c>
      <c r="BL21" s="48">
        <v>166.8</v>
      </c>
      <c r="BM21" s="48">
        <v>176</v>
      </c>
      <c r="BN21" s="48">
        <v>166.4</v>
      </c>
      <c r="BO21" s="48">
        <v>175.4</v>
      </c>
      <c r="BP21" s="48">
        <v>161.1</v>
      </c>
      <c r="BQ21" s="48">
        <v>165.8</v>
      </c>
      <c r="BR21" s="48">
        <v>169</v>
      </c>
      <c r="BS21" s="48">
        <v>169.4</v>
      </c>
      <c r="BT21" s="48">
        <v>167.5</v>
      </c>
    </row>
    <row r="22" spans="3:72">
      <c r="C22" s="70">
        <v>44743</v>
      </c>
      <c r="D22">
        <v>105.49</v>
      </c>
      <c r="E22" s="66">
        <v>-9.0681837772605896</v>
      </c>
      <c r="F22" s="67">
        <v>173.4</v>
      </c>
      <c r="G22" s="67">
        <f t="shared" si="0"/>
        <v>0.4634994206257308</v>
      </c>
      <c r="H22">
        <v>175</v>
      </c>
      <c r="I22" s="67">
        <f t="shared" si="1"/>
        <v>5.7175528873638831E-2</v>
      </c>
      <c r="J22">
        <v>194.6</v>
      </c>
      <c r="K22" s="67">
        <f t="shared" si="2"/>
        <v>0.15440041173442251</v>
      </c>
      <c r="L22">
        <v>177.3</v>
      </c>
      <c r="M22" s="67">
        <f t="shared" si="3"/>
        <v>0.73863636363637009</v>
      </c>
      <c r="N22">
        <v>167.8</v>
      </c>
      <c r="O22" s="67">
        <f t="shared" si="4"/>
        <v>0.59952038369304561</v>
      </c>
      <c r="P22">
        <v>179.6</v>
      </c>
      <c r="Q22" s="68">
        <f t="shared" si="5"/>
        <v>2.0454545454545423</v>
      </c>
      <c r="R22">
        <v>167.4</v>
      </c>
      <c r="S22" s="68">
        <f t="shared" si="6"/>
        <v>0.60096153846153844</v>
      </c>
      <c r="T22">
        <v>176.1</v>
      </c>
      <c r="U22" s="67">
        <f t="shared" si="7"/>
        <v>0.39908779931584298</v>
      </c>
      <c r="V22">
        <v>161.6</v>
      </c>
      <c r="W22" s="67">
        <f t="shared" si="8"/>
        <v>0.31036623215394166</v>
      </c>
      <c r="X22">
        <v>166.3</v>
      </c>
      <c r="Y22" s="67">
        <f t="shared" si="9"/>
        <v>0.30156815440289503</v>
      </c>
      <c r="Z22">
        <v>171.4</v>
      </c>
      <c r="AA22" s="67">
        <f t="shared" si="10"/>
        <v>1.4201183431952698</v>
      </c>
      <c r="AB22">
        <v>169.7</v>
      </c>
      <c r="AC22" s="67">
        <f t="shared" si="11"/>
        <v>0.17709563164107611</v>
      </c>
      <c r="AD22">
        <v>168.4</v>
      </c>
      <c r="AE22" s="67">
        <f t="shared" si="12"/>
        <v>0.53731343283582433</v>
      </c>
      <c r="AH22" t="s">
        <v>74</v>
      </c>
      <c r="AI22" s="64">
        <v>161.30000000000001</v>
      </c>
      <c r="BF22" s="70">
        <v>44743</v>
      </c>
      <c r="BG22" s="59">
        <v>105.49</v>
      </c>
      <c r="BH22">
        <f t="shared" si="14"/>
        <v>-9.0681837772605896</v>
      </c>
      <c r="BI22" s="48">
        <v>175</v>
      </c>
      <c r="BJ22" s="48">
        <v>194.6</v>
      </c>
      <c r="BK22" s="48">
        <v>177.3</v>
      </c>
      <c r="BL22" s="48">
        <v>167.8</v>
      </c>
      <c r="BM22" s="48">
        <v>179.6</v>
      </c>
      <c r="BN22" s="48">
        <v>167.4</v>
      </c>
      <c r="BO22" s="48">
        <v>176.1</v>
      </c>
      <c r="BP22" s="48">
        <v>161.6</v>
      </c>
      <c r="BQ22" s="48">
        <v>166.3</v>
      </c>
      <c r="BR22" s="48">
        <v>171.4</v>
      </c>
      <c r="BS22" s="48">
        <v>169.7</v>
      </c>
      <c r="BT22" s="48">
        <v>168.4</v>
      </c>
    </row>
    <row r="23" spans="3:72">
      <c r="C23" s="70">
        <v>44774</v>
      </c>
      <c r="D23">
        <v>97.4</v>
      </c>
      <c r="E23" s="66">
        <v>-7.6689733624040093</v>
      </c>
      <c r="F23" s="67">
        <v>174.3</v>
      </c>
      <c r="G23" s="67">
        <f t="shared" si="0"/>
        <v>0.5190311418685154</v>
      </c>
      <c r="H23">
        <v>176.3</v>
      </c>
      <c r="I23" s="67">
        <f t="shared" si="1"/>
        <v>0.74285714285714932</v>
      </c>
      <c r="J23">
        <v>195</v>
      </c>
      <c r="K23" s="67">
        <f t="shared" si="2"/>
        <v>0.20554984583761854</v>
      </c>
      <c r="L23">
        <v>178.5</v>
      </c>
      <c r="M23" s="67">
        <f t="shared" si="3"/>
        <v>0.67681895093061961</v>
      </c>
      <c r="N23">
        <v>169</v>
      </c>
      <c r="O23" s="67">
        <f t="shared" si="4"/>
        <v>0.71513706793801468</v>
      </c>
      <c r="P23">
        <v>178.8</v>
      </c>
      <c r="Q23" s="68">
        <f t="shared" si="5"/>
        <v>-0.44543429844097049</v>
      </c>
      <c r="R23">
        <v>168.5</v>
      </c>
      <c r="S23" s="68">
        <f t="shared" si="6"/>
        <v>0.65710872162484724</v>
      </c>
      <c r="T23">
        <v>176.8</v>
      </c>
      <c r="U23" s="67">
        <f t="shared" si="7"/>
        <v>0.397501419647937</v>
      </c>
      <c r="V23">
        <v>161.9</v>
      </c>
      <c r="W23" s="67">
        <f t="shared" si="8"/>
        <v>0.18564356435644269</v>
      </c>
      <c r="X23">
        <v>166.9</v>
      </c>
      <c r="Y23" s="67">
        <f t="shared" si="9"/>
        <v>0.36079374624172833</v>
      </c>
      <c r="Z23">
        <v>172.3</v>
      </c>
      <c r="AA23" s="67">
        <f t="shared" si="10"/>
        <v>0.52508751458576763</v>
      </c>
      <c r="AB23">
        <v>171.2</v>
      </c>
      <c r="AC23" s="67">
        <f t="shared" si="11"/>
        <v>0.8839127872716559</v>
      </c>
      <c r="AD23">
        <v>169.1</v>
      </c>
      <c r="AE23" s="67">
        <f t="shared" si="12"/>
        <v>0.41567695961994572</v>
      </c>
      <c r="AH23" t="s">
        <v>75</v>
      </c>
      <c r="AI23" s="64">
        <v>162.5</v>
      </c>
      <c r="BF23" s="70">
        <v>44774</v>
      </c>
      <c r="BG23" s="59">
        <v>97.4</v>
      </c>
      <c r="BH23">
        <f t="shared" si="14"/>
        <v>-7.6689733624040093</v>
      </c>
      <c r="BI23" s="48">
        <v>176.3</v>
      </c>
      <c r="BJ23" s="48">
        <v>195</v>
      </c>
      <c r="BK23" s="48">
        <v>178.5</v>
      </c>
      <c r="BL23" s="48">
        <v>169</v>
      </c>
      <c r="BM23" s="48">
        <v>178.8</v>
      </c>
      <c r="BN23" s="48">
        <v>168.5</v>
      </c>
      <c r="BO23" s="48">
        <v>176.8</v>
      </c>
      <c r="BP23" s="48">
        <v>161.9</v>
      </c>
      <c r="BQ23" s="48">
        <v>166.9</v>
      </c>
      <c r="BR23" s="48">
        <v>172.3</v>
      </c>
      <c r="BS23" s="48">
        <v>171.2</v>
      </c>
      <c r="BT23" s="48">
        <v>169.1</v>
      </c>
    </row>
    <row r="24" spans="3:72">
      <c r="C24" s="70">
        <v>44805</v>
      </c>
      <c r="D24">
        <v>90.71</v>
      </c>
      <c r="E24" s="66">
        <v>-6.8685831622176714</v>
      </c>
      <c r="F24" s="67">
        <v>175.3</v>
      </c>
      <c r="G24" s="67">
        <f t="shared" si="0"/>
        <v>0.57372346528973028</v>
      </c>
      <c r="H24">
        <v>177.8</v>
      </c>
      <c r="I24" s="67">
        <f t="shared" si="1"/>
        <v>0.85082246171298925</v>
      </c>
      <c r="J24">
        <v>195.9</v>
      </c>
      <c r="K24" s="67">
        <f t="shared" si="2"/>
        <v>0.46153846153846445</v>
      </c>
      <c r="L24">
        <v>179.9</v>
      </c>
      <c r="M24" s="67">
        <f t="shared" si="3"/>
        <v>0.78431372549019918</v>
      </c>
      <c r="N24">
        <v>169.5</v>
      </c>
      <c r="O24" s="67">
        <f t="shared" si="4"/>
        <v>0.29585798816568049</v>
      </c>
      <c r="P24">
        <v>179.5</v>
      </c>
      <c r="Q24" s="68">
        <f t="shared" si="5"/>
        <v>0.39149888143176093</v>
      </c>
      <c r="R24">
        <v>169.5</v>
      </c>
      <c r="S24" s="68">
        <f t="shared" si="6"/>
        <v>0.59347181008902083</v>
      </c>
      <c r="T24">
        <v>177.8</v>
      </c>
      <c r="U24" s="67">
        <f t="shared" si="7"/>
        <v>0.56561085972850678</v>
      </c>
      <c r="V24">
        <v>162.30000000000001</v>
      </c>
      <c r="W24" s="67">
        <f t="shared" si="8"/>
        <v>0.2470660901791264</v>
      </c>
      <c r="X24">
        <v>167.6</v>
      </c>
      <c r="Y24" s="67">
        <f t="shared" si="9"/>
        <v>0.41941282204912445</v>
      </c>
      <c r="Z24">
        <v>173.1</v>
      </c>
      <c r="AA24" s="67">
        <f t="shared" si="10"/>
        <v>0.46430644225187634</v>
      </c>
      <c r="AB24">
        <v>170.9</v>
      </c>
      <c r="AC24" s="67">
        <f t="shared" si="11"/>
        <v>-0.17523364485980314</v>
      </c>
      <c r="AD24">
        <v>169.7</v>
      </c>
      <c r="AE24" s="67">
        <f t="shared" si="12"/>
        <v>0.35481963335304223</v>
      </c>
      <c r="AH24" t="s">
        <v>76</v>
      </c>
      <c r="AI24" s="64">
        <v>163.19999999999999</v>
      </c>
      <c r="BF24" s="70">
        <v>44805</v>
      </c>
      <c r="BG24" s="59">
        <v>90.71</v>
      </c>
      <c r="BH24">
        <f t="shared" si="14"/>
        <v>-6.8685831622176714</v>
      </c>
      <c r="BI24" s="48">
        <v>177.8</v>
      </c>
      <c r="BJ24" s="48">
        <v>195.9</v>
      </c>
      <c r="BK24" s="48">
        <v>179.9</v>
      </c>
      <c r="BL24" s="48">
        <v>169.5</v>
      </c>
      <c r="BM24" s="48">
        <v>179.5</v>
      </c>
      <c r="BN24" s="48">
        <v>169.5</v>
      </c>
      <c r="BO24" s="48">
        <v>177.8</v>
      </c>
      <c r="BP24" s="48">
        <v>162.30000000000001</v>
      </c>
      <c r="BQ24" s="48">
        <v>167.6</v>
      </c>
      <c r="BR24" s="48">
        <v>173.1</v>
      </c>
      <c r="BS24" s="48">
        <v>170.9</v>
      </c>
      <c r="BT24" s="48">
        <v>169.7</v>
      </c>
    </row>
    <row r="25" spans="3:72">
      <c r="C25" s="70">
        <v>44835</v>
      </c>
      <c r="D25">
        <v>91.7</v>
      </c>
      <c r="E25" s="66">
        <v>1.0913901444162817</v>
      </c>
      <c r="F25" s="67">
        <v>176.7</v>
      </c>
      <c r="G25" s="67">
        <f t="shared" si="0"/>
        <v>0.79863091842554312</v>
      </c>
      <c r="H25">
        <v>179.6</v>
      </c>
      <c r="I25" s="67">
        <f t="shared" si="1"/>
        <v>1.0123734533183255</v>
      </c>
      <c r="J25">
        <v>196.3</v>
      </c>
      <c r="K25" s="67">
        <f t="shared" si="2"/>
        <v>0.20418580908627143</v>
      </c>
      <c r="L25">
        <v>181</v>
      </c>
      <c r="M25" s="67">
        <f t="shared" si="3"/>
        <v>0.61145080600333201</v>
      </c>
      <c r="N25">
        <v>171.2</v>
      </c>
      <c r="O25" s="67">
        <f t="shared" si="4"/>
        <v>1.0029498525073679</v>
      </c>
      <c r="P25">
        <v>180.5</v>
      </c>
      <c r="Q25" s="68">
        <f t="shared" si="5"/>
        <v>0.55710306406685239</v>
      </c>
      <c r="R25">
        <v>170.4</v>
      </c>
      <c r="S25" s="68">
        <f t="shared" si="6"/>
        <v>0.53097345132743701</v>
      </c>
      <c r="T25">
        <v>178.7</v>
      </c>
      <c r="U25" s="67">
        <f t="shared" si="7"/>
        <v>0.50618672665915476</v>
      </c>
      <c r="V25">
        <v>162.9</v>
      </c>
      <c r="W25" s="67">
        <f t="shared" si="8"/>
        <v>0.36968576709796319</v>
      </c>
      <c r="X25">
        <v>168.2</v>
      </c>
      <c r="Y25" s="67">
        <f t="shared" si="9"/>
        <v>0.35799522673030687</v>
      </c>
      <c r="Z25">
        <v>173.4</v>
      </c>
      <c r="AA25" s="67">
        <f t="shared" si="10"/>
        <v>0.17331022530329948</v>
      </c>
      <c r="AB25">
        <v>172.1</v>
      </c>
      <c r="AC25" s="67">
        <f t="shared" si="11"/>
        <v>0.7021650087770559</v>
      </c>
      <c r="AD25">
        <v>170.5</v>
      </c>
      <c r="AE25" s="67">
        <f t="shared" si="12"/>
        <v>0.47142015321155656</v>
      </c>
      <c r="AH25" t="s">
        <v>77</v>
      </c>
      <c r="AI25" s="64">
        <v>163.19999999999999</v>
      </c>
      <c r="BF25" s="70">
        <v>44835</v>
      </c>
      <c r="BG25" s="59">
        <v>91.7</v>
      </c>
      <c r="BH25">
        <f t="shared" si="14"/>
        <v>1.0913901444162817</v>
      </c>
      <c r="BI25" s="48">
        <v>179.6</v>
      </c>
      <c r="BJ25" s="48">
        <v>196.3</v>
      </c>
      <c r="BK25" s="48">
        <v>181</v>
      </c>
      <c r="BL25" s="48">
        <v>171.2</v>
      </c>
      <c r="BM25" s="48">
        <v>180.5</v>
      </c>
      <c r="BN25" s="48">
        <v>170.4</v>
      </c>
      <c r="BO25" s="48">
        <v>178.7</v>
      </c>
      <c r="BP25" s="48">
        <v>162.9</v>
      </c>
      <c r="BQ25" s="48">
        <v>168.2</v>
      </c>
      <c r="BR25" s="48">
        <v>173.4</v>
      </c>
      <c r="BS25" s="48">
        <v>172.1</v>
      </c>
      <c r="BT25" s="48">
        <v>170.5</v>
      </c>
    </row>
    <row r="26" spans="3:72">
      <c r="C26" s="70">
        <v>44866</v>
      </c>
      <c r="D26">
        <v>87.55</v>
      </c>
      <c r="E26" s="66">
        <v>-4.5256270447110207</v>
      </c>
      <c r="F26" s="67">
        <v>176.5</v>
      </c>
      <c r="G26" s="67">
        <f t="shared" si="0"/>
        <v>-0.11318619128465683</v>
      </c>
      <c r="H26">
        <v>178.3</v>
      </c>
      <c r="I26" s="67">
        <f t="shared" si="1"/>
        <v>-0.7238307349665829</v>
      </c>
      <c r="J26">
        <v>196.9</v>
      </c>
      <c r="K26" s="67">
        <f t="shared" si="2"/>
        <v>0.305654610290369</v>
      </c>
      <c r="L26">
        <v>182.1</v>
      </c>
      <c r="M26" s="67">
        <f t="shared" si="3"/>
        <v>0.60773480662983115</v>
      </c>
      <c r="N26">
        <v>171.8</v>
      </c>
      <c r="O26" s="67">
        <f t="shared" si="4"/>
        <v>0.35046728971963947</v>
      </c>
      <c r="P26">
        <v>181.3</v>
      </c>
      <c r="Q26" s="68">
        <f t="shared" si="5"/>
        <v>0.44321329639889823</v>
      </c>
      <c r="R26">
        <v>171.4</v>
      </c>
      <c r="S26" s="68">
        <f t="shared" si="6"/>
        <v>0.58685446009389663</v>
      </c>
      <c r="T26">
        <v>179.8</v>
      </c>
      <c r="U26" s="67">
        <f t="shared" si="7"/>
        <v>0.61555679910465744</v>
      </c>
      <c r="V26">
        <v>163</v>
      </c>
      <c r="W26" s="67">
        <f t="shared" si="8"/>
        <v>6.1387354205030269E-2</v>
      </c>
      <c r="X26">
        <v>168.5</v>
      </c>
      <c r="Y26" s="67">
        <f t="shared" si="9"/>
        <v>0.17835909631391877</v>
      </c>
      <c r="Z26">
        <v>173.7</v>
      </c>
      <c r="AA26" s="67">
        <f t="shared" si="10"/>
        <v>0.17301038062282753</v>
      </c>
      <c r="AB26">
        <v>173.6</v>
      </c>
      <c r="AC26" s="67">
        <f t="shared" si="11"/>
        <v>0.87158628704241714</v>
      </c>
      <c r="AD26">
        <v>171.1</v>
      </c>
      <c r="AE26" s="67">
        <f t="shared" si="12"/>
        <v>0.3519061583577679</v>
      </c>
      <c r="AH26" t="s">
        <v>78</v>
      </c>
      <c r="AI26" s="64">
        <v>165.5</v>
      </c>
      <c r="BF26" s="70">
        <v>44866</v>
      </c>
      <c r="BG26" s="59">
        <v>87.55</v>
      </c>
      <c r="BH26">
        <f t="shared" si="14"/>
        <v>-4.5256270447110207</v>
      </c>
      <c r="BI26" s="48">
        <v>178.3</v>
      </c>
      <c r="BJ26" s="48">
        <v>196.9</v>
      </c>
      <c r="BK26" s="48">
        <v>182.1</v>
      </c>
      <c r="BL26" s="48">
        <v>171.8</v>
      </c>
      <c r="BM26" s="48">
        <v>181.3</v>
      </c>
      <c r="BN26" s="48">
        <v>171.4</v>
      </c>
      <c r="BO26" s="48">
        <v>179.8</v>
      </c>
      <c r="BP26" s="48">
        <v>163</v>
      </c>
      <c r="BQ26" s="48">
        <v>168.5</v>
      </c>
      <c r="BR26" s="48">
        <v>173.7</v>
      </c>
      <c r="BS26" s="48">
        <v>173.6</v>
      </c>
      <c r="BT26" s="48">
        <v>171.1</v>
      </c>
    </row>
    <row r="27" spans="3:72">
      <c r="C27" s="70">
        <v>44896</v>
      </c>
      <c r="D27">
        <v>78.099999999999994</v>
      </c>
      <c r="E27" s="66">
        <v>-10.793832095945177</v>
      </c>
      <c r="F27" s="67">
        <v>175.7</v>
      </c>
      <c r="G27" s="67">
        <f t="shared" si="0"/>
        <v>-0.4532577903682784</v>
      </c>
      <c r="H27">
        <v>175.9</v>
      </c>
      <c r="I27" s="67">
        <f t="shared" si="1"/>
        <v>-1.3460459899046582</v>
      </c>
      <c r="J27">
        <v>197.3</v>
      </c>
      <c r="K27" s="67">
        <f t="shared" si="2"/>
        <v>0.20314880650076469</v>
      </c>
      <c r="L27">
        <v>183</v>
      </c>
      <c r="M27" s="67">
        <f t="shared" si="3"/>
        <v>0.49423393739703775</v>
      </c>
      <c r="N27">
        <v>170.7</v>
      </c>
      <c r="O27" s="67">
        <f t="shared" si="4"/>
        <v>-0.64027939464494921</v>
      </c>
      <c r="P27">
        <v>182</v>
      </c>
      <c r="Q27" s="68">
        <f t="shared" si="5"/>
        <v>0.38610038610037983</v>
      </c>
      <c r="R27">
        <v>172.1</v>
      </c>
      <c r="S27" s="68">
        <f t="shared" si="6"/>
        <v>0.40840140023336563</v>
      </c>
      <c r="T27">
        <v>181.1</v>
      </c>
      <c r="U27" s="67">
        <f t="shared" si="7"/>
        <v>0.72302558398219297</v>
      </c>
      <c r="V27">
        <v>163.4</v>
      </c>
      <c r="W27" s="67">
        <f t="shared" si="8"/>
        <v>0.24539877300613847</v>
      </c>
      <c r="X27">
        <v>168.9</v>
      </c>
      <c r="Y27" s="67">
        <f t="shared" si="9"/>
        <v>0.23738872403561168</v>
      </c>
      <c r="Z27">
        <v>174.1</v>
      </c>
      <c r="AA27" s="67">
        <f t="shared" si="10"/>
        <v>0.23028209556707294</v>
      </c>
      <c r="AB27">
        <v>175.8</v>
      </c>
      <c r="AC27" s="67">
        <f t="shared" si="11"/>
        <v>1.2672811059907931</v>
      </c>
      <c r="AD27">
        <v>172</v>
      </c>
      <c r="AE27" s="67">
        <f t="shared" si="12"/>
        <v>0.52600818234950653</v>
      </c>
      <c r="AH27" t="s">
        <v>79</v>
      </c>
      <c r="AI27" s="64">
        <v>166.7</v>
      </c>
      <c r="BF27" s="70">
        <v>44896</v>
      </c>
      <c r="BG27" s="59">
        <v>78.099999999999994</v>
      </c>
      <c r="BH27">
        <f t="shared" si="14"/>
        <v>-10.793832095945177</v>
      </c>
      <c r="BI27" s="48">
        <v>175.9</v>
      </c>
      <c r="BJ27" s="48">
        <v>197.3</v>
      </c>
      <c r="BK27" s="48">
        <v>183</v>
      </c>
      <c r="BL27" s="48">
        <v>170.7</v>
      </c>
      <c r="BM27" s="48">
        <v>182</v>
      </c>
      <c r="BN27" s="48">
        <v>172.1</v>
      </c>
      <c r="BO27" s="48">
        <v>181.1</v>
      </c>
      <c r="BP27" s="48">
        <v>163.4</v>
      </c>
      <c r="BQ27" s="48">
        <v>168.9</v>
      </c>
      <c r="BR27" s="48">
        <v>174.1</v>
      </c>
      <c r="BS27" s="48">
        <v>175.8</v>
      </c>
      <c r="BT27" s="48">
        <v>172</v>
      </c>
    </row>
    <row r="28" spans="3:72">
      <c r="C28" s="70">
        <v>44927</v>
      </c>
      <c r="D28">
        <v>80.92</v>
      </c>
      <c r="E28" s="66">
        <v>3.6107554417413668</v>
      </c>
      <c r="F28" s="67">
        <v>176.5</v>
      </c>
      <c r="G28" s="67">
        <f t="shared" si="0"/>
        <v>0.45532157085942598</v>
      </c>
      <c r="H28">
        <v>176.7</v>
      </c>
      <c r="I28" s="67">
        <f t="shared" si="1"/>
        <v>0.45480386583284982</v>
      </c>
      <c r="J28">
        <v>198.2</v>
      </c>
      <c r="K28" s="67">
        <f t="shared" si="2"/>
        <v>0.45615813482005935</v>
      </c>
      <c r="L28">
        <v>183.8</v>
      </c>
      <c r="M28" s="67">
        <f t="shared" si="3"/>
        <v>0.43715846994536145</v>
      </c>
      <c r="N28">
        <v>172.1</v>
      </c>
      <c r="O28" s="67">
        <f t="shared" si="4"/>
        <v>0.82015231400117505</v>
      </c>
      <c r="P28">
        <v>182</v>
      </c>
      <c r="Q28" s="68">
        <f t="shared" si="5"/>
        <v>0</v>
      </c>
      <c r="R28">
        <v>172.9</v>
      </c>
      <c r="S28" s="68">
        <f t="shared" si="6"/>
        <v>0.46484601975596251</v>
      </c>
      <c r="T28">
        <v>182.3</v>
      </c>
      <c r="U28" s="67">
        <f t="shared" si="7"/>
        <v>0.66261733848703319</v>
      </c>
      <c r="V28">
        <v>163.6</v>
      </c>
      <c r="W28" s="67">
        <f t="shared" si="8"/>
        <v>0.12239902080782657</v>
      </c>
      <c r="X28">
        <v>169.5</v>
      </c>
      <c r="Y28" s="67">
        <f t="shared" si="9"/>
        <v>0.35523978685612451</v>
      </c>
      <c r="Z28">
        <v>174.3</v>
      </c>
      <c r="AA28" s="67">
        <f t="shared" si="10"/>
        <v>0.11487650775417407</v>
      </c>
      <c r="AB28">
        <v>178.6</v>
      </c>
      <c r="AC28" s="67">
        <f t="shared" si="11"/>
        <v>1.5927189988623338</v>
      </c>
      <c r="AD28">
        <v>172.8</v>
      </c>
      <c r="AE28" s="67">
        <f t="shared" si="12"/>
        <v>0.46511627906977404</v>
      </c>
      <c r="AH28" t="s">
        <v>80</v>
      </c>
      <c r="AI28" s="64">
        <v>166.2</v>
      </c>
      <c r="BF28" s="70">
        <v>44927</v>
      </c>
      <c r="BG28" s="59">
        <v>80.92</v>
      </c>
      <c r="BH28">
        <f t="shared" si="14"/>
        <v>3.6107554417413668</v>
      </c>
      <c r="BI28" s="48">
        <v>176.7</v>
      </c>
      <c r="BJ28" s="48">
        <v>198.2</v>
      </c>
      <c r="BK28" s="48">
        <v>183.8</v>
      </c>
      <c r="BL28" s="48">
        <v>172.1</v>
      </c>
      <c r="BM28" s="48">
        <v>182</v>
      </c>
      <c r="BN28" s="48">
        <v>172.9</v>
      </c>
      <c r="BO28" s="48">
        <v>182.3</v>
      </c>
      <c r="BP28" s="48">
        <v>163.6</v>
      </c>
      <c r="BQ28" s="48">
        <v>169.5</v>
      </c>
      <c r="BR28" s="48">
        <v>174.3</v>
      </c>
      <c r="BS28" s="48">
        <v>178.6</v>
      </c>
      <c r="BT28" s="48">
        <v>172.8</v>
      </c>
    </row>
    <row r="29" spans="3:72">
      <c r="C29" s="70">
        <v>44958</v>
      </c>
      <c r="D29">
        <v>82.28</v>
      </c>
      <c r="E29" s="66">
        <v>1.6806722689075622</v>
      </c>
      <c r="F29" s="67">
        <v>177.2</v>
      </c>
      <c r="G29" s="67">
        <f t="shared" si="0"/>
        <v>0.39660056657223147</v>
      </c>
      <c r="H29">
        <v>177</v>
      </c>
      <c r="I29" s="67">
        <f t="shared" si="1"/>
        <v>0.16977928692700134</v>
      </c>
      <c r="J29">
        <v>199.5</v>
      </c>
      <c r="K29" s="67">
        <f t="shared" si="2"/>
        <v>0.65590312815338625</v>
      </c>
      <c r="L29">
        <v>185.1</v>
      </c>
      <c r="M29" s="67">
        <f t="shared" si="3"/>
        <v>0.70729053318823876</v>
      </c>
      <c r="N29">
        <v>173.5</v>
      </c>
      <c r="O29" s="67">
        <f t="shared" si="4"/>
        <v>0.81348053457292613</v>
      </c>
      <c r="P29">
        <v>182.1</v>
      </c>
      <c r="Q29" s="68">
        <f t="shared" si="5"/>
        <v>5.4945054945051822E-2</v>
      </c>
      <c r="R29">
        <v>174.2</v>
      </c>
      <c r="S29" s="68">
        <f t="shared" si="6"/>
        <v>0.75187969924811038</v>
      </c>
      <c r="T29">
        <v>184.4</v>
      </c>
      <c r="U29" s="67">
        <f t="shared" si="7"/>
        <v>1.1519473395501889</v>
      </c>
      <c r="V29">
        <v>164.2</v>
      </c>
      <c r="W29" s="67">
        <f t="shared" si="8"/>
        <v>0.36674816625916523</v>
      </c>
      <c r="X29">
        <v>170.3</v>
      </c>
      <c r="Y29" s="67">
        <f t="shared" si="9"/>
        <v>0.47197640117994766</v>
      </c>
      <c r="Z29">
        <v>175</v>
      </c>
      <c r="AA29" s="67">
        <f t="shared" si="10"/>
        <v>0.40160642570280469</v>
      </c>
      <c r="AB29">
        <v>181</v>
      </c>
      <c r="AC29" s="67">
        <f t="shared" si="11"/>
        <v>1.343784994400899</v>
      </c>
      <c r="AD29">
        <v>174.1</v>
      </c>
      <c r="AE29" s="67">
        <f t="shared" si="12"/>
        <v>0.75231481481480489</v>
      </c>
      <c r="AG29" t="s">
        <v>208</v>
      </c>
      <c r="AI29" s="24">
        <v>161.45833333333334</v>
      </c>
      <c r="BF29" s="70">
        <v>44958</v>
      </c>
      <c r="BG29" s="59">
        <v>82.28</v>
      </c>
      <c r="BH29">
        <f t="shared" si="14"/>
        <v>1.6806722689075622</v>
      </c>
      <c r="BI29" s="48">
        <v>177</v>
      </c>
      <c r="BJ29" s="48">
        <v>199.5</v>
      </c>
      <c r="BK29" s="48">
        <v>185.1</v>
      </c>
      <c r="BL29" s="48">
        <v>173.5</v>
      </c>
      <c r="BM29" s="48">
        <v>182.1</v>
      </c>
      <c r="BN29" s="48">
        <v>174.2</v>
      </c>
      <c r="BO29" s="48">
        <v>184.4</v>
      </c>
      <c r="BP29" s="48">
        <v>164.2</v>
      </c>
      <c r="BQ29" s="48">
        <v>170.3</v>
      </c>
      <c r="BR29" s="48">
        <v>175</v>
      </c>
      <c r="BS29" s="48">
        <v>181</v>
      </c>
      <c r="BT29" s="48">
        <v>174.1</v>
      </c>
    </row>
    <row r="30" spans="3:72">
      <c r="C30" s="70">
        <v>44986</v>
      </c>
      <c r="D30">
        <v>78.540000000000006</v>
      </c>
      <c r="E30" s="66">
        <v>-4.5454545454545396</v>
      </c>
      <c r="F30" s="67">
        <v>177.2</v>
      </c>
      <c r="G30" s="67">
        <f t="shared" si="0"/>
        <v>0</v>
      </c>
      <c r="H30">
        <v>177</v>
      </c>
      <c r="I30" s="67">
        <f t="shared" si="1"/>
        <v>0</v>
      </c>
      <c r="J30">
        <v>199.5</v>
      </c>
      <c r="K30" s="67">
        <f t="shared" si="2"/>
        <v>0</v>
      </c>
      <c r="L30">
        <v>185.1</v>
      </c>
      <c r="M30" s="67">
        <f t="shared" si="3"/>
        <v>0</v>
      </c>
      <c r="N30">
        <v>173.5</v>
      </c>
      <c r="O30" s="67">
        <f t="shared" si="4"/>
        <v>0</v>
      </c>
      <c r="P30">
        <v>181.9</v>
      </c>
      <c r="Q30" s="68">
        <f t="shared" si="5"/>
        <v>-0.10982976386600145</v>
      </c>
      <c r="R30">
        <v>174.2</v>
      </c>
      <c r="S30" s="68">
        <f t="shared" si="6"/>
        <v>0</v>
      </c>
      <c r="T30">
        <v>184.4</v>
      </c>
      <c r="U30" s="67">
        <f t="shared" si="7"/>
        <v>0</v>
      </c>
      <c r="V30">
        <v>164.2</v>
      </c>
      <c r="W30" s="67">
        <f t="shared" si="8"/>
        <v>0</v>
      </c>
      <c r="X30">
        <v>170.3</v>
      </c>
      <c r="Y30" s="67">
        <f t="shared" si="9"/>
        <v>0</v>
      </c>
      <c r="Z30">
        <v>175</v>
      </c>
      <c r="AA30" s="67">
        <f t="shared" si="10"/>
        <v>0</v>
      </c>
      <c r="AB30">
        <v>181</v>
      </c>
      <c r="AC30" s="67">
        <f t="shared" si="11"/>
        <v>0</v>
      </c>
      <c r="AD30">
        <v>174.1</v>
      </c>
      <c r="AE30" s="67">
        <f t="shared" si="12"/>
        <v>0</v>
      </c>
      <c r="AG30">
        <v>2022</v>
      </c>
      <c r="AH30" t="s">
        <v>66</v>
      </c>
      <c r="AI30" s="64">
        <v>165.7</v>
      </c>
      <c r="BF30" s="70">
        <v>44986</v>
      </c>
      <c r="BG30" s="60">
        <v>78.540000000000006</v>
      </c>
      <c r="BH30">
        <f t="shared" si="14"/>
        <v>-4.5454545454545396</v>
      </c>
      <c r="BI30" s="48">
        <v>177</v>
      </c>
      <c r="BJ30" s="48">
        <v>199.5</v>
      </c>
      <c r="BK30" s="48">
        <v>185.1</v>
      </c>
      <c r="BL30" s="48">
        <v>173.5</v>
      </c>
      <c r="BM30" s="48">
        <v>181.9</v>
      </c>
      <c r="BN30" s="48">
        <v>174.2</v>
      </c>
      <c r="BO30" s="48">
        <v>184.4</v>
      </c>
      <c r="BP30" s="48">
        <v>164.2</v>
      </c>
      <c r="BQ30" s="48">
        <v>170.3</v>
      </c>
      <c r="BR30" s="48">
        <v>175</v>
      </c>
      <c r="BS30" s="48">
        <v>181</v>
      </c>
      <c r="BT30" s="48">
        <v>174.1</v>
      </c>
    </row>
    <row r="31" spans="3:72">
      <c r="C31" s="70">
        <v>45017</v>
      </c>
      <c r="D31">
        <v>83.76</v>
      </c>
      <c r="E31" s="66">
        <v>6.6462948815889975</v>
      </c>
      <c r="F31" s="67">
        <v>178.1</v>
      </c>
      <c r="G31" s="67">
        <f t="shared" si="0"/>
        <v>0.50790067720090615</v>
      </c>
      <c r="H31">
        <v>177.9</v>
      </c>
      <c r="I31" s="67">
        <f t="shared" si="1"/>
        <v>0.50847457627118964</v>
      </c>
      <c r="J31">
        <v>200.6</v>
      </c>
      <c r="K31" s="67">
        <f t="shared" si="2"/>
        <v>0.55137844611528541</v>
      </c>
      <c r="L31">
        <v>185.7</v>
      </c>
      <c r="M31" s="67">
        <f t="shared" si="3"/>
        <v>0.32414910858994833</v>
      </c>
      <c r="N31">
        <v>175.2</v>
      </c>
      <c r="O31" s="67">
        <f t="shared" si="4"/>
        <v>0.97982708933716922</v>
      </c>
      <c r="P31">
        <v>181.7</v>
      </c>
      <c r="Q31" s="68">
        <f t="shared" si="5"/>
        <v>-0.10995052226499014</v>
      </c>
      <c r="R31">
        <v>174.6</v>
      </c>
      <c r="S31" s="68">
        <f t="shared" si="6"/>
        <v>0.22962112514351646</v>
      </c>
      <c r="T31">
        <v>185</v>
      </c>
      <c r="U31" s="67">
        <f t="shared" si="7"/>
        <v>0.32537960954446543</v>
      </c>
      <c r="V31">
        <v>164.5</v>
      </c>
      <c r="W31" s="67">
        <f t="shared" si="8"/>
        <v>0.18270401948843568</v>
      </c>
      <c r="X31">
        <v>170.7</v>
      </c>
      <c r="Y31" s="67">
        <f t="shared" si="9"/>
        <v>0.23487962419258793</v>
      </c>
      <c r="Z31">
        <v>176.4</v>
      </c>
      <c r="AA31" s="67">
        <f t="shared" si="10"/>
        <v>0.80000000000000326</v>
      </c>
      <c r="AB31">
        <v>184</v>
      </c>
      <c r="AC31" s="67">
        <f t="shared" si="11"/>
        <v>1.6574585635359116</v>
      </c>
      <c r="AD31">
        <v>175</v>
      </c>
      <c r="AE31" s="67">
        <f t="shared" si="12"/>
        <v>0.51694428489374256</v>
      </c>
      <c r="AH31" t="s">
        <v>70</v>
      </c>
      <c r="AI31" s="64">
        <v>166.1</v>
      </c>
      <c r="BF31" s="70">
        <v>45017</v>
      </c>
      <c r="BG31">
        <v>83.76</v>
      </c>
      <c r="BH31">
        <f t="shared" si="14"/>
        <v>6.6462948815889975</v>
      </c>
      <c r="BI31" s="48">
        <v>177.9</v>
      </c>
      <c r="BJ31" s="48">
        <v>200.6</v>
      </c>
      <c r="BK31" s="48">
        <v>185.7</v>
      </c>
      <c r="BL31" s="48">
        <v>175.2</v>
      </c>
      <c r="BM31" s="48">
        <v>181.7</v>
      </c>
      <c r="BN31" s="48">
        <v>174.6</v>
      </c>
      <c r="BO31" s="48">
        <v>185</v>
      </c>
      <c r="BP31" s="48">
        <v>164.5</v>
      </c>
      <c r="BQ31" s="48">
        <v>170.7</v>
      </c>
      <c r="BR31" s="48">
        <v>176.4</v>
      </c>
      <c r="BS31" s="48">
        <v>184</v>
      </c>
      <c r="BT31" s="48">
        <v>175</v>
      </c>
    </row>
    <row r="32" spans="3:72">
      <c r="C32" s="70">
        <v>45047</v>
      </c>
      <c r="D32">
        <v>74.98</v>
      </c>
      <c r="E32" s="66">
        <v>-10.482330468003822</v>
      </c>
      <c r="F32" s="67">
        <v>179.1</v>
      </c>
      <c r="G32" s="67">
        <f t="shared" si="0"/>
        <v>0.56148231330713083</v>
      </c>
      <c r="H32">
        <v>179.1</v>
      </c>
      <c r="I32" s="67">
        <f t="shared" si="1"/>
        <v>0.6745362563237709</v>
      </c>
      <c r="J32">
        <v>201</v>
      </c>
      <c r="K32" s="67">
        <f t="shared" si="2"/>
        <v>0.1994017946161544</v>
      </c>
      <c r="L32">
        <v>186.2</v>
      </c>
      <c r="M32" s="67">
        <f t="shared" si="3"/>
        <v>0.26925148088314488</v>
      </c>
      <c r="N32">
        <v>175.6</v>
      </c>
      <c r="O32" s="67">
        <f t="shared" si="4"/>
        <v>0.22831050228310826</v>
      </c>
      <c r="P32">
        <v>182.8</v>
      </c>
      <c r="Q32" s="68">
        <f t="shared" si="5"/>
        <v>0.60539350577876871</v>
      </c>
      <c r="R32">
        <v>175.2</v>
      </c>
      <c r="S32" s="68">
        <f t="shared" si="6"/>
        <v>0.34364261168384552</v>
      </c>
      <c r="T32">
        <v>185.7</v>
      </c>
      <c r="U32" s="67">
        <f t="shared" si="7"/>
        <v>0.37837837837837224</v>
      </c>
      <c r="V32">
        <v>164.8</v>
      </c>
      <c r="W32" s="67">
        <f t="shared" si="8"/>
        <v>0.18237082066869992</v>
      </c>
      <c r="X32">
        <v>171.2</v>
      </c>
      <c r="Y32" s="67">
        <f t="shared" si="9"/>
        <v>0.29291154071470415</v>
      </c>
      <c r="Z32">
        <v>177.1</v>
      </c>
      <c r="AA32" s="67">
        <f t="shared" si="10"/>
        <v>0.39682539682539036</v>
      </c>
      <c r="AB32">
        <v>185.2</v>
      </c>
      <c r="AC32" s="67">
        <f t="shared" si="11"/>
        <v>0.65217391304347205</v>
      </c>
      <c r="AD32">
        <v>175.7</v>
      </c>
      <c r="AE32" s="67">
        <f t="shared" si="12"/>
        <v>0.39999999999999353</v>
      </c>
      <c r="AH32" t="s">
        <v>71</v>
      </c>
      <c r="AI32" s="64">
        <v>167.7</v>
      </c>
      <c r="BF32" s="70">
        <v>45047</v>
      </c>
      <c r="BG32">
        <v>74.98</v>
      </c>
      <c r="BH32">
        <f t="shared" si="14"/>
        <v>-10.482330468003822</v>
      </c>
      <c r="BI32" s="48">
        <v>179.1</v>
      </c>
      <c r="BJ32" s="48">
        <v>201</v>
      </c>
      <c r="BK32" s="48">
        <v>186.2</v>
      </c>
      <c r="BL32" s="48">
        <v>175.6</v>
      </c>
      <c r="BM32" s="48">
        <v>182.8</v>
      </c>
      <c r="BN32" s="48">
        <v>175.2</v>
      </c>
      <c r="BO32" s="48">
        <v>185.7</v>
      </c>
      <c r="BP32" s="48">
        <v>164.8</v>
      </c>
      <c r="BQ32" s="48">
        <v>171.2</v>
      </c>
      <c r="BR32" s="48">
        <v>177.1</v>
      </c>
      <c r="BS32" s="48">
        <v>185.2</v>
      </c>
      <c r="BT32" s="48">
        <v>175.7</v>
      </c>
    </row>
    <row r="33" spans="3:60">
      <c r="O33" s="67"/>
      <c r="AH33" t="s">
        <v>72</v>
      </c>
      <c r="AI33" s="64">
        <v>170.1</v>
      </c>
      <c r="BF33" s="73">
        <v>45078</v>
      </c>
      <c r="BG33" s="62">
        <v>74.930000000000007</v>
      </c>
      <c r="BH33" s="62">
        <f t="shared" si="14"/>
        <v>-6.6684449186445935E-2</v>
      </c>
    </row>
    <row r="34" spans="3:60">
      <c r="H34" s="66" t="s">
        <v>209</v>
      </c>
      <c r="J34" s="66"/>
      <c r="AH34" t="s">
        <v>73</v>
      </c>
      <c r="AI34" s="64">
        <v>171.7</v>
      </c>
      <c r="BF34" s="73">
        <v>45108</v>
      </c>
      <c r="BG34" s="62">
        <v>80.37</v>
      </c>
      <c r="BH34" s="62">
        <f t="shared" si="14"/>
        <v>7.2601094354731037</v>
      </c>
    </row>
    <row r="35" spans="3:60">
      <c r="AH35" t="s">
        <v>74</v>
      </c>
      <c r="AI35" s="64">
        <v>172.6</v>
      </c>
      <c r="BF35" s="73">
        <v>45139</v>
      </c>
      <c r="BG35" s="62">
        <v>86.43</v>
      </c>
      <c r="BH35" s="62">
        <f t="shared" si="14"/>
        <v>7.540126913027251</v>
      </c>
    </row>
    <row r="36" spans="3:60">
      <c r="AH36" t="s">
        <v>75</v>
      </c>
      <c r="AI36" s="64">
        <v>173.4</v>
      </c>
      <c r="BF36" s="73">
        <v>45170</v>
      </c>
      <c r="BG36" s="62">
        <v>93.54</v>
      </c>
      <c r="BH36" s="62">
        <f t="shared" si="14"/>
        <v>8.2263103089205121</v>
      </c>
    </row>
    <row r="37" spans="3:60">
      <c r="E37" s="66" t="s">
        <v>210</v>
      </c>
      <c r="H37" s="66" t="s">
        <v>184</v>
      </c>
      <c r="I37" s="66" t="s">
        <v>186</v>
      </c>
      <c r="J37" s="66" t="s">
        <v>188</v>
      </c>
      <c r="K37" s="66" t="s">
        <v>190</v>
      </c>
      <c r="L37" s="66" t="s">
        <v>192</v>
      </c>
      <c r="M37" s="66" t="s">
        <v>194</v>
      </c>
      <c r="N37" s="66" t="s">
        <v>196</v>
      </c>
      <c r="O37" s="66" t="s">
        <v>198</v>
      </c>
      <c r="P37" s="66" t="s">
        <v>200</v>
      </c>
      <c r="Q37" s="66" t="s">
        <v>202</v>
      </c>
      <c r="R37" s="66" t="s">
        <v>204</v>
      </c>
      <c r="S37" s="66" t="s">
        <v>206</v>
      </c>
      <c r="AH37" t="s">
        <v>76</v>
      </c>
      <c r="AI37" s="64">
        <v>174.3</v>
      </c>
      <c r="BF37" s="73">
        <v>45200</v>
      </c>
      <c r="BG37" s="62">
        <v>90.08</v>
      </c>
      <c r="BH37" s="62">
        <f t="shared" si="14"/>
        <v>-3.6989523198631682</v>
      </c>
    </row>
    <row r="38" spans="3:60">
      <c r="E38" s="66" t="s">
        <v>211</v>
      </c>
      <c r="H38">
        <f>CORREL(E4:E32,I4:I32)</f>
        <v>-1.180693964565244E-2</v>
      </c>
      <c r="I38">
        <f>CORREL(E4:E32,K4:K32)</f>
        <v>0.18023981123903096</v>
      </c>
      <c r="J38">
        <f>CORREL(E4:E32,M4:M32)</f>
        <v>0.1035560063204025</v>
      </c>
      <c r="K38" s="66">
        <f>CORREL(E4:E32,O4:O32)</f>
        <v>6.7652047941903368E-2</v>
      </c>
      <c r="L38">
        <f>CORREL(E4:E32,Q4:Q32)</f>
        <v>0.16050341272579596</v>
      </c>
      <c r="M38" s="66">
        <f>CORREL(E4:E32,S4:S32)</f>
        <v>-2.663493667339828E-2</v>
      </c>
      <c r="N38">
        <f>CORREL(E4:E32,U4:U32)</f>
        <v>8.9469179812512359E-2</v>
      </c>
      <c r="O38" s="66">
        <f>CORREL(E4:E32,W4:W32)</f>
        <v>0.11791882570767949</v>
      </c>
      <c r="P38">
        <f>CORREL(E4:E32,Y4:Y32)</f>
        <v>0.1494933810017981</v>
      </c>
      <c r="Q38" s="66">
        <f>CORREL(E4:E32,AA4:AA32)</f>
        <v>-0.16457890448361198</v>
      </c>
      <c r="R38">
        <f>CORREL(E4:E32,AC4:AC32)</f>
        <v>-1.0674755867788589E-2</v>
      </c>
      <c r="S38" s="66">
        <f>CORREL(E4:E32,AE4:AE32)</f>
        <v>8.6688155169247161E-2</v>
      </c>
      <c r="AH38" t="s">
        <v>77</v>
      </c>
      <c r="AI38" s="64">
        <v>175.3</v>
      </c>
      <c r="BF38" s="73">
        <v>45231</v>
      </c>
      <c r="BG38" s="62">
        <v>83.46</v>
      </c>
      <c r="BH38" s="62">
        <f t="shared" si="14"/>
        <v>-7.3490230905861518</v>
      </c>
    </row>
    <row r="39" spans="3:60">
      <c r="AH39" t="s">
        <v>78</v>
      </c>
      <c r="AI39" s="64">
        <v>176.7</v>
      </c>
      <c r="BF39" s="73">
        <v>45261</v>
      </c>
      <c r="BG39" s="62">
        <v>77.42</v>
      </c>
      <c r="BH39" s="62">
        <f t="shared" si="14"/>
        <v>-7.2369997603642382</v>
      </c>
    </row>
    <row r="40" spans="3:60">
      <c r="G40" s="66" t="s">
        <v>212</v>
      </c>
      <c r="H40" s="66" t="s">
        <v>213</v>
      </c>
      <c r="AH40" t="s">
        <v>79</v>
      </c>
      <c r="AI40" s="64">
        <v>176.5</v>
      </c>
    </row>
    <row r="41" spans="3:60">
      <c r="G41" s="66" t="s">
        <v>214</v>
      </c>
      <c r="H41" s="64">
        <f>CORREL(E4:E32,I4:I32)</f>
        <v>-1.180693964565244E-2</v>
      </c>
      <c r="AH41" t="s">
        <v>80</v>
      </c>
      <c r="AI41" s="64">
        <v>175.7</v>
      </c>
    </row>
    <row r="42" spans="3:60">
      <c r="C42"/>
      <c r="G42" s="66" t="s">
        <v>186</v>
      </c>
      <c r="H42" s="64">
        <v>0.18023981123903096</v>
      </c>
      <c r="AG42" t="s">
        <v>142</v>
      </c>
      <c r="AI42" s="24">
        <v>172.14999999999998</v>
      </c>
    </row>
    <row r="43" spans="3:60">
      <c r="G43" s="66" t="s">
        <v>188</v>
      </c>
      <c r="H43" s="67">
        <v>0.1035560063204025</v>
      </c>
      <c r="AG43">
        <v>2023</v>
      </c>
      <c r="AH43" t="s">
        <v>66</v>
      </c>
      <c r="AI43" s="64">
        <v>176.5</v>
      </c>
    </row>
    <row r="44" spans="3:60">
      <c r="C44"/>
      <c r="G44" s="66" t="s">
        <v>190</v>
      </c>
      <c r="H44" s="64">
        <v>6.7652047941903368E-2</v>
      </c>
      <c r="AH44" t="s">
        <v>70</v>
      </c>
      <c r="AI44" s="64">
        <v>177.2</v>
      </c>
    </row>
    <row r="45" spans="3:60">
      <c r="C45"/>
      <c r="G45" s="66" t="s">
        <v>192</v>
      </c>
      <c r="H45" s="67">
        <v>0.16050341272579596</v>
      </c>
      <c r="AH45" t="s">
        <v>71</v>
      </c>
      <c r="AI45" s="64">
        <v>177.2</v>
      </c>
    </row>
    <row r="46" spans="3:60">
      <c r="C46"/>
      <c r="G46" s="66" t="s">
        <v>194</v>
      </c>
      <c r="H46" s="64">
        <v>-2.663493667339828E-2</v>
      </c>
      <c r="AH46" t="s">
        <v>72</v>
      </c>
      <c r="AI46" s="64">
        <v>178.1</v>
      </c>
    </row>
    <row r="47" spans="3:60">
      <c r="C47"/>
      <c r="G47" s="66" t="s">
        <v>196</v>
      </c>
      <c r="H47" s="67">
        <v>8.9469179812512359E-2</v>
      </c>
      <c r="AH47" t="s">
        <v>73</v>
      </c>
      <c r="AI47" s="64">
        <v>179.1</v>
      </c>
    </row>
    <row r="48" spans="3:60">
      <c r="C48"/>
      <c r="G48" s="66" t="s">
        <v>198</v>
      </c>
      <c r="H48" s="64">
        <v>0.11791882570767949</v>
      </c>
      <c r="AG48" t="s">
        <v>144</v>
      </c>
      <c r="AI48" s="24">
        <v>177.62</v>
      </c>
    </row>
    <row r="49" spans="3:35">
      <c r="C49"/>
      <c r="G49" s="66" t="s">
        <v>200</v>
      </c>
      <c r="H49" s="67">
        <v>0.1494933810017981</v>
      </c>
      <c r="AG49" t="s">
        <v>99</v>
      </c>
      <c r="AI49" s="24">
        <v>164.03902439024392</v>
      </c>
    </row>
    <row r="50" spans="3:35">
      <c r="C50"/>
      <c r="G50" s="66" t="s">
        <v>202</v>
      </c>
      <c r="H50" s="64">
        <v>-0.16457890448361198</v>
      </c>
    </row>
    <row r="51" spans="3:35">
      <c r="C51"/>
      <c r="G51" s="66" t="s">
        <v>204</v>
      </c>
      <c r="H51" s="67">
        <v>-1.0674755867788589E-2</v>
      </c>
    </row>
    <row r="52" spans="3:35">
      <c r="C52"/>
      <c r="G52" s="66" t="s">
        <v>206</v>
      </c>
      <c r="H52" s="64">
        <v>8.6688155169247161E-2</v>
      </c>
    </row>
    <row r="53" spans="3:35">
      <c r="C53"/>
      <c r="G53" s="66" t="s">
        <v>215</v>
      </c>
      <c r="H53" s="64">
        <f>CORREL(E4:E32,G4:G32)</f>
        <v>1.7225173148298557E-2</v>
      </c>
    </row>
    <row r="54" spans="3:35">
      <c r="C54"/>
    </row>
    <row r="55" spans="3:35">
      <c r="C55"/>
    </row>
    <row r="56" spans="3:35">
      <c r="C56"/>
    </row>
    <row r="57" spans="3:35">
      <c r="C57"/>
    </row>
    <row r="58" spans="3:35">
      <c r="C58"/>
    </row>
    <row r="59" spans="3:35">
      <c r="C59"/>
    </row>
    <row r="60" spans="3:35">
      <c r="C60"/>
    </row>
    <row r="61" spans="3:35">
      <c r="C61"/>
    </row>
    <row r="62" spans="3:35">
      <c r="C62"/>
    </row>
    <row r="63" spans="3:35">
      <c r="C63"/>
    </row>
    <row r="64" spans="3:35">
      <c r="C64"/>
    </row>
    <row r="65" spans="3:3">
      <c r="C65"/>
    </row>
    <row r="66" spans="3:3">
      <c r="C66"/>
    </row>
    <row r="67" spans="3:3">
      <c r="C67"/>
    </row>
    <row r="68" spans="3:3">
      <c r="C68"/>
    </row>
    <row r="69" spans="3:3">
      <c r="C69"/>
    </row>
    <row r="70" spans="3:3">
      <c r="C70"/>
    </row>
    <row r="71" spans="3:3">
      <c r="C71"/>
    </row>
    <row r="72" spans="3:3">
      <c r="C72"/>
    </row>
    <row r="73" spans="3:3">
      <c r="C73"/>
    </row>
    <row r="74" spans="3:3">
      <c r="C74"/>
    </row>
    <row r="75" spans="3:3">
      <c r="C75"/>
    </row>
    <row r="76" spans="3:3">
      <c r="C76"/>
    </row>
    <row r="77" spans="3:3">
      <c r="C77"/>
    </row>
    <row r="78" spans="3:3">
      <c r="C78"/>
    </row>
    <row r="79" spans="3:3">
      <c r="C79"/>
    </row>
    <row r="80" spans="3:3">
      <c r="C80"/>
    </row>
    <row r="81" spans="3:3">
      <c r="C81"/>
    </row>
    <row r="82" spans="3:3">
      <c r="C82"/>
    </row>
    <row r="83" spans="3:3">
      <c r="C83"/>
    </row>
    <row r="84" spans="3:3">
      <c r="C84"/>
    </row>
    <row r="85" spans="3:3">
      <c r="C85"/>
    </row>
    <row r="86" spans="3:3">
      <c r="C86"/>
    </row>
    <row r="87" spans="3:3">
      <c r="C87"/>
    </row>
    <row r="88" spans="3:3">
      <c r="C88"/>
    </row>
    <row r="89" spans="3:3">
      <c r="C89"/>
    </row>
    <row r="90" spans="3:3">
      <c r="C90"/>
    </row>
  </sheetData>
  <conditionalFormatting sqref="E41:G52">
    <cfRule type="dataBar" priority="1">
      <dataBar>
        <cfvo type="min"/>
        <cfvo type="max"/>
        <color rgb="FF63C384"/>
      </dataBar>
      <extLst>
        <ext xmlns:x14="http://schemas.microsoft.com/office/spreadsheetml/2009/9/main" uri="{B025F937-C7B1-47D3-B67F-A62EFF666E3E}">
          <x14:id>{899AA31B-77A0-4FE5-A03E-90D8CC42AA9F}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99AA31B-77A0-4FE5-A03E-90D8CC42AA9F}">
            <x14:dataBar minLength="0" maxLength="100" border="1" negativeBarBorderColorSameAsPositive="0">
              <x14:cfvo type="autoMin"/>
              <x14:cfvo type="autoMax"/>
              <x14:borderColor rgb="FF63C384"/>
              <x14:negativeFillColor rgb="FFFF0000"/>
              <x14:negativeBorderColor rgb="FFFF0000"/>
              <x14:axisColor rgb="FF000000"/>
            </x14:dataBar>
          </x14:cfRule>
          <xm:sqref>E41:G52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51C1-C2C6-4E97-9D5D-B02E962EE158}">
  <dimension ref="C4:E12"/>
  <sheetViews>
    <sheetView workbookViewId="0">
      <selection activeCell="D14" sqref="D14"/>
    </sheetView>
  </sheetViews>
  <sheetFormatPr defaultRowHeight="15"/>
  <cols>
    <col min="3" max="3" width="21.5703125" bestFit="1" customWidth="1"/>
    <col min="4" max="4" width="24.5703125" bestFit="1" customWidth="1"/>
  </cols>
  <sheetData>
    <row r="4" spans="3:5">
      <c r="C4" t="s">
        <v>216</v>
      </c>
    </row>
    <row r="6" spans="3:5">
      <c r="C6" s="19" t="s">
        <v>217</v>
      </c>
      <c r="D6" s="19" t="s">
        <v>218</v>
      </c>
      <c r="E6" s="19" t="s">
        <v>219</v>
      </c>
    </row>
    <row r="7" spans="3:5">
      <c r="C7" t="s">
        <v>220</v>
      </c>
      <c r="D7" t="s">
        <v>221</v>
      </c>
      <c r="E7" t="s">
        <v>222</v>
      </c>
    </row>
    <row r="8" spans="3:5">
      <c r="C8" t="s">
        <v>223</v>
      </c>
      <c r="D8" t="s">
        <v>224</v>
      </c>
      <c r="E8" t="s">
        <v>222</v>
      </c>
    </row>
    <row r="9" spans="3:5">
      <c r="C9" t="s">
        <v>225</v>
      </c>
      <c r="D9" t="s">
        <v>81</v>
      </c>
      <c r="E9" t="s">
        <v>226</v>
      </c>
    </row>
    <row r="10" spans="3:5">
      <c r="C10" t="s">
        <v>227</v>
      </c>
      <c r="D10" t="s">
        <v>228</v>
      </c>
      <c r="E10" t="s">
        <v>229</v>
      </c>
    </row>
    <row r="11" spans="3:5">
      <c r="C11" t="s">
        <v>230</v>
      </c>
      <c r="D11" t="s">
        <v>231</v>
      </c>
      <c r="E11" t="s">
        <v>232</v>
      </c>
    </row>
    <row r="12" spans="3:5">
      <c r="C12" t="s">
        <v>233</v>
      </c>
      <c r="D12" t="s">
        <v>234</v>
      </c>
      <c r="E12" t="s">
        <v>235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4848-E3BA-4719-8A5B-C4493E345BC8}">
  <dimension ref="C4:J22"/>
  <sheetViews>
    <sheetView workbookViewId="0">
      <selection activeCell="J23" sqref="J23"/>
    </sheetView>
  </sheetViews>
  <sheetFormatPr defaultRowHeight="15"/>
  <cols>
    <col min="4" max="4" width="22.42578125" customWidth="1"/>
  </cols>
  <sheetData>
    <row r="4" spans="3:10">
      <c r="C4" t="s">
        <v>236</v>
      </c>
    </row>
    <row r="5" spans="3:10">
      <c r="D5" s="20" t="s">
        <v>237</v>
      </c>
    </row>
    <row r="6" spans="3:10">
      <c r="D6" t="s">
        <v>238</v>
      </c>
    </row>
    <row r="7" spans="3:10">
      <c r="D7" s="19" t="s">
        <v>239</v>
      </c>
    </row>
    <row r="9" spans="3:10">
      <c r="C9" t="s">
        <v>240</v>
      </c>
    </row>
    <row r="10" spans="3:10">
      <c r="D10" t="s">
        <v>241</v>
      </c>
    </row>
    <row r="12" spans="3:10">
      <c r="D12" t="s">
        <v>242</v>
      </c>
    </row>
    <row r="14" spans="3:10">
      <c r="D14" t="s">
        <v>243</v>
      </c>
    </row>
    <row r="16" spans="3:10">
      <c r="D16" t="s">
        <v>244</v>
      </c>
      <c r="J16" t="s">
        <v>245</v>
      </c>
    </row>
    <row r="18" spans="4:4">
      <c r="D18" t="s">
        <v>246</v>
      </c>
    </row>
    <row r="20" spans="4:4">
      <c r="D20" t="s">
        <v>247</v>
      </c>
    </row>
    <row r="22" spans="4:4">
      <c r="D22" s="19"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2026-09-13T06:47:53Z</dcterms:created>
  <dcterms:modified xsi:type="dcterms:W3CDTF">2026-09-19T11:11:56Z</dcterms:modified>
  <cp:category/>
  <cp:contentStatus/>
</cp:coreProperties>
</file>